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drawings/drawing4.xml" ContentType="application/vnd.openxmlformats-officedocument.drawing+xml"/>
  <Override PartName="/xl/activeX/activeX3.xml" ContentType="application/vnd.ms-office.activeX+xml"/>
  <Override PartName="/xl/activeX/activeX3.bin" ContentType="application/vnd.ms-office.activeX"/>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hosey daniel\Dropbox\01 Live Briefcase Parts\3 Regents Physics\Hosey Review Program\Hosey Regents Physics Review Ver 41\"/>
    </mc:Choice>
  </mc:AlternateContent>
  <bookViews>
    <workbookView xWindow="600" yWindow="-75" windowWidth="7050" windowHeight="6210" tabRatio="689"/>
  </bookViews>
  <sheets>
    <sheet name="Instructions" sheetId="12" r:id="rId1"/>
    <sheet name="Pivot Table" sheetId="15" r:id="rId2"/>
    <sheet name="Questions" sheetId="13" r:id="rId3"/>
    <sheet name=" Questions Sem 1" sheetId="3" state="hidden" r:id="rId4"/>
    <sheet name="Superlatives" sheetId="7" r:id="rId5"/>
    <sheet name="Tags" sheetId="2" r:id="rId6"/>
    <sheet name="Attempts" sheetId="5" r:id="rId7"/>
    <sheet name="Sessions" sheetId="6" r:id="rId8"/>
  </sheets>
  <functionGroups builtInGroupCount="18"/>
  <definedNames>
    <definedName name="_xlnm._FilterDatabase" localSheetId="3" hidden="1">' Questions Sem 1'!$A$1:$BZ$343</definedName>
    <definedName name="_xlnm._FilterDatabase" localSheetId="2" hidden="1">Questions!$A$1:$BZ$1017</definedName>
    <definedName name="Slicer_Primary_Unit">#N/A</definedName>
    <definedName name="Slicer_Problem">#N/A</definedName>
    <definedName name="Slicer_Qtype">#N/A</definedName>
    <definedName name="Slicer_Secondary_Unit">#N/A</definedName>
    <definedName name="Slicer_YYYY_MM">#N/A</definedName>
    <definedName name="Units">Tags!$A$2:INDEX(Tags!$A:$A,MATCH("ZZZ",Tags!$A:$A))</definedName>
  </definedNames>
  <calcPr calcId="152511" calcMode="manual"/>
  <pivotCaches>
    <pivotCache cacheId="0" r:id="rId9"/>
  </pivotCaches>
  <extLst>
    <ext xmlns:x14="http://schemas.microsoft.com/office/spreadsheetml/2009/9/main" uri="{BBE1A952-AA13-448e-AADC-164F8A28A991}">
      <x14:slicerCaches>
        <x14:slicerCache r:id="rId10"/>
        <x14:slicerCache r:id="rId11"/>
        <x14:slicerCache r:id="rId12"/>
        <x14:slicerCache r:id="rId13"/>
        <x14:slicerCache r:id="rId14"/>
      </x14:slicerCaches>
    </ext>
    <ext xmlns:x14="http://schemas.microsoft.com/office/spreadsheetml/2009/9/main" uri="{79F54976-1DA5-4618-B147-4CDE4B953A38}">
      <x14:workbookPr/>
    </ext>
  </extLst>
</workbook>
</file>

<file path=xl/calcChain.xml><?xml version="1.0" encoding="utf-8"?>
<calcChain xmlns="http://schemas.openxmlformats.org/spreadsheetml/2006/main">
  <c r="A1019" i="13" l="1"/>
  <c r="H1019" i="13" s="1"/>
  <c r="R1019" i="13"/>
  <c r="A1020" i="13"/>
  <c r="H1020" i="13" s="1"/>
  <c r="R1020" i="13"/>
  <c r="A1021" i="13"/>
  <c r="H1021" i="13" s="1"/>
  <c r="R1021" i="13"/>
  <c r="A1022" i="13"/>
  <c r="H1022" i="13" s="1"/>
  <c r="R1022" i="13"/>
  <c r="A1023" i="13"/>
  <c r="H1023" i="13" s="1"/>
  <c r="R1023" i="13"/>
  <c r="A1024" i="13"/>
  <c r="H1024" i="13" s="1"/>
  <c r="R1024" i="13"/>
  <c r="A1025" i="13"/>
  <c r="H1025" i="13" s="1"/>
  <c r="R1025" i="13"/>
  <c r="A1026" i="13"/>
  <c r="H1026" i="13" s="1"/>
  <c r="R1026" i="13"/>
  <c r="A1027" i="13"/>
  <c r="H1027" i="13" s="1"/>
  <c r="R1027" i="13"/>
  <c r="A1028" i="13"/>
  <c r="H1028" i="13" s="1"/>
  <c r="R1028" i="13"/>
  <c r="A1029" i="13"/>
  <c r="H1029" i="13" s="1"/>
  <c r="R1029" i="13"/>
  <c r="A1030" i="13"/>
  <c r="H1030" i="13" s="1"/>
  <c r="R1030" i="13"/>
  <c r="A1031" i="13"/>
  <c r="H1031" i="13" s="1"/>
  <c r="R1031" i="13"/>
  <c r="A1032" i="13"/>
  <c r="H1032" i="13" s="1"/>
  <c r="R1032" i="13"/>
  <c r="A1033" i="13"/>
  <c r="H1033" i="13" s="1"/>
  <c r="R1033" i="13"/>
  <c r="A1034" i="13"/>
  <c r="H1034" i="13" s="1"/>
  <c r="R1034" i="13"/>
  <c r="A1035" i="13"/>
  <c r="H1035" i="13" s="1"/>
  <c r="R1035" i="13"/>
  <c r="A1036" i="13"/>
  <c r="H1036" i="13" s="1"/>
  <c r="R1036" i="13"/>
  <c r="A1037" i="13"/>
  <c r="H1037" i="13" s="1"/>
  <c r="R1037" i="13"/>
  <c r="A1038" i="13"/>
  <c r="H1038" i="13" s="1"/>
  <c r="R1038" i="13"/>
  <c r="A1039" i="13"/>
  <c r="H1039" i="13" s="1"/>
  <c r="R1039" i="13"/>
  <c r="A1040" i="13"/>
  <c r="H1040" i="13" s="1"/>
  <c r="R1040" i="13"/>
  <c r="A1041" i="13"/>
  <c r="H1041" i="13" s="1"/>
  <c r="R1041" i="13"/>
  <c r="A1042" i="13"/>
  <c r="H1042" i="13" s="1"/>
  <c r="R1042" i="13"/>
  <c r="A1043" i="13"/>
  <c r="H1043" i="13" s="1"/>
  <c r="R1043" i="13"/>
  <c r="A1044" i="13"/>
  <c r="H1044" i="13" s="1"/>
  <c r="R1044" i="13"/>
  <c r="A1045" i="13"/>
  <c r="H1045" i="13" s="1"/>
  <c r="R1045" i="13"/>
  <c r="A1046" i="13"/>
  <c r="H1046" i="13" s="1"/>
  <c r="R1046" i="13"/>
  <c r="A1047" i="13"/>
  <c r="H1047" i="13" s="1"/>
  <c r="R1047" i="13"/>
  <c r="A1048" i="13"/>
  <c r="H1048" i="13" s="1"/>
  <c r="R1048" i="13"/>
  <c r="A1049" i="13"/>
  <c r="H1049" i="13"/>
  <c r="R1049" i="13"/>
  <c r="A1050" i="13"/>
  <c r="H1050" i="13" s="1"/>
  <c r="R1050" i="13"/>
  <c r="A1051" i="13"/>
  <c r="H1051" i="13" s="1"/>
  <c r="R1051" i="13"/>
  <c r="A1052" i="13"/>
  <c r="H1052" i="13" s="1"/>
  <c r="R1052" i="13"/>
  <c r="A1053" i="13"/>
  <c r="H1053" i="13" s="1"/>
  <c r="R1053" i="13"/>
  <c r="A1054" i="13"/>
  <c r="H1054" i="13" s="1"/>
  <c r="R1054" i="13"/>
  <c r="A1055" i="13"/>
  <c r="H1055" i="13" s="1"/>
  <c r="R1055" i="13"/>
  <c r="A1056" i="13"/>
  <c r="H1056" i="13" s="1"/>
  <c r="R1056" i="13"/>
  <c r="A1057" i="13"/>
  <c r="H1057" i="13" s="1"/>
  <c r="R1057" i="13"/>
  <c r="A1058" i="13"/>
  <c r="H1058" i="13" s="1"/>
  <c r="R1058" i="13"/>
  <c r="A1059" i="13"/>
  <c r="H1059" i="13" s="1"/>
  <c r="R1059" i="13"/>
  <c r="A1060" i="13"/>
  <c r="H1060" i="13" s="1"/>
  <c r="R1060" i="13"/>
  <c r="A1061" i="13"/>
  <c r="H1061" i="13" s="1"/>
  <c r="R1061" i="13"/>
  <c r="A1062" i="13"/>
  <c r="H1062" i="13" s="1"/>
  <c r="R1062" i="13"/>
  <c r="A1063" i="13"/>
  <c r="H1063" i="13" s="1"/>
  <c r="R1063" i="13"/>
  <c r="A1064" i="13"/>
  <c r="H1064" i="13" s="1"/>
  <c r="R1064" i="13"/>
  <c r="A1065" i="13"/>
  <c r="H1065" i="13"/>
  <c r="R1065" i="13"/>
  <c r="A1066" i="13"/>
  <c r="H1066" i="13" s="1"/>
  <c r="R1066" i="13"/>
  <c r="A1067" i="13"/>
  <c r="H1067" i="13" s="1"/>
  <c r="R1067" i="13"/>
  <c r="A1018" i="13"/>
  <c r="H1018" i="13" s="1"/>
  <c r="R1018" i="13"/>
  <c r="B1020" i="15" l="1"/>
  <c r="B1021" i="15"/>
  <c r="B1022" i="15"/>
  <c r="B1023" i="15"/>
  <c r="B1024" i="15"/>
  <c r="B1025" i="15"/>
  <c r="B1026" i="15"/>
  <c r="B1027" i="15"/>
  <c r="B1028" i="15"/>
  <c r="B1029" i="15"/>
  <c r="B1030" i="15"/>
  <c r="B1031" i="15"/>
  <c r="B1032" i="15"/>
  <c r="B1033" i="15"/>
  <c r="B1034" i="15"/>
  <c r="B1035" i="15"/>
  <c r="B1036" i="15"/>
  <c r="B1037" i="15"/>
  <c r="B1038" i="15"/>
  <c r="B1039" i="15"/>
  <c r="B1040" i="15"/>
  <c r="B1041" i="15"/>
  <c r="B1042" i="15"/>
  <c r="B1043" i="15"/>
  <c r="B1044" i="15"/>
  <c r="B1045" i="15"/>
  <c r="B1046" i="15"/>
  <c r="B1047" i="15"/>
  <c r="B1048" i="15"/>
  <c r="B1049" i="15"/>
  <c r="B1050" i="15"/>
  <c r="B1051" i="15"/>
  <c r="B1052" i="15"/>
  <c r="B1053" i="15"/>
  <c r="B1054" i="15"/>
  <c r="B1055" i="15"/>
  <c r="B1056" i="15"/>
  <c r="B1057" i="15"/>
  <c r="B1058" i="15"/>
  <c r="B1059" i="15"/>
  <c r="B1060" i="15"/>
  <c r="B1061" i="15"/>
  <c r="B1062" i="15"/>
  <c r="B1063" i="15"/>
  <c r="B1064" i="15"/>
  <c r="B1065" i="15"/>
  <c r="B1066" i="15"/>
  <c r="B1067" i="15"/>
  <c r="B1068" i="15"/>
  <c r="B1069" i="15"/>
  <c r="B1070" i="15"/>
  <c r="B1071" i="15"/>
  <c r="B1072" i="15"/>
  <c r="B1073" i="15"/>
  <c r="B1074" i="15"/>
  <c r="B1075" i="15"/>
  <c r="B1076" i="15"/>
  <c r="B1077" i="15"/>
  <c r="B1078" i="15"/>
  <c r="B1079" i="15"/>
  <c r="B1080" i="15"/>
  <c r="B1081" i="15"/>
  <c r="B1082" i="15"/>
  <c r="B1083" i="15"/>
  <c r="B1084" i="15"/>
  <c r="B1085" i="15"/>
  <c r="B1086" i="15"/>
  <c r="B1087" i="15"/>
  <c r="B1088" i="15"/>
  <c r="B1089" i="15"/>
  <c r="B1090" i="15"/>
  <c r="B1091" i="15"/>
  <c r="B1092" i="15"/>
  <c r="B1093" i="15"/>
  <c r="B1094" i="15"/>
  <c r="B1095" i="15"/>
  <c r="B1096" i="15"/>
  <c r="B1097" i="15"/>
  <c r="B1098" i="15"/>
  <c r="B1099" i="15"/>
  <c r="B1100" i="15"/>
  <c r="B1101" i="15"/>
  <c r="B1102" i="15"/>
  <c r="B1103" i="15"/>
  <c r="B1104" i="15"/>
  <c r="B1105" i="15"/>
  <c r="B1106" i="15"/>
  <c r="B1107" i="15"/>
  <c r="B1108" i="15"/>
  <c r="B1109" i="15"/>
  <c r="B1110" i="15"/>
  <c r="B1111" i="15"/>
  <c r="B1112" i="15"/>
  <c r="B1113" i="15"/>
  <c r="B1114" i="15"/>
  <c r="B1115" i="15"/>
  <c r="B1116" i="15"/>
  <c r="B1117" i="15"/>
  <c r="B1118" i="15"/>
  <c r="B1119" i="15"/>
  <c r="B1120" i="15"/>
  <c r="B1121" i="15"/>
  <c r="B1122" i="15"/>
  <c r="B1123" i="15"/>
  <c r="B1124" i="15"/>
  <c r="B1125" i="15"/>
  <c r="B1126" i="15"/>
  <c r="B1127" i="15"/>
  <c r="B1128" i="15"/>
  <c r="B1129" i="15"/>
  <c r="B1130" i="15"/>
  <c r="B1131" i="15"/>
  <c r="B1132" i="15"/>
  <c r="B1133" i="15"/>
  <c r="B1134" i="15"/>
  <c r="B1135" i="15"/>
  <c r="B1136" i="15"/>
  <c r="B1137" i="15"/>
  <c r="B1138" i="15"/>
  <c r="B1139" i="15"/>
  <c r="B1140" i="15"/>
  <c r="B1141" i="15"/>
  <c r="B1142" i="15"/>
  <c r="B1143" i="15"/>
  <c r="B1144" i="15"/>
  <c r="B1145" i="15"/>
  <c r="B1146" i="15"/>
  <c r="B1147" i="15"/>
  <c r="B1148" i="15"/>
  <c r="B1149" i="15"/>
  <c r="B1150" i="15"/>
  <c r="B1151" i="15"/>
  <c r="B1152" i="15"/>
  <c r="B1153" i="15"/>
  <c r="B1154" i="15"/>
  <c r="B1155" i="15"/>
  <c r="B1156" i="15"/>
  <c r="B1157" i="15"/>
  <c r="B1158" i="15"/>
  <c r="B1159" i="15"/>
  <c r="B1160" i="15"/>
  <c r="B1161" i="15"/>
  <c r="B1162" i="15"/>
  <c r="B1163" i="15"/>
  <c r="B1164" i="15"/>
  <c r="B1165" i="15"/>
  <c r="B1166" i="15"/>
  <c r="B1167" i="15"/>
  <c r="B1168" i="15"/>
  <c r="B1169" i="15"/>
  <c r="B1170" i="15"/>
  <c r="B1171" i="15"/>
  <c r="B1172" i="15"/>
  <c r="B1173" i="15"/>
  <c r="B1174" i="15"/>
  <c r="B1175" i="15"/>
  <c r="B1176" i="15"/>
  <c r="B1177" i="15"/>
  <c r="B1178" i="15"/>
  <c r="B1179" i="15"/>
  <c r="B1180" i="15"/>
  <c r="B1181" i="15"/>
  <c r="B1182" i="15"/>
  <c r="B1183" i="15"/>
  <c r="B1184" i="15"/>
  <c r="B1185" i="15"/>
  <c r="B1186" i="15"/>
  <c r="B1187" i="15"/>
  <c r="B1188" i="15"/>
  <c r="B1189" i="15"/>
  <c r="B1190" i="15"/>
  <c r="B1191" i="15"/>
  <c r="B1192" i="15"/>
  <c r="B1193" i="15"/>
  <c r="B1194" i="15"/>
  <c r="B1195" i="15"/>
  <c r="B1196" i="15"/>
  <c r="B1197" i="15"/>
  <c r="B1198" i="15"/>
  <c r="B1199" i="15"/>
  <c r="B1200" i="15"/>
  <c r="B1201" i="15"/>
  <c r="B1202" i="15"/>
  <c r="B1203" i="15"/>
  <c r="B1204" i="15"/>
  <c r="B1205" i="15"/>
  <c r="B1206" i="15"/>
  <c r="B1207" i="15"/>
  <c r="B1208" i="15"/>
  <c r="B1209" i="15"/>
  <c r="B1210" i="15"/>
  <c r="B1211" i="15"/>
  <c r="B1212" i="15"/>
  <c r="B1213" i="15"/>
  <c r="B1214" i="15"/>
  <c r="B1215" i="15"/>
  <c r="B1216" i="15"/>
  <c r="B1217" i="15"/>
  <c r="B1218" i="15"/>
  <c r="B1219" i="15"/>
  <c r="B1220" i="15"/>
  <c r="B1221" i="15"/>
  <c r="B1222" i="15"/>
  <c r="B1223" i="15"/>
  <c r="B1224" i="15"/>
  <c r="B1225" i="15"/>
  <c r="B1226" i="15"/>
  <c r="B1227" i="15"/>
  <c r="B1228" i="15"/>
  <c r="B1229" i="15"/>
  <c r="B1230" i="15"/>
  <c r="B1231" i="15"/>
  <c r="B1232" i="15"/>
  <c r="B1233" i="15"/>
  <c r="B1234" i="15"/>
  <c r="B1235" i="15"/>
  <c r="B1236" i="15"/>
  <c r="B1237" i="15"/>
  <c r="B1238" i="15"/>
  <c r="B1239" i="15"/>
  <c r="B1240" i="15"/>
  <c r="B1241" i="15"/>
  <c r="B1242" i="15"/>
  <c r="B1243" i="15"/>
  <c r="B1244" i="15"/>
  <c r="B1245" i="15"/>
  <c r="B1246" i="15"/>
  <c r="B1247" i="15"/>
  <c r="B1248" i="15"/>
  <c r="B1249" i="15"/>
  <c r="B1250" i="15"/>
  <c r="B1251" i="15"/>
  <c r="B1252" i="15"/>
  <c r="B1253" i="15"/>
  <c r="B1254" i="15"/>
  <c r="B1255" i="15"/>
  <c r="B1256" i="15"/>
  <c r="B1257" i="15"/>
  <c r="B1258" i="15"/>
  <c r="B1259" i="15"/>
  <c r="B1260" i="15"/>
  <c r="B1261" i="15"/>
  <c r="B1262" i="15"/>
  <c r="B1263" i="15"/>
  <c r="B1264" i="15"/>
  <c r="B1265" i="15"/>
  <c r="B1266" i="15"/>
  <c r="B1267" i="15"/>
  <c r="B1268" i="15"/>
  <c r="B1269" i="15"/>
  <c r="B1270" i="15"/>
  <c r="B1271" i="15"/>
  <c r="B1272" i="15"/>
  <c r="B1273" i="15"/>
  <c r="B1274" i="15"/>
  <c r="B1275" i="15"/>
  <c r="B1276" i="15"/>
  <c r="B1277" i="15"/>
  <c r="B1278" i="15"/>
  <c r="B1279" i="15"/>
  <c r="B1280" i="15"/>
  <c r="B1281" i="15"/>
  <c r="B1282" i="15"/>
  <c r="B1283" i="15"/>
  <c r="B1284" i="15"/>
  <c r="B1285" i="15"/>
  <c r="B1286" i="15"/>
  <c r="B1287" i="15"/>
  <c r="B1288" i="15"/>
  <c r="B1289" i="15"/>
  <c r="B1290" i="15"/>
  <c r="B1291" i="15"/>
  <c r="B1292" i="15"/>
  <c r="B1293" i="15"/>
  <c r="B1294" i="15"/>
  <c r="B1295" i="15"/>
  <c r="B1296" i="15"/>
  <c r="B1297" i="15"/>
  <c r="B1298" i="15"/>
  <c r="B1299" i="15"/>
  <c r="B1300" i="15"/>
  <c r="B1301" i="15"/>
  <c r="B1302" i="15"/>
  <c r="B1303" i="15"/>
  <c r="B1304" i="15"/>
  <c r="B1305" i="15"/>
  <c r="B1306" i="15"/>
  <c r="B1307" i="15"/>
  <c r="B1308" i="15"/>
  <c r="B1309" i="15"/>
  <c r="B1310" i="15"/>
  <c r="B1311" i="15"/>
  <c r="B1312" i="15"/>
  <c r="B1313" i="15"/>
  <c r="B1314" i="15"/>
  <c r="B1315" i="15"/>
  <c r="B1316" i="15"/>
  <c r="B1317" i="15"/>
  <c r="B1318" i="15"/>
  <c r="B1319" i="15"/>
  <c r="B1320" i="15"/>
  <c r="B1321" i="15"/>
  <c r="B1322" i="15"/>
  <c r="B1323" i="15"/>
  <c r="B1324" i="15"/>
  <c r="B1325" i="15"/>
  <c r="B1326" i="15"/>
  <c r="B1327" i="15"/>
  <c r="B1328" i="15"/>
  <c r="B1329" i="15"/>
  <c r="B1330" i="15"/>
  <c r="B1331" i="15"/>
  <c r="B1332" i="15"/>
  <c r="B1333" i="15"/>
  <c r="B1334" i="15"/>
  <c r="B1335" i="15"/>
  <c r="B1336" i="15"/>
  <c r="B1337" i="15"/>
  <c r="B1338" i="15"/>
  <c r="B1339" i="15"/>
  <c r="B1340" i="15"/>
  <c r="B1341" i="15"/>
  <c r="B1342" i="15"/>
  <c r="B1343" i="15"/>
  <c r="B1344" i="15"/>
  <c r="B1345" i="15"/>
  <c r="B1346" i="15"/>
  <c r="B1347" i="15"/>
  <c r="B1348" i="15"/>
  <c r="B1349" i="15"/>
  <c r="B1350" i="15"/>
  <c r="B1351" i="15"/>
  <c r="B1352" i="15"/>
  <c r="B1353" i="15"/>
  <c r="B1354" i="15"/>
  <c r="B1355" i="15"/>
  <c r="B1356" i="15"/>
  <c r="B1357" i="15"/>
  <c r="B1358" i="15"/>
  <c r="B1359" i="15"/>
  <c r="B1360" i="15"/>
  <c r="B1361" i="15"/>
  <c r="B1362" i="15"/>
  <c r="B1363" i="15"/>
  <c r="B1364" i="15"/>
  <c r="B1365" i="15"/>
  <c r="B1366" i="15"/>
  <c r="B1367" i="15"/>
  <c r="B1368" i="15"/>
  <c r="B1369" i="15"/>
  <c r="B1370" i="15"/>
  <c r="B1371" i="15"/>
  <c r="B1372" i="15"/>
  <c r="B1373" i="15"/>
  <c r="B1374" i="15"/>
  <c r="B1375" i="15"/>
  <c r="B1376" i="15"/>
  <c r="B1377" i="15"/>
  <c r="B1378" i="15"/>
  <c r="B1379" i="15"/>
  <c r="B1380" i="15"/>
  <c r="B1381" i="15"/>
  <c r="B1382" i="15"/>
  <c r="B1383" i="15"/>
  <c r="B1384" i="15"/>
  <c r="B1385" i="15"/>
  <c r="B1386" i="15"/>
  <c r="B1387" i="15"/>
  <c r="B1388" i="15"/>
  <c r="B1389" i="15"/>
  <c r="B1390" i="15"/>
  <c r="B1391" i="15"/>
  <c r="B1392" i="15"/>
  <c r="B1393" i="15"/>
  <c r="B1394" i="15"/>
  <c r="B1395" i="15"/>
  <c r="B1396" i="15"/>
  <c r="B1397" i="15"/>
  <c r="B1398" i="15"/>
  <c r="B1399" i="15"/>
  <c r="B1400" i="15"/>
  <c r="B1401" i="15"/>
  <c r="B1402" i="15"/>
  <c r="B1403" i="15"/>
  <c r="B1404" i="15"/>
  <c r="B1405" i="15"/>
  <c r="B1406" i="15"/>
  <c r="B1407" i="15"/>
  <c r="B1408" i="15"/>
  <c r="B1409" i="15"/>
  <c r="B1410" i="15"/>
  <c r="B1411" i="15"/>
  <c r="B1412" i="15"/>
  <c r="B1413" i="15"/>
  <c r="B1414" i="15"/>
  <c r="B1415" i="15"/>
  <c r="B1416" i="15"/>
  <c r="B1417" i="15"/>
  <c r="B1418" i="15"/>
  <c r="B1419" i="15"/>
  <c r="B1420" i="15"/>
  <c r="B1421" i="15"/>
  <c r="B1422" i="15"/>
  <c r="B1423" i="15"/>
  <c r="B1424" i="15"/>
  <c r="B1425" i="15"/>
  <c r="B1426" i="15"/>
  <c r="B1427" i="15"/>
  <c r="B1428" i="15"/>
  <c r="B1429" i="15"/>
  <c r="B1430" i="15"/>
  <c r="B1431" i="15"/>
  <c r="B1432" i="15"/>
  <c r="B1433" i="15"/>
  <c r="B1434" i="15"/>
  <c r="B1435" i="15"/>
  <c r="B1436" i="15"/>
  <c r="B1437" i="15"/>
  <c r="B1438" i="15"/>
  <c r="B1439" i="15"/>
  <c r="B1440" i="15"/>
  <c r="B1441" i="15"/>
  <c r="B1442" i="15"/>
  <c r="B1443" i="15"/>
  <c r="B1444" i="15"/>
  <c r="B1445" i="15"/>
  <c r="B1446" i="15"/>
  <c r="B1447" i="15"/>
  <c r="B1448" i="15"/>
  <c r="B1449" i="15"/>
  <c r="B1450" i="15"/>
  <c r="B1451" i="15"/>
  <c r="B1452" i="15"/>
  <c r="B1453" i="15"/>
  <c r="B1454" i="15"/>
  <c r="B1455" i="15"/>
  <c r="B1456" i="15"/>
  <c r="B1457" i="15"/>
  <c r="B1458" i="15"/>
  <c r="B1459" i="15"/>
  <c r="B1460" i="15"/>
  <c r="B1461" i="15"/>
  <c r="B1462" i="15"/>
  <c r="B1463" i="15"/>
  <c r="B1464" i="15"/>
  <c r="B1465" i="15"/>
  <c r="B1466" i="15"/>
  <c r="B1467" i="15"/>
  <c r="B1468" i="15"/>
  <c r="B1469" i="15"/>
  <c r="B1470" i="15"/>
  <c r="B1471" i="15"/>
  <c r="B1472" i="15"/>
  <c r="B1473" i="15"/>
  <c r="B1474" i="15"/>
  <c r="B1475" i="15"/>
  <c r="B1476" i="15"/>
  <c r="B1477" i="15"/>
  <c r="B1478" i="15"/>
  <c r="B1479" i="15"/>
  <c r="B1480" i="15"/>
  <c r="B1481" i="15"/>
  <c r="B1482" i="15"/>
  <c r="B1483" i="15"/>
  <c r="B1484" i="15"/>
  <c r="B1485" i="15"/>
  <c r="B1486" i="15"/>
  <c r="B1487" i="15"/>
  <c r="B1488" i="15"/>
  <c r="B1489" i="15"/>
  <c r="B1490" i="15"/>
  <c r="B1491" i="15"/>
  <c r="B1492" i="15"/>
  <c r="B1493" i="15"/>
  <c r="B1494" i="15"/>
  <c r="B1495" i="15"/>
  <c r="B1496" i="15"/>
  <c r="B1497" i="15"/>
  <c r="B1498" i="15"/>
  <c r="B1499" i="15"/>
  <c r="B1500" i="15"/>
  <c r="B1501" i="15"/>
  <c r="B1502" i="15"/>
  <c r="B1503" i="15"/>
  <c r="B1504" i="15"/>
  <c r="B1505" i="15"/>
  <c r="B1506" i="15"/>
  <c r="B1507" i="15"/>
  <c r="B1508" i="15"/>
  <c r="B1509" i="15"/>
  <c r="B1510" i="15"/>
  <c r="B1511" i="15"/>
  <c r="B1512" i="15"/>
  <c r="B1513" i="15"/>
  <c r="B1514" i="15"/>
  <c r="B1515" i="15"/>
  <c r="B1516" i="15"/>
  <c r="B1517" i="15"/>
  <c r="B1518" i="15"/>
  <c r="B1519" i="15"/>
  <c r="B1520" i="15"/>
  <c r="B1521" i="15"/>
  <c r="B1522" i="15"/>
  <c r="B1523" i="15"/>
  <c r="B1524" i="15"/>
  <c r="B1525" i="15"/>
  <c r="B1526" i="15"/>
  <c r="B1527" i="15"/>
  <c r="B1528" i="15"/>
  <c r="B1529" i="15"/>
  <c r="B1530" i="15"/>
  <c r="B1531" i="15"/>
  <c r="B1532" i="15"/>
  <c r="B1533" i="15"/>
  <c r="B1534" i="15"/>
  <c r="B1535" i="15"/>
  <c r="B1536" i="15"/>
  <c r="B1537" i="15"/>
  <c r="B1538" i="15"/>
  <c r="B1539" i="15"/>
  <c r="B1540" i="15"/>
  <c r="B1541" i="15"/>
  <c r="B1542" i="15"/>
  <c r="B1543" i="15"/>
  <c r="B1544" i="15"/>
  <c r="B1545" i="15"/>
  <c r="B1546" i="15"/>
  <c r="B1547" i="15"/>
  <c r="B1548" i="15"/>
  <c r="B1549" i="15"/>
  <c r="B1550" i="15"/>
  <c r="B1551" i="15"/>
  <c r="B1552" i="15"/>
  <c r="B1553" i="15"/>
  <c r="B1554" i="15"/>
  <c r="B1555" i="15"/>
  <c r="B1556" i="15"/>
  <c r="B1557" i="15"/>
  <c r="B1558" i="15"/>
  <c r="B1559" i="15"/>
  <c r="B1560" i="15"/>
  <c r="B1561" i="15"/>
  <c r="B1562" i="15"/>
  <c r="B1563" i="15"/>
  <c r="B1564" i="15"/>
  <c r="B1565" i="15"/>
  <c r="B1566" i="15"/>
  <c r="B1567" i="15"/>
  <c r="B1568" i="15"/>
  <c r="B1569" i="15"/>
  <c r="B1570" i="15"/>
  <c r="B1571" i="15"/>
  <c r="B1572" i="15"/>
  <c r="B1573" i="15"/>
  <c r="B1574" i="15"/>
  <c r="B1575" i="15"/>
  <c r="B1576" i="15"/>
  <c r="B1577" i="15"/>
  <c r="B1578" i="15"/>
  <c r="B1579" i="15"/>
  <c r="B1580" i="15"/>
  <c r="B1581" i="15"/>
  <c r="B1582" i="15"/>
  <c r="B1583" i="15"/>
  <c r="B1584" i="15"/>
  <c r="B1585" i="15"/>
  <c r="B1586" i="15"/>
  <c r="B1587" i="15"/>
  <c r="B1588" i="15"/>
  <c r="B1589" i="15"/>
  <c r="B1590" i="15"/>
  <c r="B1591" i="15"/>
  <c r="B1592" i="15"/>
  <c r="B1593" i="15"/>
  <c r="B1594" i="15"/>
  <c r="B1595" i="15"/>
  <c r="B1596" i="15"/>
  <c r="B1597" i="15"/>
  <c r="B1598" i="15"/>
  <c r="B1599" i="15"/>
  <c r="B1600" i="15"/>
  <c r="B1601" i="15"/>
  <c r="B1602" i="15"/>
  <c r="B1603" i="15"/>
  <c r="B1604" i="15"/>
  <c r="B1605" i="15"/>
  <c r="B1606" i="15"/>
  <c r="B1607" i="15"/>
  <c r="B1608" i="15"/>
  <c r="B1609" i="15"/>
  <c r="B1610" i="15"/>
  <c r="B1611" i="15"/>
  <c r="B1612" i="15"/>
  <c r="B1613" i="15"/>
  <c r="B1614" i="15"/>
  <c r="B1615" i="15"/>
  <c r="B1616" i="15"/>
  <c r="B1617" i="15"/>
  <c r="B1618" i="15"/>
  <c r="B1619" i="15"/>
  <c r="B1620" i="15"/>
  <c r="B1621" i="15"/>
  <c r="B1622" i="15"/>
  <c r="B1623" i="15"/>
  <c r="B1624" i="15"/>
  <c r="B1625" i="15"/>
  <c r="B1626" i="15"/>
  <c r="B1627" i="15"/>
  <c r="B1628" i="15"/>
  <c r="B1629" i="15"/>
  <c r="B1630" i="15"/>
  <c r="B1631" i="15"/>
  <c r="B1632" i="15"/>
  <c r="B1633" i="15"/>
  <c r="B1634" i="15"/>
  <c r="B1635" i="15"/>
  <c r="B1636" i="15"/>
  <c r="B1637" i="15"/>
  <c r="B1638" i="15"/>
  <c r="B1639" i="15"/>
  <c r="B1640" i="15"/>
  <c r="B1641" i="15"/>
  <c r="B1642" i="15"/>
  <c r="B1643" i="15"/>
  <c r="B1644" i="15"/>
  <c r="B1645" i="15"/>
  <c r="B1646" i="15"/>
  <c r="B1647" i="15"/>
  <c r="B1648" i="15"/>
  <c r="B1649" i="15"/>
  <c r="B1650" i="15"/>
  <c r="B1651" i="15"/>
  <c r="B1652" i="15"/>
  <c r="B1653" i="15"/>
  <c r="B1654" i="15"/>
  <c r="B1655" i="15"/>
  <c r="B1656" i="15"/>
  <c r="B1657" i="15"/>
  <c r="B1658" i="15"/>
  <c r="B1659" i="15"/>
  <c r="B1660" i="15"/>
  <c r="B1661" i="15"/>
  <c r="B1662" i="15"/>
  <c r="B1663" i="15"/>
  <c r="B1664" i="15"/>
  <c r="B1665" i="15"/>
  <c r="B1666" i="15"/>
  <c r="B1667" i="15"/>
  <c r="B1668" i="15"/>
  <c r="B1669" i="15"/>
  <c r="B1670" i="15"/>
  <c r="B1671" i="15"/>
  <c r="B1672" i="15"/>
  <c r="B1673" i="15"/>
  <c r="B1674" i="15"/>
  <c r="B1675" i="15"/>
  <c r="B1676" i="15"/>
  <c r="B1677" i="15"/>
  <c r="B1678" i="15"/>
  <c r="B1679" i="15"/>
  <c r="B1680" i="15"/>
  <c r="B1681" i="15"/>
  <c r="B1682" i="15"/>
  <c r="B1683" i="15"/>
  <c r="B1684" i="15"/>
  <c r="B1685" i="15"/>
  <c r="B1686" i="15"/>
  <c r="B1687" i="15"/>
  <c r="B1688" i="15"/>
  <c r="B1689" i="15"/>
  <c r="B1690" i="15"/>
  <c r="B1691" i="15"/>
  <c r="B1692" i="15"/>
  <c r="B1693" i="15"/>
  <c r="B1694" i="15"/>
  <c r="B1695" i="15"/>
  <c r="B1696" i="15"/>
  <c r="B1697" i="15"/>
  <c r="B1698" i="15"/>
  <c r="B1699" i="15"/>
  <c r="B1700" i="15"/>
  <c r="B1701" i="15"/>
  <c r="B1702" i="15"/>
  <c r="B1703" i="15"/>
  <c r="B1704" i="15"/>
  <c r="B1705" i="15"/>
  <c r="B1706" i="15"/>
  <c r="B1707" i="15"/>
  <c r="B1708" i="15"/>
  <c r="B1709" i="15"/>
  <c r="B1710" i="15"/>
  <c r="B1711" i="15"/>
  <c r="B1712" i="15"/>
  <c r="B1713" i="15"/>
  <c r="B1714" i="15"/>
  <c r="B1715" i="15"/>
  <c r="B1716" i="15"/>
  <c r="B1717" i="15"/>
  <c r="B1718" i="15"/>
  <c r="B1719" i="15"/>
  <c r="B1720" i="15"/>
  <c r="B1721" i="15"/>
  <c r="B1722" i="15"/>
  <c r="B1723" i="15"/>
  <c r="B1724" i="15"/>
  <c r="B1725" i="15"/>
  <c r="B1726" i="15"/>
  <c r="B1727" i="15"/>
  <c r="B1728" i="15"/>
  <c r="B1729" i="15"/>
  <c r="B1730" i="15"/>
  <c r="B1731" i="15"/>
  <c r="B1732" i="15"/>
  <c r="B1733" i="15"/>
  <c r="B1734" i="15"/>
  <c r="B1735" i="15"/>
  <c r="B1736" i="15"/>
  <c r="B1737" i="15"/>
  <c r="B1738" i="15"/>
  <c r="B1739" i="15"/>
  <c r="B1740" i="15"/>
  <c r="B1741" i="15"/>
  <c r="B1742" i="15"/>
  <c r="B1743" i="15"/>
  <c r="B1744" i="15"/>
  <c r="B1745" i="15"/>
  <c r="B1746" i="15"/>
  <c r="B1747" i="15"/>
  <c r="B1748" i="15"/>
  <c r="B1749" i="15"/>
  <c r="B1750" i="15"/>
  <c r="B1751" i="15"/>
  <c r="B1752" i="15"/>
  <c r="B1753" i="15"/>
  <c r="B1754" i="15"/>
  <c r="B1755" i="15"/>
  <c r="B1756" i="15"/>
  <c r="B1757" i="15"/>
  <c r="B1758" i="15"/>
  <c r="B1759" i="15"/>
  <c r="B1760" i="15"/>
  <c r="B1761" i="15"/>
  <c r="B1762" i="15"/>
  <c r="B1763" i="15"/>
  <c r="B1764" i="15"/>
  <c r="B1765" i="15"/>
  <c r="B1766" i="15"/>
  <c r="B1767" i="15"/>
  <c r="B1768" i="15"/>
  <c r="B1769" i="15"/>
  <c r="B1770" i="15"/>
  <c r="B1771" i="15"/>
  <c r="B1772" i="15"/>
  <c r="B1773" i="15"/>
  <c r="B1774" i="15"/>
  <c r="B1775" i="15"/>
  <c r="B1776" i="15"/>
  <c r="B1777" i="15"/>
  <c r="B1778" i="15"/>
  <c r="B1779" i="15"/>
  <c r="B1780" i="15"/>
  <c r="B1781" i="15"/>
  <c r="B1782" i="15"/>
  <c r="B1783" i="15"/>
  <c r="B1784" i="15"/>
  <c r="B1785" i="15"/>
  <c r="B1786" i="15"/>
  <c r="B1787" i="15"/>
  <c r="B1788" i="15"/>
  <c r="B1789" i="15"/>
  <c r="B1790" i="15"/>
  <c r="B1791" i="15"/>
  <c r="B1792" i="15"/>
  <c r="B1793" i="15"/>
  <c r="B1794" i="15"/>
  <c r="B1795" i="15"/>
  <c r="B1796" i="15"/>
  <c r="B1797" i="15"/>
  <c r="B1798" i="15"/>
  <c r="B1799" i="15"/>
  <c r="B1800" i="15"/>
  <c r="B1801" i="15"/>
  <c r="B1802" i="15"/>
  <c r="B1803" i="15"/>
  <c r="B1804" i="15"/>
  <c r="B1805" i="15"/>
  <c r="B1806" i="15"/>
  <c r="B1807" i="15"/>
  <c r="B1808" i="15"/>
  <c r="B1809" i="15"/>
  <c r="B1810" i="15"/>
  <c r="B1811" i="15"/>
  <c r="B1812" i="15"/>
  <c r="B1813" i="15"/>
  <c r="B1814" i="15"/>
  <c r="B1815" i="15"/>
  <c r="B1816" i="15"/>
  <c r="B1817" i="15"/>
  <c r="B1818" i="15"/>
  <c r="B1819" i="15"/>
  <c r="B1820" i="15"/>
  <c r="B1821" i="15"/>
  <c r="B1822" i="15"/>
  <c r="B1823" i="15"/>
  <c r="B1824" i="15"/>
  <c r="B1825" i="15"/>
  <c r="B1826" i="15"/>
  <c r="B1827" i="15"/>
  <c r="B1828" i="15"/>
  <c r="B1829" i="15"/>
  <c r="B1830" i="15"/>
  <c r="B1831" i="15"/>
  <c r="B1832" i="15"/>
  <c r="B1833" i="15"/>
  <c r="B1834" i="15"/>
  <c r="B1835" i="15"/>
  <c r="B1836" i="15"/>
  <c r="B1837" i="15"/>
  <c r="B1838" i="15"/>
  <c r="B1839" i="15"/>
  <c r="B1840" i="15"/>
  <c r="B1841" i="15"/>
  <c r="B1842" i="15"/>
  <c r="B1843" i="15"/>
  <c r="B1844" i="15"/>
  <c r="B1845" i="15"/>
  <c r="B1846" i="15"/>
  <c r="B1847" i="15"/>
  <c r="B1848" i="15"/>
  <c r="B1849" i="15"/>
  <c r="B1850" i="15"/>
  <c r="B1851" i="15"/>
  <c r="B1852" i="15"/>
  <c r="B1853" i="15"/>
  <c r="B1854" i="15"/>
  <c r="B1855" i="15"/>
  <c r="B1856" i="15"/>
  <c r="B1857" i="15"/>
  <c r="B1858" i="15"/>
  <c r="B1859" i="15"/>
  <c r="B1860" i="15"/>
  <c r="B1861" i="15"/>
  <c r="B1862" i="15"/>
  <c r="B1863" i="15"/>
  <c r="B1864" i="15"/>
  <c r="B1865" i="15"/>
  <c r="B1866" i="15"/>
  <c r="B1867" i="15"/>
  <c r="B1868" i="15"/>
  <c r="B1869" i="15"/>
  <c r="B1870" i="15"/>
  <c r="B1871" i="15"/>
  <c r="B1872" i="15"/>
  <c r="B1873" i="15"/>
  <c r="B1874" i="15"/>
  <c r="B1875" i="15"/>
  <c r="B1876" i="15"/>
  <c r="B1877" i="15"/>
  <c r="B1878" i="15"/>
  <c r="B1879" i="15"/>
  <c r="B1880" i="15"/>
  <c r="B1881" i="15"/>
  <c r="B1882" i="15"/>
  <c r="B1883" i="15"/>
  <c r="B1884" i="15"/>
  <c r="B1885" i="15"/>
  <c r="B1886" i="15"/>
  <c r="B1887" i="15"/>
  <c r="B1888" i="15"/>
  <c r="B1889" i="15"/>
  <c r="B1890" i="15"/>
  <c r="B1891" i="15"/>
  <c r="B1892" i="15"/>
  <c r="B1893" i="15"/>
  <c r="B1894" i="15"/>
  <c r="B1895" i="15"/>
  <c r="B1896" i="15"/>
  <c r="B1897" i="15"/>
  <c r="B1898" i="15"/>
  <c r="B1899" i="15"/>
  <c r="B1900" i="15"/>
  <c r="B1901" i="15"/>
  <c r="B1902" i="15"/>
  <c r="B1903" i="15"/>
  <c r="B1904" i="15"/>
  <c r="B1905" i="15"/>
  <c r="B1906" i="15"/>
  <c r="B1907" i="15"/>
  <c r="B1908" i="15"/>
  <c r="B1909" i="15"/>
  <c r="B1910" i="15"/>
  <c r="B1911" i="15"/>
  <c r="B1912" i="15"/>
  <c r="B1913" i="15"/>
  <c r="B1914" i="15"/>
  <c r="B1915" i="15"/>
  <c r="B1916" i="15"/>
  <c r="B1917" i="15"/>
  <c r="B1918" i="15"/>
  <c r="B1919" i="15"/>
  <c r="B1920" i="15"/>
  <c r="B1921" i="15"/>
  <c r="B1922" i="15"/>
  <c r="B1923" i="15"/>
  <c r="B1924" i="15"/>
  <c r="B1925" i="15"/>
  <c r="B1926" i="15"/>
  <c r="B1927" i="15"/>
  <c r="B1928" i="15"/>
  <c r="B1929" i="15"/>
  <c r="B1930" i="15"/>
  <c r="B1931" i="15"/>
  <c r="B1932" i="15"/>
  <c r="B1933" i="15"/>
  <c r="B1934" i="15"/>
  <c r="B1935" i="15"/>
  <c r="B1936" i="15"/>
  <c r="B1937" i="15"/>
  <c r="B1938" i="15"/>
  <c r="B1939" i="15"/>
  <c r="B1940" i="15"/>
  <c r="B1941" i="15"/>
  <c r="B1942" i="15"/>
  <c r="B1943" i="15"/>
  <c r="B1944" i="15"/>
  <c r="B1945" i="15"/>
  <c r="B1946" i="15"/>
  <c r="B1947" i="15"/>
  <c r="B1948" i="15"/>
  <c r="B1949" i="15"/>
  <c r="B1950" i="15"/>
  <c r="B1951" i="15"/>
  <c r="B1952" i="15"/>
  <c r="B1953" i="15"/>
  <c r="B1954" i="15"/>
  <c r="B1955" i="15"/>
  <c r="B1956" i="15"/>
  <c r="B1957" i="15"/>
  <c r="B1958" i="15"/>
  <c r="B1959" i="15"/>
  <c r="B1960" i="15"/>
  <c r="B1961" i="15"/>
  <c r="B1962" i="15"/>
  <c r="B1963" i="15"/>
  <c r="B1964" i="15"/>
  <c r="B1965" i="15"/>
  <c r="B1966" i="15"/>
  <c r="B1967" i="15"/>
  <c r="B1968" i="15"/>
  <c r="B1969" i="15"/>
  <c r="B1970" i="15"/>
  <c r="B1971" i="15"/>
  <c r="B1972" i="15"/>
  <c r="B1973" i="15"/>
  <c r="B1974" i="15"/>
  <c r="B1975" i="15"/>
  <c r="B1976" i="15"/>
  <c r="B1977" i="15"/>
  <c r="B1978" i="15"/>
  <c r="B1979" i="15"/>
  <c r="B1980" i="15"/>
  <c r="B1981" i="15"/>
  <c r="B1982" i="15"/>
  <c r="B1983" i="15"/>
  <c r="B1984" i="15"/>
  <c r="B1985" i="15"/>
  <c r="B1986" i="15"/>
  <c r="B1987" i="15"/>
  <c r="B1988" i="15"/>
  <c r="B1989" i="15"/>
  <c r="B1990" i="15"/>
  <c r="B1991" i="15"/>
  <c r="B1992" i="15"/>
  <c r="B1993" i="15"/>
  <c r="B1994" i="15"/>
  <c r="B1995" i="15"/>
  <c r="B1996" i="15"/>
  <c r="B1997" i="15"/>
  <c r="B1998" i="15"/>
  <c r="B1999" i="15"/>
  <c r="B2000" i="15"/>
  <c r="B5" i="15"/>
  <c r="B6" i="15"/>
  <c r="B7" i="15"/>
  <c r="B8" i="15"/>
  <c r="B9" i="15"/>
  <c r="B10" i="15"/>
  <c r="B11" i="15"/>
  <c r="B12" i="15"/>
  <c r="B13" i="15"/>
  <c r="B14"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54" i="15"/>
  <c r="B55" i="15"/>
  <c r="B56" i="15"/>
  <c r="B57" i="15"/>
  <c r="B58" i="15"/>
  <c r="B59" i="15"/>
  <c r="B60" i="15"/>
  <c r="B61" i="15"/>
  <c r="B62" i="15"/>
  <c r="B63" i="15"/>
  <c r="B64" i="15"/>
  <c r="B65" i="15"/>
  <c r="B66" i="15"/>
  <c r="B67" i="15"/>
  <c r="B68" i="15"/>
  <c r="B69" i="15"/>
  <c r="B70" i="15"/>
  <c r="B71" i="15"/>
  <c r="B72" i="15"/>
  <c r="B73" i="15"/>
  <c r="B74" i="15"/>
  <c r="B75" i="15"/>
  <c r="B76" i="15"/>
  <c r="B77" i="15"/>
  <c r="B78" i="15"/>
  <c r="B79" i="15"/>
  <c r="B80" i="15"/>
  <c r="B81" i="15"/>
  <c r="B82" i="15"/>
  <c r="B83" i="15"/>
  <c r="B84" i="15"/>
  <c r="B85" i="15"/>
  <c r="B86" i="15"/>
  <c r="B87" i="15"/>
  <c r="B88" i="15"/>
  <c r="B89" i="15"/>
  <c r="B90" i="15"/>
  <c r="B91" i="15"/>
  <c r="B92" i="15"/>
  <c r="B93" i="15"/>
  <c r="B94" i="15"/>
  <c r="B95" i="15"/>
  <c r="B96" i="15"/>
  <c r="B97" i="15"/>
  <c r="B98" i="15"/>
  <c r="B99" i="15"/>
  <c r="B100" i="15"/>
  <c r="B101" i="15"/>
  <c r="B102" i="15"/>
  <c r="B103" i="15"/>
  <c r="B104" i="15"/>
  <c r="B105" i="15"/>
  <c r="B106" i="15"/>
  <c r="B107" i="15"/>
  <c r="B108" i="15"/>
  <c r="B109" i="15"/>
  <c r="B110" i="15"/>
  <c r="B111" i="15"/>
  <c r="B112" i="15"/>
  <c r="B113" i="15"/>
  <c r="B114" i="15"/>
  <c r="B115" i="15"/>
  <c r="B116" i="15"/>
  <c r="B117" i="15"/>
  <c r="B118" i="15"/>
  <c r="B119" i="15"/>
  <c r="B120" i="15"/>
  <c r="B121" i="15"/>
  <c r="B122" i="15"/>
  <c r="B123" i="15"/>
  <c r="B124" i="15"/>
  <c r="B125" i="15"/>
  <c r="B126" i="15"/>
  <c r="B127" i="15"/>
  <c r="B128" i="15"/>
  <c r="B129" i="15"/>
  <c r="B130" i="15"/>
  <c r="B131" i="15"/>
  <c r="B132" i="15"/>
  <c r="B133" i="15"/>
  <c r="B134" i="15"/>
  <c r="B135" i="15"/>
  <c r="B136" i="15"/>
  <c r="B137" i="15"/>
  <c r="B138" i="15"/>
  <c r="B139" i="15"/>
  <c r="B140" i="15"/>
  <c r="B141" i="15"/>
  <c r="B142" i="15"/>
  <c r="B143" i="15"/>
  <c r="B144" i="15"/>
  <c r="B145" i="15"/>
  <c r="B146" i="15"/>
  <c r="B147" i="15"/>
  <c r="B148" i="15"/>
  <c r="B149" i="15"/>
  <c r="B150" i="15"/>
  <c r="B151" i="15"/>
  <c r="B152" i="15"/>
  <c r="B153" i="15"/>
  <c r="B154" i="15"/>
  <c r="B155" i="15"/>
  <c r="B156" i="15"/>
  <c r="B157" i="15"/>
  <c r="B158" i="15"/>
  <c r="B159" i="15"/>
  <c r="B160" i="15"/>
  <c r="B161" i="15"/>
  <c r="B162" i="15"/>
  <c r="B163" i="15"/>
  <c r="B164" i="15"/>
  <c r="B165" i="15"/>
  <c r="B166" i="15"/>
  <c r="B167" i="15"/>
  <c r="B168" i="15"/>
  <c r="B169" i="15"/>
  <c r="B170" i="15"/>
  <c r="B171" i="15"/>
  <c r="B172" i="15"/>
  <c r="B173" i="15"/>
  <c r="B174" i="15"/>
  <c r="B175" i="15"/>
  <c r="B176" i="15"/>
  <c r="B177" i="15"/>
  <c r="B178" i="15"/>
  <c r="B179" i="15"/>
  <c r="B180" i="15"/>
  <c r="B181" i="15"/>
  <c r="B182" i="15"/>
  <c r="B183" i="15"/>
  <c r="B184" i="15"/>
  <c r="B185" i="15"/>
  <c r="B186" i="15"/>
  <c r="B187" i="15"/>
  <c r="B188" i="15"/>
  <c r="B189" i="15"/>
  <c r="B190" i="15"/>
  <c r="B191" i="15"/>
  <c r="B192" i="15"/>
  <c r="B193" i="15"/>
  <c r="B194" i="15"/>
  <c r="B195" i="15"/>
  <c r="B196" i="15"/>
  <c r="B197" i="15"/>
  <c r="B198" i="15"/>
  <c r="B199" i="15"/>
  <c r="B200" i="15"/>
  <c r="B201" i="15"/>
  <c r="B202" i="15"/>
  <c r="B203" i="15"/>
  <c r="B204" i="15"/>
  <c r="B205" i="15"/>
  <c r="B206" i="15"/>
  <c r="B207" i="15"/>
  <c r="B208" i="15"/>
  <c r="B209" i="15"/>
  <c r="B210" i="15"/>
  <c r="B211" i="15"/>
  <c r="B212" i="15"/>
  <c r="B213" i="15"/>
  <c r="B214" i="15"/>
  <c r="B215" i="15"/>
  <c r="B216" i="15"/>
  <c r="B217" i="15"/>
  <c r="B218" i="15"/>
  <c r="B219" i="15"/>
  <c r="B220" i="15"/>
  <c r="B221" i="15"/>
  <c r="B222" i="15"/>
  <c r="B223" i="15"/>
  <c r="B224" i="15"/>
  <c r="B225" i="15"/>
  <c r="B226" i="15"/>
  <c r="B227" i="15"/>
  <c r="B228" i="15"/>
  <c r="B229" i="15"/>
  <c r="B230" i="15"/>
  <c r="B231" i="15"/>
  <c r="B232" i="15"/>
  <c r="B233" i="15"/>
  <c r="B234" i="15"/>
  <c r="B235" i="15"/>
  <c r="B236" i="15"/>
  <c r="B237" i="15"/>
  <c r="B238" i="15"/>
  <c r="B239" i="15"/>
  <c r="B240" i="15"/>
  <c r="B241" i="15"/>
  <c r="B242" i="15"/>
  <c r="B243" i="15"/>
  <c r="B244" i="15"/>
  <c r="B245" i="15"/>
  <c r="B246" i="15"/>
  <c r="B247" i="15"/>
  <c r="B248" i="15"/>
  <c r="B249" i="15"/>
  <c r="B250" i="15"/>
  <c r="B251" i="15"/>
  <c r="B252" i="15"/>
  <c r="B253" i="15"/>
  <c r="B254" i="15"/>
  <c r="B255" i="15"/>
  <c r="B256" i="15"/>
  <c r="B257" i="15"/>
  <c r="B258" i="15"/>
  <c r="B259" i="15"/>
  <c r="B260" i="15"/>
  <c r="B261" i="15"/>
  <c r="B262" i="15"/>
  <c r="B263" i="15"/>
  <c r="B264" i="15"/>
  <c r="B265" i="15"/>
  <c r="B266" i="15"/>
  <c r="B267" i="15"/>
  <c r="B268" i="15"/>
  <c r="B269" i="15"/>
  <c r="B270" i="15"/>
  <c r="B271" i="15"/>
  <c r="B272" i="15"/>
  <c r="B273" i="15"/>
  <c r="B274" i="15"/>
  <c r="B275" i="15"/>
  <c r="B276" i="15"/>
  <c r="B277" i="15"/>
  <c r="B278" i="15"/>
  <c r="B279" i="15"/>
  <c r="B280" i="15"/>
  <c r="B281" i="15"/>
  <c r="B282" i="15"/>
  <c r="B283" i="15"/>
  <c r="B284" i="15"/>
  <c r="B285" i="15"/>
  <c r="B286" i="15"/>
  <c r="B287" i="15"/>
  <c r="B288" i="15"/>
  <c r="B289" i="15"/>
  <c r="B290" i="15"/>
  <c r="B291" i="15"/>
  <c r="B292" i="15"/>
  <c r="B293" i="15"/>
  <c r="B294" i="15"/>
  <c r="B295" i="15"/>
  <c r="B296" i="15"/>
  <c r="B297" i="15"/>
  <c r="B298" i="15"/>
  <c r="B299" i="15"/>
  <c r="B300" i="15"/>
  <c r="B301" i="15"/>
  <c r="B302" i="15"/>
  <c r="B303" i="15"/>
  <c r="B304" i="15"/>
  <c r="B305" i="15"/>
  <c r="B306" i="15"/>
  <c r="B307" i="15"/>
  <c r="B308" i="15"/>
  <c r="B309" i="15"/>
  <c r="B310" i="15"/>
  <c r="B311" i="15"/>
  <c r="B312" i="15"/>
  <c r="B313" i="15"/>
  <c r="B314" i="15"/>
  <c r="B315" i="15"/>
  <c r="B316" i="15"/>
  <c r="B317" i="15"/>
  <c r="B318" i="15"/>
  <c r="B319" i="15"/>
  <c r="B320" i="15"/>
  <c r="B321" i="15"/>
  <c r="B322" i="15"/>
  <c r="B323" i="15"/>
  <c r="B324" i="15"/>
  <c r="B325" i="15"/>
  <c r="B326" i="15"/>
  <c r="B327" i="15"/>
  <c r="B328" i="15"/>
  <c r="B329" i="15"/>
  <c r="B330" i="15"/>
  <c r="B331" i="15"/>
  <c r="B332" i="15"/>
  <c r="B333" i="15"/>
  <c r="B334" i="15"/>
  <c r="B335" i="15"/>
  <c r="B336" i="15"/>
  <c r="B337" i="15"/>
  <c r="B338" i="15"/>
  <c r="B339" i="15"/>
  <c r="B340" i="15"/>
  <c r="B341" i="15"/>
  <c r="B342" i="15"/>
  <c r="B343" i="15"/>
  <c r="B344" i="15"/>
  <c r="B345" i="15"/>
  <c r="B346" i="15"/>
  <c r="B347" i="15"/>
  <c r="B348" i="15"/>
  <c r="B349" i="15"/>
  <c r="B350" i="15"/>
  <c r="B351" i="15"/>
  <c r="B352" i="15"/>
  <c r="B353" i="15"/>
  <c r="B354" i="15"/>
  <c r="B355" i="15"/>
  <c r="B356" i="15"/>
  <c r="B357" i="15"/>
  <c r="B358" i="15"/>
  <c r="B359" i="15"/>
  <c r="B360" i="15"/>
  <c r="B361" i="15"/>
  <c r="B362" i="15"/>
  <c r="B363" i="15"/>
  <c r="B364" i="15"/>
  <c r="B365" i="15"/>
  <c r="B366" i="15"/>
  <c r="B367" i="15"/>
  <c r="B368" i="15"/>
  <c r="B369" i="15"/>
  <c r="B370" i="15"/>
  <c r="B371" i="15"/>
  <c r="B372" i="15"/>
  <c r="B373" i="15"/>
  <c r="B374" i="15"/>
  <c r="B375" i="15"/>
  <c r="B376" i="15"/>
  <c r="B377" i="15"/>
  <c r="B378" i="15"/>
  <c r="B379" i="15"/>
  <c r="B380" i="15"/>
  <c r="B381" i="15"/>
  <c r="B382" i="15"/>
  <c r="B383" i="15"/>
  <c r="B384" i="15"/>
  <c r="B385" i="15"/>
  <c r="B386" i="15"/>
  <c r="B387" i="15"/>
  <c r="B388" i="15"/>
  <c r="B389" i="15"/>
  <c r="B390" i="15"/>
  <c r="B391" i="15"/>
  <c r="B392" i="15"/>
  <c r="B393" i="15"/>
  <c r="B394" i="15"/>
  <c r="B395" i="15"/>
  <c r="B396" i="15"/>
  <c r="B397" i="15"/>
  <c r="B398" i="15"/>
  <c r="B399" i="15"/>
  <c r="B400" i="15"/>
  <c r="B401" i="15"/>
  <c r="B402" i="15"/>
  <c r="B403" i="15"/>
  <c r="B404" i="15"/>
  <c r="B405" i="15"/>
  <c r="B406" i="15"/>
  <c r="B407" i="15"/>
  <c r="B408" i="15"/>
  <c r="B409" i="15"/>
  <c r="B410" i="15"/>
  <c r="B411" i="15"/>
  <c r="B412" i="15"/>
  <c r="B413" i="15"/>
  <c r="B414" i="15"/>
  <c r="B415" i="15"/>
  <c r="B416" i="15"/>
  <c r="B417" i="15"/>
  <c r="B418" i="15"/>
  <c r="B419" i="15"/>
  <c r="B420" i="15"/>
  <c r="B421" i="15"/>
  <c r="B422" i="15"/>
  <c r="B423" i="15"/>
  <c r="B424" i="15"/>
  <c r="B425" i="15"/>
  <c r="B426" i="15"/>
  <c r="B427" i="15"/>
  <c r="B428" i="15"/>
  <c r="B429" i="15"/>
  <c r="B430" i="15"/>
  <c r="B431" i="15"/>
  <c r="B432" i="15"/>
  <c r="B433" i="15"/>
  <c r="B434" i="15"/>
  <c r="B435" i="15"/>
  <c r="B436" i="15"/>
  <c r="B437" i="15"/>
  <c r="B438" i="15"/>
  <c r="B439" i="15"/>
  <c r="B440" i="15"/>
  <c r="B441" i="15"/>
  <c r="B442" i="15"/>
  <c r="B443" i="15"/>
  <c r="B444" i="15"/>
  <c r="B445" i="15"/>
  <c r="B446" i="15"/>
  <c r="B447" i="15"/>
  <c r="B448" i="15"/>
  <c r="B449" i="15"/>
  <c r="B450" i="15"/>
  <c r="B451" i="15"/>
  <c r="B452" i="15"/>
  <c r="B453" i="15"/>
  <c r="B454" i="15"/>
  <c r="B455" i="15"/>
  <c r="B456" i="15"/>
  <c r="B457" i="15"/>
  <c r="B458" i="15"/>
  <c r="B459" i="15"/>
  <c r="B460" i="15"/>
  <c r="B461" i="15"/>
  <c r="B462" i="15"/>
  <c r="B463" i="15"/>
  <c r="B464" i="15"/>
  <c r="B465" i="15"/>
  <c r="B466" i="15"/>
  <c r="B467" i="15"/>
  <c r="B468" i="15"/>
  <c r="B469" i="15"/>
  <c r="B470" i="15"/>
  <c r="B471" i="15"/>
  <c r="B472" i="15"/>
  <c r="B473" i="15"/>
  <c r="B474" i="15"/>
  <c r="B475" i="15"/>
  <c r="B476" i="15"/>
  <c r="B477" i="15"/>
  <c r="B478" i="15"/>
  <c r="B479" i="15"/>
  <c r="B480" i="15"/>
  <c r="B481" i="15"/>
  <c r="B482" i="15"/>
  <c r="B483" i="15"/>
  <c r="B484" i="15"/>
  <c r="B485" i="15"/>
  <c r="B486" i="15"/>
  <c r="B487" i="15"/>
  <c r="B488" i="15"/>
  <c r="B489" i="15"/>
  <c r="B490" i="15"/>
  <c r="B491" i="15"/>
  <c r="B492" i="15"/>
  <c r="B493" i="15"/>
  <c r="B494" i="15"/>
  <c r="B495" i="15"/>
  <c r="B496" i="15"/>
  <c r="B497" i="15"/>
  <c r="B498" i="15"/>
  <c r="B499" i="15"/>
  <c r="B500" i="15"/>
  <c r="B501" i="15"/>
  <c r="B502" i="15"/>
  <c r="B503" i="15"/>
  <c r="B504" i="15"/>
  <c r="B505" i="15"/>
  <c r="B506" i="15"/>
  <c r="B507" i="15"/>
  <c r="B508" i="15"/>
  <c r="B509" i="15"/>
  <c r="B510" i="15"/>
  <c r="B511" i="15"/>
  <c r="B512" i="15"/>
  <c r="B513" i="15"/>
  <c r="B514" i="15"/>
  <c r="B515" i="15"/>
  <c r="B516" i="15"/>
  <c r="B517" i="15"/>
  <c r="B518" i="15"/>
  <c r="B519" i="15"/>
  <c r="B520" i="15"/>
  <c r="B521" i="15"/>
  <c r="B522" i="15"/>
  <c r="B523" i="15"/>
  <c r="B524" i="15"/>
  <c r="B525" i="15"/>
  <c r="B526" i="15"/>
  <c r="B527" i="15"/>
  <c r="B528" i="15"/>
  <c r="B529" i="15"/>
  <c r="B530" i="15"/>
  <c r="B531" i="15"/>
  <c r="B532" i="15"/>
  <c r="B533" i="15"/>
  <c r="B534" i="15"/>
  <c r="B535" i="15"/>
  <c r="B536" i="15"/>
  <c r="B537" i="15"/>
  <c r="B538" i="15"/>
  <c r="B539" i="15"/>
  <c r="B540" i="15"/>
  <c r="B541" i="15"/>
  <c r="B542" i="15"/>
  <c r="B543" i="15"/>
  <c r="B544" i="15"/>
  <c r="B545" i="15"/>
  <c r="B546" i="15"/>
  <c r="B547" i="15"/>
  <c r="B548" i="15"/>
  <c r="B549" i="15"/>
  <c r="B550" i="15"/>
  <c r="B551" i="15"/>
  <c r="B552" i="15"/>
  <c r="B553" i="15"/>
  <c r="B554" i="15"/>
  <c r="B555" i="15"/>
  <c r="B556" i="15"/>
  <c r="B557" i="15"/>
  <c r="B558" i="15"/>
  <c r="B559" i="15"/>
  <c r="B560" i="15"/>
  <c r="B561" i="15"/>
  <c r="B562" i="15"/>
  <c r="B563" i="15"/>
  <c r="B564" i="15"/>
  <c r="B565" i="15"/>
  <c r="B566" i="15"/>
  <c r="B567" i="15"/>
  <c r="B568" i="15"/>
  <c r="B569" i="15"/>
  <c r="B570" i="15"/>
  <c r="B571" i="15"/>
  <c r="B572" i="15"/>
  <c r="B573" i="15"/>
  <c r="B574" i="15"/>
  <c r="B575" i="15"/>
  <c r="B576" i="15"/>
  <c r="B577" i="15"/>
  <c r="B578" i="15"/>
  <c r="B579" i="15"/>
  <c r="B580" i="15"/>
  <c r="B581" i="15"/>
  <c r="B582" i="15"/>
  <c r="B583" i="15"/>
  <c r="B584" i="15"/>
  <c r="B585" i="15"/>
  <c r="B586" i="15"/>
  <c r="B587" i="15"/>
  <c r="B588" i="15"/>
  <c r="B589" i="15"/>
  <c r="B590" i="15"/>
  <c r="B591" i="15"/>
  <c r="B592" i="15"/>
  <c r="B593" i="15"/>
  <c r="B594" i="15"/>
  <c r="B595" i="15"/>
  <c r="B596" i="15"/>
  <c r="B597" i="15"/>
  <c r="B598" i="15"/>
  <c r="B599" i="15"/>
  <c r="B600" i="15"/>
  <c r="B601" i="15"/>
  <c r="B602" i="15"/>
  <c r="B603" i="15"/>
  <c r="B604" i="15"/>
  <c r="B605" i="15"/>
  <c r="B606" i="15"/>
  <c r="B607" i="15"/>
  <c r="B608" i="15"/>
  <c r="B609" i="15"/>
  <c r="B610" i="15"/>
  <c r="B611" i="15"/>
  <c r="B612" i="15"/>
  <c r="B613" i="15"/>
  <c r="B614" i="15"/>
  <c r="B615" i="15"/>
  <c r="B616" i="15"/>
  <c r="B617" i="15"/>
  <c r="B618" i="15"/>
  <c r="B619" i="15"/>
  <c r="B620" i="15"/>
  <c r="B621" i="15"/>
  <c r="B622" i="15"/>
  <c r="B623" i="15"/>
  <c r="B624" i="15"/>
  <c r="B625" i="15"/>
  <c r="B626" i="15"/>
  <c r="B627" i="15"/>
  <c r="B628" i="15"/>
  <c r="B629" i="15"/>
  <c r="B630" i="15"/>
  <c r="B631" i="15"/>
  <c r="B632" i="15"/>
  <c r="B633" i="15"/>
  <c r="B634" i="15"/>
  <c r="B635" i="15"/>
  <c r="B636" i="15"/>
  <c r="B637" i="15"/>
  <c r="B638" i="15"/>
  <c r="B639" i="15"/>
  <c r="B640" i="15"/>
  <c r="B641" i="15"/>
  <c r="B642" i="15"/>
  <c r="B643" i="15"/>
  <c r="B644" i="15"/>
  <c r="B645" i="15"/>
  <c r="B646" i="15"/>
  <c r="B647" i="15"/>
  <c r="B648" i="15"/>
  <c r="B649" i="15"/>
  <c r="B650" i="15"/>
  <c r="B651" i="15"/>
  <c r="B652" i="15"/>
  <c r="B653" i="15"/>
  <c r="B654" i="15"/>
  <c r="B655" i="15"/>
  <c r="B656" i="15"/>
  <c r="B657" i="15"/>
  <c r="B658" i="15"/>
  <c r="B659" i="15"/>
  <c r="B660" i="15"/>
  <c r="B661" i="15"/>
  <c r="B662" i="15"/>
  <c r="B663" i="15"/>
  <c r="B664" i="15"/>
  <c r="B665" i="15"/>
  <c r="B666" i="15"/>
  <c r="B667" i="15"/>
  <c r="B668" i="15"/>
  <c r="B669" i="15"/>
  <c r="B670" i="15"/>
  <c r="B671" i="15"/>
  <c r="B672" i="15"/>
  <c r="B673" i="15"/>
  <c r="B674" i="15"/>
  <c r="B675" i="15"/>
  <c r="B676" i="15"/>
  <c r="B677" i="15"/>
  <c r="B678" i="15"/>
  <c r="B679" i="15"/>
  <c r="B680" i="15"/>
  <c r="B681" i="15"/>
  <c r="B682" i="15"/>
  <c r="B683" i="15"/>
  <c r="B684" i="15"/>
  <c r="B685" i="15"/>
  <c r="B686" i="15"/>
  <c r="B687" i="15"/>
  <c r="B688" i="15"/>
  <c r="B689" i="15"/>
  <c r="B690" i="15"/>
  <c r="B691" i="15"/>
  <c r="B692" i="15"/>
  <c r="B693" i="15"/>
  <c r="B694" i="15"/>
  <c r="B695" i="15"/>
  <c r="B696" i="15"/>
  <c r="B697" i="15"/>
  <c r="B698" i="15"/>
  <c r="B699" i="15"/>
  <c r="B700" i="15"/>
  <c r="B701" i="15"/>
  <c r="B702" i="15"/>
  <c r="B703" i="15"/>
  <c r="B704" i="15"/>
  <c r="B705" i="15"/>
  <c r="B706" i="15"/>
  <c r="B707" i="15"/>
  <c r="B708" i="15"/>
  <c r="B709" i="15"/>
  <c r="B710" i="15"/>
  <c r="B711" i="15"/>
  <c r="B712" i="15"/>
  <c r="B713" i="15"/>
  <c r="B714" i="15"/>
  <c r="B715" i="15"/>
  <c r="B716" i="15"/>
  <c r="B717" i="15"/>
  <c r="B718" i="15"/>
  <c r="B719" i="15"/>
  <c r="B720" i="15"/>
  <c r="B721" i="15"/>
  <c r="B722" i="15"/>
  <c r="B723" i="15"/>
  <c r="B724" i="15"/>
  <c r="B725" i="15"/>
  <c r="B726" i="15"/>
  <c r="B727" i="15"/>
  <c r="B728" i="15"/>
  <c r="B729" i="15"/>
  <c r="B730" i="15"/>
  <c r="B731" i="15"/>
  <c r="B732" i="15"/>
  <c r="B733" i="15"/>
  <c r="B734" i="15"/>
  <c r="B735" i="15"/>
  <c r="B736" i="15"/>
  <c r="B737" i="15"/>
  <c r="B738" i="15"/>
  <c r="B739" i="15"/>
  <c r="B740" i="15"/>
  <c r="B741" i="15"/>
  <c r="B742" i="15"/>
  <c r="B743" i="15"/>
  <c r="B744" i="15"/>
  <c r="B745" i="15"/>
  <c r="B746" i="15"/>
  <c r="B747" i="15"/>
  <c r="B748" i="15"/>
  <c r="B749" i="15"/>
  <c r="B750" i="15"/>
  <c r="B751" i="15"/>
  <c r="B752" i="15"/>
  <c r="B753" i="15"/>
  <c r="B754" i="15"/>
  <c r="B755" i="15"/>
  <c r="B756" i="15"/>
  <c r="B757" i="15"/>
  <c r="B758" i="15"/>
  <c r="B759" i="15"/>
  <c r="B760" i="15"/>
  <c r="B761" i="15"/>
  <c r="B762" i="15"/>
  <c r="B763" i="15"/>
  <c r="B764" i="15"/>
  <c r="B765" i="15"/>
  <c r="B766" i="15"/>
  <c r="B767" i="15"/>
  <c r="B768" i="15"/>
  <c r="B769" i="15"/>
  <c r="B770" i="15"/>
  <c r="B771" i="15"/>
  <c r="B772" i="15"/>
  <c r="B773" i="15"/>
  <c r="B774" i="15"/>
  <c r="B775" i="15"/>
  <c r="B776" i="15"/>
  <c r="B777" i="15"/>
  <c r="B778" i="15"/>
  <c r="B779" i="15"/>
  <c r="B780" i="15"/>
  <c r="B781" i="15"/>
  <c r="B782" i="15"/>
  <c r="B783" i="15"/>
  <c r="B784" i="15"/>
  <c r="B785" i="15"/>
  <c r="B786" i="15"/>
  <c r="B787" i="15"/>
  <c r="B788" i="15"/>
  <c r="B789" i="15"/>
  <c r="B790" i="15"/>
  <c r="B791" i="15"/>
  <c r="B792" i="15"/>
  <c r="B793" i="15"/>
  <c r="B794" i="15"/>
  <c r="B795" i="15"/>
  <c r="B796" i="15"/>
  <c r="B797" i="15"/>
  <c r="B798" i="15"/>
  <c r="B799" i="15"/>
  <c r="B800" i="15"/>
  <c r="B801" i="15"/>
  <c r="B802" i="15"/>
  <c r="B803" i="15"/>
  <c r="B804" i="15"/>
  <c r="B805" i="15"/>
  <c r="B806" i="15"/>
  <c r="B807" i="15"/>
  <c r="B808" i="15"/>
  <c r="B809" i="15"/>
  <c r="B810" i="15"/>
  <c r="B811" i="15"/>
  <c r="B812" i="15"/>
  <c r="B813" i="15"/>
  <c r="B814" i="15"/>
  <c r="B815" i="15"/>
  <c r="B816" i="15"/>
  <c r="B817" i="15"/>
  <c r="B818" i="15"/>
  <c r="B819" i="15"/>
  <c r="B820" i="15"/>
  <c r="B821" i="15"/>
  <c r="B822" i="15"/>
  <c r="B823" i="15"/>
  <c r="B824" i="15"/>
  <c r="B825" i="15"/>
  <c r="B826" i="15"/>
  <c r="B827" i="15"/>
  <c r="B828" i="15"/>
  <c r="B829" i="15"/>
  <c r="B830" i="15"/>
  <c r="B831" i="15"/>
  <c r="B832" i="15"/>
  <c r="B833" i="15"/>
  <c r="B834" i="15"/>
  <c r="B835" i="15"/>
  <c r="B836" i="15"/>
  <c r="B837" i="15"/>
  <c r="B838" i="15"/>
  <c r="B839" i="15"/>
  <c r="B840" i="15"/>
  <c r="B841" i="15"/>
  <c r="B842" i="15"/>
  <c r="B843" i="15"/>
  <c r="B844" i="15"/>
  <c r="B845" i="15"/>
  <c r="B846" i="15"/>
  <c r="B847" i="15"/>
  <c r="B848" i="15"/>
  <c r="B849" i="15"/>
  <c r="B850" i="15"/>
  <c r="B851" i="15"/>
  <c r="B852" i="15"/>
  <c r="B853" i="15"/>
  <c r="B854" i="15"/>
  <c r="B855" i="15"/>
  <c r="B856" i="15"/>
  <c r="B857" i="15"/>
  <c r="B858" i="15"/>
  <c r="B859" i="15"/>
  <c r="B860" i="15"/>
  <c r="B861" i="15"/>
  <c r="B862" i="15"/>
  <c r="B863" i="15"/>
  <c r="B864" i="15"/>
  <c r="B865" i="15"/>
  <c r="B866" i="15"/>
  <c r="B867" i="15"/>
  <c r="B868" i="15"/>
  <c r="B869" i="15"/>
  <c r="B870" i="15"/>
  <c r="B871" i="15"/>
  <c r="B872" i="15"/>
  <c r="B873" i="15"/>
  <c r="B874" i="15"/>
  <c r="B875" i="15"/>
  <c r="B876" i="15"/>
  <c r="B877" i="15"/>
  <c r="B878" i="15"/>
  <c r="B879" i="15"/>
  <c r="B880" i="15"/>
  <c r="B881" i="15"/>
  <c r="B882" i="15"/>
  <c r="B883" i="15"/>
  <c r="B884" i="15"/>
  <c r="B885" i="15"/>
  <c r="B886" i="15"/>
  <c r="B887" i="15"/>
  <c r="B888" i="15"/>
  <c r="B889" i="15"/>
  <c r="B890" i="15"/>
  <c r="B891" i="15"/>
  <c r="B892" i="15"/>
  <c r="B893" i="15"/>
  <c r="B894" i="15"/>
  <c r="B895" i="15"/>
  <c r="B896" i="15"/>
  <c r="B897" i="15"/>
  <c r="B898" i="15"/>
  <c r="B899" i="15"/>
  <c r="B900" i="15"/>
  <c r="B901" i="15"/>
  <c r="B902" i="15"/>
  <c r="B903" i="15"/>
  <c r="B904" i="15"/>
  <c r="B905" i="15"/>
  <c r="B906" i="15"/>
  <c r="B907" i="15"/>
  <c r="B908" i="15"/>
  <c r="B909" i="15"/>
  <c r="B910" i="15"/>
  <c r="B911" i="15"/>
  <c r="B912" i="15"/>
  <c r="B913" i="15"/>
  <c r="B914" i="15"/>
  <c r="B915" i="15"/>
  <c r="B916" i="15"/>
  <c r="B917" i="15"/>
  <c r="B918" i="15"/>
  <c r="B919" i="15"/>
  <c r="B920" i="15"/>
  <c r="B921" i="15"/>
  <c r="B922" i="15"/>
  <c r="B923" i="15"/>
  <c r="B924" i="15"/>
  <c r="B925" i="15"/>
  <c r="B926" i="15"/>
  <c r="B927" i="15"/>
  <c r="B928" i="15"/>
  <c r="B929" i="15"/>
  <c r="B930" i="15"/>
  <c r="B931" i="15"/>
  <c r="B932" i="15"/>
  <c r="B933" i="15"/>
  <c r="B934" i="15"/>
  <c r="B935" i="15"/>
  <c r="B936" i="15"/>
  <c r="B937" i="15"/>
  <c r="B938" i="15"/>
  <c r="B939" i="15"/>
  <c r="B940" i="15"/>
  <c r="B941" i="15"/>
  <c r="B942" i="15"/>
  <c r="B943" i="15"/>
  <c r="B944" i="15"/>
  <c r="B945" i="15"/>
  <c r="B946" i="15"/>
  <c r="B947" i="15"/>
  <c r="B948" i="15"/>
  <c r="B949" i="15"/>
  <c r="B950" i="15"/>
  <c r="B951" i="15"/>
  <c r="B952" i="15"/>
  <c r="B953" i="15"/>
  <c r="B954" i="15"/>
  <c r="B955" i="15"/>
  <c r="B956" i="15"/>
  <c r="B957" i="15"/>
  <c r="B958" i="15"/>
  <c r="B959" i="15"/>
  <c r="B960" i="15"/>
  <c r="B961" i="15"/>
  <c r="B962" i="15"/>
  <c r="B963" i="15"/>
  <c r="B964" i="15"/>
  <c r="B965" i="15"/>
  <c r="B966" i="15"/>
  <c r="B967" i="15"/>
  <c r="B968" i="15"/>
  <c r="B969" i="15"/>
  <c r="B970" i="15"/>
  <c r="B971" i="15"/>
  <c r="B972" i="15"/>
  <c r="B973" i="15"/>
  <c r="B974" i="15"/>
  <c r="B975" i="15"/>
  <c r="B976" i="15"/>
  <c r="B977" i="15"/>
  <c r="B978" i="15"/>
  <c r="B979" i="15"/>
  <c r="B980" i="15"/>
  <c r="B981" i="15"/>
  <c r="B982" i="15"/>
  <c r="B983" i="15"/>
  <c r="B984" i="15"/>
  <c r="B985" i="15"/>
  <c r="B986" i="15"/>
  <c r="B987" i="15"/>
  <c r="B988" i="15"/>
  <c r="B989" i="15"/>
  <c r="B990" i="15"/>
  <c r="B991" i="15"/>
  <c r="B992" i="15"/>
  <c r="B993" i="15"/>
  <c r="B994" i="15"/>
  <c r="B995" i="15"/>
  <c r="B996" i="15"/>
  <c r="B997" i="15"/>
  <c r="B998" i="15"/>
  <c r="B999" i="15"/>
  <c r="B1000" i="15"/>
  <c r="B1001" i="15"/>
  <c r="B1002" i="15"/>
  <c r="B1003" i="15"/>
  <c r="B1004" i="15"/>
  <c r="B1005" i="15"/>
  <c r="B1006" i="15"/>
  <c r="B1007" i="15"/>
  <c r="B1008" i="15"/>
  <c r="B1009" i="15"/>
  <c r="B1010" i="15"/>
  <c r="B1011" i="15"/>
  <c r="B1012" i="15"/>
  <c r="B1013" i="15"/>
  <c r="B1014" i="15"/>
  <c r="B1015" i="15"/>
  <c r="B1016" i="15"/>
  <c r="B1017" i="15"/>
  <c r="B1018" i="15"/>
  <c r="B1019" i="15"/>
  <c r="B4" i="15"/>
  <c r="R1017" i="13" l="1"/>
  <c r="A1017" i="13"/>
  <c r="H1017" i="13" s="1"/>
  <c r="R1016" i="13"/>
  <c r="A1016" i="13"/>
  <c r="H1016" i="13" s="1"/>
  <c r="R1015" i="13"/>
  <c r="A1015" i="13"/>
  <c r="H1015" i="13" s="1"/>
  <c r="R1014" i="13"/>
  <c r="A1014" i="13"/>
  <c r="H1014" i="13" s="1"/>
  <c r="R1013" i="13"/>
  <c r="A1013" i="13"/>
  <c r="H1013" i="13" s="1"/>
  <c r="R1012" i="13"/>
  <c r="A1012" i="13"/>
  <c r="H1012" i="13" s="1"/>
  <c r="R1011" i="13"/>
  <c r="A1011" i="13"/>
  <c r="H1011" i="13" s="1"/>
  <c r="R1010" i="13"/>
  <c r="A1010" i="13"/>
  <c r="H1010" i="13" s="1"/>
  <c r="R1009" i="13"/>
  <c r="A1009" i="13"/>
  <c r="H1009" i="13" s="1"/>
  <c r="R1008" i="13"/>
  <c r="A1008" i="13"/>
  <c r="H1008" i="13" s="1"/>
  <c r="R1007" i="13"/>
  <c r="A1007" i="13"/>
  <c r="H1007" i="13" s="1"/>
  <c r="R1006" i="13"/>
  <c r="A1006" i="13"/>
  <c r="H1006" i="13" s="1"/>
  <c r="R1005" i="13"/>
  <c r="A1005" i="13"/>
  <c r="H1005" i="13" s="1"/>
  <c r="R1004" i="13"/>
  <c r="A1004" i="13"/>
  <c r="H1004" i="13" s="1"/>
  <c r="R1003" i="13"/>
  <c r="A1003" i="13"/>
  <c r="H1003" i="13" s="1"/>
  <c r="R1002" i="13"/>
  <c r="A1002" i="13"/>
  <c r="H1002" i="13" s="1"/>
  <c r="R1001" i="13"/>
  <c r="A1001" i="13"/>
  <c r="H1001" i="13" s="1"/>
  <c r="R1000" i="13"/>
  <c r="A1000" i="13"/>
  <c r="H1000" i="13" s="1"/>
  <c r="R999" i="13"/>
  <c r="A999" i="13"/>
  <c r="H999" i="13" s="1"/>
  <c r="R998" i="13"/>
  <c r="A998" i="13"/>
  <c r="H998" i="13" s="1"/>
  <c r="R997" i="13"/>
  <c r="A997" i="13"/>
  <c r="H997" i="13" s="1"/>
  <c r="R996" i="13"/>
  <c r="A996" i="13"/>
  <c r="H996" i="13" s="1"/>
  <c r="R995" i="13"/>
  <c r="A995" i="13"/>
  <c r="H995" i="13" s="1"/>
  <c r="R994" i="13"/>
  <c r="A994" i="13"/>
  <c r="H994" i="13" s="1"/>
  <c r="R993" i="13"/>
  <c r="A993" i="13"/>
  <c r="H993" i="13" s="1"/>
  <c r="R992" i="13"/>
  <c r="A992" i="13"/>
  <c r="H992" i="13" s="1"/>
  <c r="R991" i="13"/>
  <c r="A991" i="13"/>
  <c r="H991" i="13" s="1"/>
  <c r="R990" i="13"/>
  <c r="A990" i="13"/>
  <c r="H990" i="13" s="1"/>
  <c r="R989" i="13"/>
  <c r="A989" i="13"/>
  <c r="H989" i="13" s="1"/>
  <c r="R988" i="13"/>
  <c r="A988" i="13"/>
  <c r="H988" i="13" s="1"/>
  <c r="R987" i="13"/>
  <c r="A987" i="13"/>
  <c r="H987" i="13" s="1"/>
  <c r="R986" i="13"/>
  <c r="A986" i="13"/>
  <c r="H986" i="13" s="1"/>
  <c r="R985" i="13"/>
  <c r="A985" i="13"/>
  <c r="H985" i="13" s="1"/>
  <c r="R984" i="13"/>
  <c r="A984" i="13"/>
  <c r="H984" i="13" s="1"/>
  <c r="R983" i="13"/>
  <c r="A983" i="13"/>
  <c r="H983" i="13" s="1"/>
  <c r="R982" i="13"/>
  <c r="A982" i="13"/>
  <c r="H982" i="13" s="1"/>
  <c r="R981" i="13"/>
  <c r="A981" i="13"/>
  <c r="H981" i="13" s="1"/>
  <c r="R980" i="13"/>
  <c r="A980" i="13"/>
  <c r="H980" i="13" s="1"/>
  <c r="R979" i="13"/>
  <c r="A979" i="13"/>
  <c r="H979" i="13" s="1"/>
  <c r="R978" i="13"/>
  <c r="A978" i="13"/>
  <c r="H978" i="13" s="1"/>
  <c r="R977" i="13"/>
  <c r="A977" i="13"/>
  <c r="H977" i="13" s="1"/>
  <c r="R976" i="13"/>
  <c r="A976" i="13"/>
  <c r="H976" i="13" s="1"/>
  <c r="R975" i="13"/>
  <c r="A975" i="13"/>
  <c r="H975" i="13" s="1"/>
  <c r="R974" i="13"/>
  <c r="A974" i="13"/>
  <c r="H974" i="13" s="1"/>
  <c r="R973" i="13"/>
  <c r="A973" i="13"/>
  <c r="H973" i="13" s="1"/>
  <c r="R972" i="13"/>
  <c r="A972" i="13"/>
  <c r="H972" i="13" s="1"/>
  <c r="R971" i="13"/>
  <c r="A971" i="13"/>
  <c r="H971" i="13" s="1"/>
  <c r="R970" i="13"/>
  <c r="A970" i="13"/>
  <c r="H970" i="13" s="1"/>
  <c r="R969" i="13"/>
  <c r="A969" i="13"/>
  <c r="H969" i="13" s="1"/>
  <c r="R968" i="13"/>
  <c r="A968" i="13"/>
  <c r="H968" i="13" s="1"/>
  <c r="R967" i="13"/>
  <c r="A967" i="13"/>
  <c r="H967" i="13" s="1"/>
  <c r="R966" i="13"/>
  <c r="A966" i="13"/>
  <c r="H966" i="13" s="1"/>
  <c r="R965" i="13"/>
  <c r="A965" i="13"/>
  <c r="H965" i="13" s="1"/>
  <c r="R964" i="13"/>
  <c r="A964" i="13"/>
  <c r="H964" i="13" s="1"/>
  <c r="R963" i="13"/>
  <c r="A963" i="13"/>
  <c r="H963" i="13" s="1"/>
  <c r="R962" i="13"/>
  <c r="A962" i="13"/>
  <c r="H962" i="13" s="1"/>
  <c r="R961" i="13"/>
  <c r="A961" i="13"/>
  <c r="H961" i="13" s="1"/>
  <c r="R960" i="13"/>
  <c r="A960" i="13"/>
  <c r="H960" i="13" s="1"/>
  <c r="R959" i="13"/>
  <c r="A959" i="13"/>
  <c r="H959" i="13" s="1"/>
  <c r="R958" i="13"/>
  <c r="A958" i="13"/>
  <c r="H958" i="13" s="1"/>
  <c r="R957" i="13"/>
  <c r="A957" i="13"/>
  <c r="H957" i="13" s="1"/>
  <c r="R956" i="13"/>
  <c r="A956" i="13"/>
  <c r="H956" i="13" s="1"/>
  <c r="R955" i="13"/>
  <c r="A955" i="13"/>
  <c r="H955" i="13" s="1"/>
  <c r="R954" i="13"/>
  <c r="A954" i="13"/>
  <c r="H954" i="13" s="1"/>
  <c r="R953" i="13"/>
  <c r="A953" i="13"/>
  <c r="H953" i="13" s="1"/>
  <c r="R952" i="13"/>
  <c r="A952" i="13"/>
  <c r="H952" i="13" s="1"/>
  <c r="R951" i="13"/>
  <c r="A951" i="13"/>
  <c r="H951" i="13" s="1"/>
  <c r="R950" i="13"/>
  <c r="A950" i="13"/>
  <c r="H950" i="13" s="1"/>
  <c r="R949" i="13"/>
  <c r="A949" i="13"/>
  <c r="H949" i="13" s="1"/>
  <c r="R948" i="13"/>
  <c r="A948" i="13"/>
  <c r="H948" i="13" s="1"/>
  <c r="R947" i="13"/>
  <c r="A947" i="13"/>
  <c r="H947" i="13" s="1"/>
  <c r="R946" i="13"/>
  <c r="A946" i="13"/>
  <c r="H946" i="13" s="1"/>
  <c r="R945" i="13"/>
  <c r="A945" i="13"/>
  <c r="H945" i="13" s="1"/>
  <c r="R944" i="13"/>
  <c r="A944" i="13"/>
  <c r="H944" i="13" s="1"/>
  <c r="R943" i="13"/>
  <c r="A943" i="13"/>
  <c r="H943" i="13" s="1"/>
  <c r="R942" i="13"/>
  <c r="A942" i="13"/>
  <c r="H942" i="13" s="1"/>
  <c r="R941" i="13"/>
  <c r="A941" i="13"/>
  <c r="H941" i="13" s="1"/>
  <c r="R940" i="13"/>
  <c r="A940" i="13"/>
  <c r="H940" i="13" s="1"/>
  <c r="R939" i="13"/>
  <c r="A939" i="13"/>
  <c r="H939" i="13" s="1"/>
  <c r="R938" i="13"/>
  <c r="A938" i="13"/>
  <c r="H938" i="13" s="1"/>
  <c r="R937" i="13"/>
  <c r="A937" i="13"/>
  <c r="H937" i="13" s="1"/>
  <c r="R936" i="13"/>
  <c r="A936" i="13"/>
  <c r="H936" i="13" s="1"/>
  <c r="R935" i="13"/>
  <c r="A935" i="13"/>
  <c r="H935" i="13" s="1"/>
  <c r="R934" i="13"/>
  <c r="A934" i="13"/>
  <c r="H934" i="13" s="1"/>
  <c r="R933" i="13"/>
  <c r="A933" i="13"/>
  <c r="H933" i="13" s="1"/>
  <c r="R932" i="13"/>
  <c r="A932" i="13"/>
  <c r="H932" i="13" s="1"/>
  <c r="R931" i="13"/>
  <c r="A931" i="13"/>
  <c r="H931" i="13" s="1"/>
  <c r="R930" i="13"/>
  <c r="A930" i="13"/>
  <c r="H930" i="13" s="1"/>
  <c r="R929" i="13"/>
  <c r="A929" i="13"/>
  <c r="H929" i="13" s="1"/>
  <c r="R928" i="13"/>
  <c r="A928" i="13"/>
  <c r="H928" i="13" s="1"/>
  <c r="R927" i="13"/>
  <c r="A927" i="13"/>
  <c r="H927" i="13" s="1"/>
  <c r="R926" i="13"/>
  <c r="A926" i="13"/>
  <c r="H926" i="13" s="1"/>
  <c r="R925" i="13"/>
  <c r="A925" i="13"/>
  <c r="H925" i="13" s="1"/>
  <c r="R924" i="13"/>
  <c r="A924" i="13"/>
  <c r="H924" i="13" s="1"/>
  <c r="R923" i="13"/>
  <c r="A923" i="13"/>
  <c r="H923" i="13" s="1"/>
  <c r="R922" i="13"/>
  <c r="A922" i="13"/>
  <c r="H922" i="13" s="1"/>
  <c r="R921" i="13"/>
  <c r="A921" i="13"/>
  <c r="H921" i="13" s="1"/>
  <c r="R920" i="13"/>
  <c r="A920" i="13"/>
  <c r="H920" i="13" s="1"/>
  <c r="R919" i="13"/>
  <c r="A919" i="13"/>
  <c r="H919" i="13" s="1"/>
  <c r="R918" i="13"/>
  <c r="A918" i="13"/>
  <c r="H918" i="13" s="1"/>
  <c r="R917" i="13"/>
  <c r="A917" i="13"/>
  <c r="H917" i="13" s="1"/>
  <c r="R916" i="13"/>
  <c r="A916" i="13"/>
  <c r="H916" i="13" s="1"/>
  <c r="R915" i="13"/>
  <c r="A915" i="13"/>
  <c r="H915" i="13" s="1"/>
  <c r="R914" i="13"/>
  <c r="A914" i="13"/>
  <c r="H914" i="13" s="1"/>
  <c r="R913" i="13"/>
  <c r="A913" i="13"/>
  <c r="H913" i="13" s="1"/>
  <c r="R912" i="13"/>
  <c r="A912" i="13"/>
  <c r="H912" i="13" s="1"/>
  <c r="R911" i="13"/>
  <c r="A911" i="13"/>
  <c r="H911" i="13" s="1"/>
  <c r="R910" i="13"/>
  <c r="A910" i="13"/>
  <c r="H910" i="13" s="1"/>
  <c r="R909" i="13"/>
  <c r="A909" i="13"/>
  <c r="H909" i="13" s="1"/>
  <c r="R908" i="13"/>
  <c r="A908" i="13"/>
  <c r="H908" i="13" s="1"/>
  <c r="R907" i="13"/>
  <c r="A907" i="13"/>
  <c r="H907" i="13" s="1"/>
  <c r="R906" i="13"/>
  <c r="A906" i="13"/>
  <c r="H906" i="13" s="1"/>
  <c r="R905" i="13"/>
  <c r="A905" i="13"/>
  <c r="H905" i="13" s="1"/>
  <c r="R904" i="13"/>
  <c r="A904" i="13"/>
  <c r="H904" i="13" s="1"/>
  <c r="R903" i="13"/>
  <c r="A903" i="13"/>
  <c r="H903" i="13" s="1"/>
  <c r="R902" i="13"/>
  <c r="A902" i="13"/>
  <c r="H902" i="13" s="1"/>
  <c r="R901" i="13"/>
  <c r="A901" i="13"/>
  <c r="H901" i="13" s="1"/>
  <c r="R900" i="13"/>
  <c r="A900" i="13"/>
  <c r="H900" i="13" s="1"/>
  <c r="R899" i="13"/>
  <c r="A899" i="13"/>
  <c r="H899" i="13" s="1"/>
  <c r="R898" i="13"/>
  <c r="A898" i="13"/>
  <c r="H898" i="13" s="1"/>
  <c r="R897" i="13"/>
  <c r="A897" i="13"/>
  <c r="H897" i="13" s="1"/>
  <c r="R896" i="13"/>
  <c r="A896" i="13"/>
  <c r="H896" i="13" s="1"/>
  <c r="R895" i="13"/>
  <c r="A895" i="13"/>
  <c r="H895" i="13" s="1"/>
  <c r="R894" i="13"/>
  <c r="A894" i="13"/>
  <c r="H894" i="13" s="1"/>
  <c r="R893" i="13"/>
  <c r="A893" i="13"/>
  <c r="H893" i="13" s="1"/>
  <c r="R892" i="13"/>
  <c r="A892" i="13"/>
  <c r="H892" i="13" s="1"/>
  <c r="R891" i="13"/>
  <c r="A891" i="13"/>
  <c r="H891" i="13" s="1"/>
  <c r="R890" i="13"/>
  <c r="A890" i="13"/>
  <c r="H890" i="13" s="1"/>
  <c r="R889" i="13"/>
  <c r="A889" i="13"/>
  <c r="H889" i="13" s="1"/>
  <c r="R888" i="13"/>
  <c r="A888" i="13"/>
  <c r="H888" i="13" s="1"/>
  <c r="R887" i="13"/>
  <c r="A887" i="13"/>
  <c r="H887" i="13" s="1"/>
  <c r="R886" i="13"/>
  <c r="A886" i="13"/>
  <c r="H886" i="13" s="1"/>
  <c r="R885" i="13"/>
  <c r="A885" i="13"/>
  <c r="H885" i="13" s="1"/>
  <c r="R884" i="13"/>
  <c r="A884" i="13"/>
  <c r="H884" i="13" s="1"/>
  <c r="R883" i="13"/>
  <c r="A883" i="13"/>
  <c r="H883" i="13" s="1"/>
  <c r="R882" i="13"/>
  <c r="A882" i="13"/>
  <c r="H882" i="13" s="1"/>
  <c r="R881" i="13"/>
  <c r="A881" i="13"/>
  <c r="H881" i="13" s="1"/>
  <c r="R880" i="13"/>
  <c r="A880" i="13"/>
  <c r="H880" i="13" s="1"/>
  <c r="R879" i="13"/>
  <c r="A879" i="13"/>
  <c r="H879" i="13" s="1"/>
  <c r="R878" i="13"/>
  <c r="A878" i="13"/>
  <c r="H878" i="13" s="1"/>
  <c r="R877" i="13"/>
  <c r="A877" i="13"/>
  <c r="H877" i="13" s="1"/>
  <c r="R876" i="13"/>
  <c r="A876" i="13"/>
  <c r="H876" i="13" s="1"/>
  <c r="R875" i="13"/>
  <c r="A875" i="13"/>
  <c r="H875" i="13" s="1"/>
  <c r="R874" i="13"/>
  <c r="A874" i="13"/>
  <c r="H874" i="13" s="1"/>
  <c r="R873" i="13"/>
  <c r="A873" i="13"/>
  <c r="H873" i="13" s="1"/>
  <c r="R872" i="13"/>
  <c r="A872" i="13"/>
  <c r="H872" i="13" s="1"/>
  <c r="R871" i="13"/>
  <c r="A871" i="13"/>
  <c r="H871" i="13" s="1"/>
  <c r="R870" i="13"/>
  <c r="A870" i="13"/>
  <c r="H870" i="13" s="1"/>
  <c r="R869" i="13"/>
  <c r="A869" i="13"/>
  <c r="H869" i="13" s="1"/>
  <c r="R868" i="13"/>
  <c r="A868" i="13"/>
  <c r="H868" i="13" s="1"/>
  <c r="R867" i="13"/>
  <c r="A867" i="13"/>
  <c r="H867" i="13" s="1"/>
  <c r="R866" i="13"/>
  <c r="A866" i="13"/>
  <c r="H866" i="13" s="1"/>
  <c r="R865" i="13"/>
  <c r="A865" i="13"/>
  <c r="H865" i="13" s="1"/>
  <c r="R864" i="13"/>
  <c r="A864" i="13"/>
  <c r="H864" i="13" s="1"/>
  <c r="R863" i="13"/>
  <c r="A863" i="13"/>
  <c r="H863" i="13" s="1"/>
  <c r="R862" i="13"/>
  <c r="A862" i="13"/>
  <c r="H862" i="13" s="1"/>
  <c r="R861" i="13"/>
  <c r="A861" i="13"/>
  <c r="H861" i="13" s="1"/>
  <c r="R860" i="13"/>
  <c r="A860" i="13"/>
  <c r="H860" i="13" s="1"/>
  <c r="R859" i="13"/>
  <c r="A859" i="13"/>
  <c r="H859" i="13" s="1"/>
  <c r="R858" i="13"/>
  <c r="A858" i="13"/>
  <c r="H858" i="13" s="1"/>
  <c r="R857" i="13"/>
  <c r="A857" i="13"/>
  <c r="H857" i="13" s="1"/>
  <c r="R856" i="13"/>
  <c r="A856" i="13"/>
  <c r="H856" i="13" s="1"/>
  <c r="R855" i="13"/>
  <c r="A855" i="13"/>
  <c r="H855" i="13" s="1"/>
  <c r="R854" i="13"/>
  <c r="A854" i="13"/>
  <c r="H854" i="13" s="1"/>
  <c r="R853" i="13"/>
  <c r="A853" i="13"/>
  <c r="H853" i="13" s="1"/>
  <c r="R852" i="13"/>
  <c r="A852" i="13"/>
  <c r="H852" i="13" s="1"/>
  <c r="R851" i="13"/>
  <c r="A851" i="13"/>
  <c r="H851" i="13" s="1"/>
  <c r="R850" i="13"/>
  <c r="A850" i="13"/>
  <c r="H850" i="13" s="1"/>
  <c r="R849" i="13"/>
  <c r="A849" i="13"/>
  <c r="H849" i="13" s="1"/>
  <c r="R848" i="13"/>
  <c r="A848" i="13"/>
  <c r="H848" i="13" s="1"/>
  <c r="R847" i="13"/>
  <c r="A847" i="13"/>
  <c r="H847" i="13" s="1"/>
  <c r="R846" i="13"/>
  <c r="A846" i="13"/>
  <c r="H846" i="13" s="1"/>
  <c r="R845" i="13"/>
  <c r="A845" i="13"/>
  <c r="H845" i="13" s="1"/>
  <c r="R844" i="13"/>
  <c r="A844" i="13"/>
  <c r="H844" i="13" s="1"/>
  <c r="R843" i="13"/>
  <c r="A843" i="13"/>
  <c r="H843" i="13" s="1"/>
  <c r="R842" i="13"/>
  <c r="A842" i="13"/>
  <c r="H842" i="13" s="1"/>
  <c r="R841" i="13"/>
  <c r="A841" i="13"/>
  <c r="H841" i="13" s="1"/>
  <c r="R840" i="13"/>
  <c r="A840" i="13"/>
  <c r="H840" i="13" s="1"/>
  <c r="R839" i="13"/>
  <c r="A839" i="13"/>
  <c r="H839" i="13" s="1"/>
  <c r="R838" i="13"/>
  <c r="A838" i="13"/>
  <c r="H838" i="13" s="1"/>
  <c r="R837" i="13"/>
  <c r="A837" i="13"/>
  <c r="H837" i="13" s="1"/>
  <c r="R836" i="13"/>
  <c r="A836" i="13"/>
  <c r="H836" i="13" s="1"/>
  <c r="R835" i="13"/>
  <c r="A835" i="13"/>
  <c r="H835" i="13" s="1"/>
  <c r="R834" i="13"/>
  <c r="A834" i="13"/>
  <c r="H834" i="13" s="1"/>
  <c r="R833" i="13"/>
  <c r="A833" i="13"/>
  <c r="H833" i="13" s="1"/>
  <c r="R832" i="13"/>
  <c r="A832" i="13"/>
  <c r="H832" i="13" s="1"/>
  <c r="R831" i="13"/>
  <c r="A831" i="13"/>
  <c r="H831" i="13" s="1"/>
  <c r="R830" i="13"/>
  <c r="A830" i="13"/>
  <c r="H830" i="13" s="1"/>
  <c r="R829" i="13"/>
  <c r="A829" i="13"/>
  <c r="H829" i="13" s="1"/>
  <c r="R828" i="13"/>
  <c r="A828" i="13"/>
  <c r="H828" i="13" s="1"/>
  <c r="R827" i="13"/>
  <c r="A827" i="13"/>
  <c r="H827" i="13" s="1"/>
  <c r="R826" i="13"/>
  <c r="A826" i="13"/>
  <c r="H826" i="13" s="1"/>
  <c r="R825" i="13"/>
  <c r="A825" i="13"/>
  <c r="H825" i="13" s="1"/>
  <c r="R824" i="13"/>
  <c r="A824" i="13"/>
  <c r="H824" i="13" s="1"/>
  <c r="R823" i="13"/>
  <c r="A823" i="13"/>
  <c r="H823" i="13" s="1"/>
  <c r="R822" i="13"/>
  <c r="A822" i="13"/>
  <c r="H822" i="13" s="1"/>
  <c r="R821" i="13"/>
  <c r="A821" i="13"/>
  <c r="H821" i="13" s="1"/>
  <c r="R820" i="13"/>
  <c r="A820" i="13"/>
  <c r="H820" i="13" s="1"/>
  <c r="R819" i="13"/>
  <c r="A819" i="13"/>
  <c r="H819" i="13" s="1"/>
  <c r="R818" i="13"/>
  <c r="A818" i="13"/>
  <c r="H818" i="13" s="1"/>
  <c r="R817" i="13"/>
  <c r="H817" i="13"/>
  <c r="R816" i="13"/>
  <c r="H816" i="13"/>
  <c r="R815" i="13"/>
  <c r="H815" i="13"/>
  <c r="R814" i="13"/>
  <c r="H814" i="13"/>
  <c r="R813" i="13"/>
  <c r="H813" i="13"/>
  <c r="R812" i="13"/>
  <c r="H812" i="13"/>
  <c r="R811" i="13"/>
  <c r="H811" i="13"/>
  <c r="R810" i="13"/>
  <c r="H810" i="13"/>
  <c r="R809" i="13"/>
  <c r="H809" i="13"/>
  <c r="R808" i="13"/>
  <c r="H808" i="13"/>
  <c r="R807" i="13"/>
  <c r="H807" i="13"/>
  <c r="R806" i="13"/>
  <c r="H806" i="13"/>
  <c r="R805" i="13"/>
  <c r="H805" i="13"/>
  <c r="R804" i="13"/>
  <c r="H804" i="13"/>
  <c r="R803" i="13"/>
  <c r="H803" i="13"/>
  <c r="R802" i="13"/>
  <c r="H802" i="13"/>
  <c r="R801" i="13"/>
  <c r="H801" i="13"/>
  <c r="R800" i="13"/>
  <c r="H800" i="13"/>
  <c r="R799" i="13"/>
  <c r="H799" i="13"/>
  <c r="R798" i="13"/>
  <c r="H798" i="13"/>
  <c r="R797" i="13"/>
  <c r="H797" i="13"/>
  <c r="R796" i="13"/>
  <c r="H796" i="13"/>
  <c r="R795" i="13"/>
  <c r="H795" i="13"/>
  <c r="R794" i="13"/>
  <c r="H794" i="13"/>
  <c r="R793" i="13"/>
  <c r="H793" i="13"/>
  <c r="R792" i="13"/>
  <c r="H792" i="13"/>
  <c r="R791" i="13"/>
  <c r="H791" i="13"/>
  <c r="R790" i="13"/>
  <c r="H790" i="13"/>
  <c r="R789" i="13"/>
  <c r="H789" i="13"/>
  <c r="R788" i="13"/>
  <c r="H788" i="13"/>
  <c r="R787" i="13"/>
  <c r="H787" i="13"/>
  <c r="R786" i="13"/>
  <c r="H786" i="13"/>
  <c r="R785" i="13"/>
  <c r="H785" i="13"/>
  <c r="R784" i="13"/>
  <c r="H784" i="13"/>
  <c r="R783" i="13"/>
  <c r="H783" i="13"/>
  <c r="R782" i="13"/>
  <c r="H782" i="13"/>
  <c r="R781" i="13"/>
  <c r="H781" i="13"/>
  <c r="R780" i="13"/>
  <c r="H780" i="13"/>
  <c r="R779" i="13"/>
  <c r="H779" i="13"/>
  <c r="R778" i="13"/>
  <c r="H778" i="13"/>
  <c r="R777" i="13"/>
  <c r="H777" i="13"/>
  <c r="R776" i="13"/>
  <c r="H776" i="13"/>
  <c r="R775" i="13"/>
  <c r="H775" i="13"/>
  <c r="R774" i="13"/>
  <c r="H774" i="13"/>
  <c r="R773" i="13"/>
  <c r="H773" i="13"/>
  <c r="R772" i="13"/>
  <c r="H772" i="13"/>
  <c r="R771" i="13"/>
  <c r="H771" i="13"/>
  <c r="R770" i="13"/>
  <c r="H770" i="13"/>
  <c r="R769" i="13"/>
  <c r="H769" i="13"/>
  <c r="R768" i="13"/>
  <c r="H768" i="13"/>
  <c r="R767" i="13"/>
  <c r="A767" i="13"/>
  <c r="H767" i="13" s="1"/>
  <c r="R766" i="13"/>
  <c r="A766" i="13"/>
  <c r="H766" i="13" s="1"/>
  <c r="R765" i="13"/>
  <c r="A765" i="13"/>
  <c r="H765" i="13" s="1"/>
  <c r="R764" i="13"/>
  <c r="A764" i="13"/>
  <c r="H764" i="13" s="1"/>
  <c r="R763" i="13"/>
  <c r="A763" i="13"/>
  <c r="H763" i="13" s="1"/>
  <c r="R762" i="13"/>
  <c r="A762" i="13"/>
  <c r="H762" i="13" s="1"/>
  <c r="R761" i="13"/>
  <c r="A761" i="13"/>
  <c r="H761" i="13" s="1"/>
  <c r="R760" i="13"/>
  <c r="A760" i="13"/>
  <c r="H760" i="13" s="1"/>
  <c r="R759" i="13"/>
  <c r="A759" i="13"/>
  <c r="H759" i="13" s="1"/>
  <c r="R758" i="13"/>
  <c r="A758" i="13"/>
  <c r="H758" i="13" s="1"/>
  <c r="R757" i="13"/>
  <c r="A757" i="13"/>
  <c r="H757" i="13" s="1"/>
  <c r="R756" i="13"/>
  <c r="A756" i="13"/>
  <c r="H756" i="13" s="1"/>
  <c r="R755" i="13"/>
  <c r="H755" i="13"/>
  <c r="R754" i="13"/>
  <c r="H754" i="13"/>
  <c r="R753" i="13"/>
  <c r="H753" i="13"/>
  <c r="R752" i="13"/>
  <c r="H752" i="13"/>
  <c r="R751" i="13"/>
  <c r="H751" i="13"/>
  <c r="R750" i="13"/>
  <c r="H750" i="13"/>
  <c r="R749" i="13"/>
  <c r="H749" i="13"/>
  <c r="R748" i="13"/>
  <c r="H748" i="13"/>
  <c r="R747" i="13"/>
  <c r="H747" i="13"/>
  <c r="R746" i="13"/>
  <c r="H746" i="13"/>
  <c r="R745" i="13"/>
  <c r="H745" i="13"/>
  <c r="R744" i="13"/>
  <c r="H744" i="13"/>
  <c r="R743" i="13"/>
  <c r="H743" i="13"/>
  <c r="R742" i="13"/>
  <c r="H742" i="13"/>
  <c r="R741" i="13"/>
  <c r="H741" i="13"/>
  <c r="R740" i="13"/>
  <c r="H740" i="13"/>
  <c r="R739" i="13"/>
  <c r="H739" i="13"/>
  <c r="R738" i="13"/>
  <c r="H738" i="13"/>
  <c r="R737" i="13"/>
  <c r="H737" i="13"/>
  <c r="R736" i="13"/>
  <c r="H736" i="13"/>
  <c r="R735" i="13"/>
  <c r="H735" i="13"/>
  <c r="R734" i="13"/>
  <c r="H734" i="13"/>
  <c r="R733" i="13"/>
  <c r="H733" i="13"/>
  <c r="R732" i="13"/>
  <c r="H732" i="13"/>
  <c r="R731" i="13"/>
  <c r="H731" i="13"/>
  <c r="R730" i="13"/>
  <c r="H730" i="13"/>
  <c r="R729" i="13"/>
  <c r="H729" i="13"/>
  <c r="R728" i="13"/>
  <c r="H728" i="13"/>
  <c r="R727" i="13"/>
  <c r="H727" i="13"/>
  <c r="R726" i="13"/>
  <c r="H726" i="13"/>
  <c r="R725" i="13"/>
  <c r="H725" i="13"/>
  <c r="R724" i="13"/>
  <c r="H724" i="13"/>
  <c r="R723" i="13"/>
  <c r="H723" i="13"/>
  <c r="R722" i="13"/>
  <c r="H722" i="13"/>
  <c r="R721" i="13"/>
  <c r="H721" i="13"/>
  <c r="R720" i="13"/>
  <c r="A720" i="13"/>
  <c r="H720" i="13" s="1"/>
  <c r="R719" i="13"/>
  <c r="A719" i="13"/>
  <c r="H719" i="13" s="1"/>
  <c r="R718" i="13"/>
  <c r="A718" i="13"/>
  <c r="H718" i="13" s="1"/>
  <c r="R717" i="13"/>
  <c r="A717" i="13"/>
  <c r="H717" i="13" s="1"/>
  <c r="R716" i="13"/>
  <c r="A716" i="13"/>
  <c r="H716" i="13" s="1"/>
  <c r="R715" i="13"/>
  <c r="A715" i="13"/>
  <c r="H715" i="13" s="1"/>
  <c r="R714" i="13"/>
  <c r="A714" i="13"/>
  <c r="H714" i="13" s="1"/>
  <c r="R713" i="13"/>
  <c r="A713" i="13"/>
  <c r="H713" i="13" s="1"/>
  <c r="R712" i="13"/>
  <c r="A712" i="13"/>
  <c r="H712" i="13" s="1"/>
  <c r="R711" i="13"/>
  <c r="A711" i="13"/>
  <c r="H711" i="13" s="1"/>
  <c r="R710" i="13"/>
  <c r="A710" i="13"/>
  <c r="H710" i="13" s="1"/>
  <c r="R709" i="13"/>
  <c r="H709" i="13"/>
  <c r="R708" i="13"/>
  <c r="H708" i="13"/>
  <c r="R707" i="13"/>
  <c r="H707" i="13"/>
  <c r="R706" i="13"/>
  <c r="H706" i="13"/>
  <c r="R705" i="13"/>
  <c r="H705" i="13"/>
  <c r="R704" i="13"/>
  <c r="H704" i="13"/>
  <c r="R703" i="13"/>
  <c r="H703" i="13"/>
  <c r="R702" i="13"/>
  <c r="H702" i="13"/>
  <c r="R701" i="13"/>
  <c r="H701" i="13"/>
  <c r="R700" i="13"/>
  <c r="H700" i="13"/>
  <c r="R699" i="13"/>
  <c r="H699" i="13"/>
  <c r="R698" i="13"/>
  <c r="H698" i="13"/>
  <c r="R697" i="13"/>
  <c r="H697" i="13"/>
  <c r="R696" i="13"/>
  <c r="H696" i="13"/>
  <c r="R695" i="13"/>
  <c r="H695" i="13"/>
  <c r="R694" i="13"/>
  <c r="H694" i="13"/>
  <c r="R693" i="13"/>
  <c r="H693" i="13"/>
  <c r="R692" i="13"/>
  <c r="H692" i="13"/>
  <c r="R691" i="13"/>
  <c r="H691" i="13"/>
  <c r="R690" i="13"/>
  <c r="H690" i="13"/>
  <c r="R689" i="13"/>
  <c r="H689" i="13"/>
  <c r="R688" i="13"/>
  <c r="H688" i="13"/>
  <c r="R687" i="13"/>
  <c r="H687" i="13"/>
  <c r="R686" i="13"/>
  <c r="H686" i="13"/>
  <c r="R685" i="13"/>
  <c r="H685" i="13"/>
  <c r="R684" i="13"/>
  <c r="H684" i="13"/>
  <c r="R683" i="13"/>
  <c r="H683" i="13"/>
  <c r="R682" i="13"/>
  <c r="H682" i="13"/>
  <c r="R681" i="13"/>
  <c r="H681" i="13"/>
  <c r="R680" i="13"/>
  <c r="H680" i="13"/>
  <c r="R679" i="13"/>
  <c r="H679" i="13"/>
  <c r="R678" i="13"/>
  <c r="H678" i="13"/>
  <c r="R677" i="13"/>
  <c r="H677" i="13"/>
  <c r="R676" i="13"/>
  <c r="H676" i="13"/>
  <c r="R675" i="13"/>
  <c r="H675" i="13"/>
  <c r="R674" i="13"/>
  <c r="A674" i="13"/>
  <c r="H674" i="13" s="1"/>
  <c r="R673" i="13"/>
  <c r="A673" i="13"/>
  <c r="H673" i="13" s="1"/>
  <c r="R672" i="13"/>
  <c r="A672" i="13"/>
  <c r="H672" i="13" s="1"/>
  <c r="R671" i="13"/>
  <c r="A671" i="13"/>
  <c r="H671" i="13" s="1"/>
  <c r="R670" i="13"/>
  <c r="A670" i="13"/>
  <c r="H670" i="13" s="1"/>
  <c r="R669" i="13"/>
  <c r="A669" i="13"/>
  <c r="H669" i="13" s="1"/>
  <c r="R668" i="13"/>
  <c r="A668" i="13"/>
  <c r="H668" i="13" s="1"/>
  <c r="R667" i="13"/>
  <c r="A667" i="13"/>
  <c r="H667" i="13" s="1"/>
  <c r="R666" i="13"/>
  <c r="A666" i="13"/>
  <c r="H666" i="13" s="1"/>
  <c r="R665" i="13"/>
  <c r="A665" i="13"/>
  <c r="H665" i="13" s="1"/>
  <c r="R664" i="13"/>
  <c r="A664" i="13"/>
  <c r="H664" i="13" s="1"/>
  <c r="R663" i="13"/>
  <c r="A663" i="13"/>
  <c r="H663" i="13" s="1"/>
  <c r="R662" i="13"/>
  <c r="A662" i="13"/>
  <c r="H662" i="13" s="1"/>
  <c r="R661" i="13"/>
  <c r="A661" i="13"/>
  <c r="H661" i="13" s="1"/>
  <c r="R660" i="13"/>
  <c r="A660" i="13"/>
  <c r="H660" i="13" s="1"/>
  <c r="R659" i="13"/>
  <c r="A659" i="13"/>
  <c r="H659" i="13" s="1"/>
  <c r="R658" i="13"/>
  <c r="H658" i="13"/>
  <c r="R657" i="13"/>
  <c r="H657" i="13"/>
  <c r="R656" i="13"/>
  <c r="H656" i="13"/>
  <c r="R655" i="13"/>
  <c r="H655" i="13"/>
  <c r="R654" i="13"/>
  <c r="H654" i="13"/>
  <c r="R653" i="13"/>
  <c r="H653" i="13"/>
  <c r="R652" i="13"/>
  <c r="H652" i="13"/>
  <c r="R651" i="13"/>
  <c r="H651" i="13"/>
  <c r="R650" i="13"/>
  <c r="H650" i="13"/>
  <c r="R649" i="13"/>
  <c r="H649" i="13"/>
  <c r="R648" i="13"/>
  <c r="H648" i="13"/>
  <c r="R647" i="13"/>
  <c r="H647" i="13"/>
  <c r="R646" i="13"/>
  <c r="H646" i="13"/>
  <c r="R645" i="13"/>
  <c r="H645" i="13"/>
  <c r="R644" i="13"/>
  <c r="H644" i="13"/>
  <c r="R643" i="13"/>
  <c r="H643" i="13"/>
  <c r="R642" i="13"/>
  <c r="H642" i="13"/>
  <c r="R641" i="13"/>
  <c r="H641" i="13"/>
  <c r="R640" i="13"/>
  <c r="H640" i="13"/>
  <c r="R639" i="13"/>
  <c r="H639" i="13"/>
  <c r="R638" i="13"/>
  <c r="H638" i="13"/>
  <c r="R637" i="13"/>
  <c r="H637" i="13"/>
  <c r="R636" i="13"/>
  <c r="H636" i="13"/>
  <c r="R635" i="13"/>
  <c r="H635" i="13"/>
  <c r="R634" i="13"/>
  <c r="H634" i="13"/>
  <c r="R633" i="13"/>
  <c r="H633" i="13"/>
  <c r="R632" i="13"/>
  <c r="H632" i="13"/>
  <c r="R631" i="13"/>
  <c r="H631" i="13"/>
  <c r="R630" i="13"/>
  <c r="H630" i="13"/>
  <c r="R629" i="13"/>
  <c r="H629" i="13"/>
  <c r="R628" i="13"/>
  <c r="H628" i="13"/>
  <c r="R627" i="13"/>
  <c r="H627" i="13"/>
  <c r="R626" i="13"/>
  <c r="H626" i="13"/>
  <c r="R625" i="13"/>
  <c r="H625" i="13"/>
  <c r="R624" i="13"/>
  <c r="H624" i="13"/>
  <c r="R623" i="13"/>
  <c r="A623" i="13"/>
  <c r="H623" i="13" s="1"/>
  <c r="R622" i="13"/>
  <c r="A622" i="13"/>
  <c r="H622" i="13" s="1"/>
  <c r="R621" i="13"/>
  <c r="A621" i="13"/>
  <c r="H621" i="13" s="1"/>
  <c r="R620" i="13"/>
  <c r="A620" i="13"/>
  <c r="H620" i="13" s="1"/>
  <c r="R619" i="13"/>
  <c r="A619" i="13"/>
  <c r="H619" i="13" s="1"/>
  <c r="R618" i="13"/>
  <c r="A618" i="13"/>
  <c r="H618" i="13" s="1"/>
  <c r="R617" i="13"/>
  <c r="A617" i="13"/>
  <c r="H617" i="13" s="1"/>
  <c r="R616" i="13"/>
  <c r="A616" i="13"/>
  <c r="H616" i="13" s="1"/>
  <c r="R615" i="13"/>
  <c r="A615" i="13"/>
  <c r="H615" i="13" s="1"/>
  <c r="R614" i="13"/>
  <c r="A614" i="13"/>
  <c r="H614" i="13" s="1"/>
  <c r="R613" i="13"/>
  <c r="A613" i="13"/>
  <c r="H613" i="13" s="1"/>
  <c r="R612" i="13"/>
  <c r="A612" i="13"/>
  <c r="H612" i="13" s="1"/>
  <c r="R611" i="13"/>
  <c r="A611" i="13"/>
  <c r="H611" i="13" s="1"/>
  <c r="R610" i="13"/>
  <c r="A610" i="13"/>
  <c r="H610" i="13" s="1"/>
  <c r="R609" i="13"/>
  <c r="H609" i="13"/>
  <c r="R608" i="13"/>
  <c r="H608" i="13"/>
  <c r="R607" i="13"/>
  <c r="H607" i="13"/>
  <c r="R606" i="13"/>
  <c r="H606" i="13"/>
  <c r="R605" i="13"/>
  <c r="H605" i="13"/>
  <c r="R604" i="13"/>
  <c r="H604" i="13"/>
  <c r="R603" i="13"/>
  <c r="H603" i="13"/>
  <c r="R602" i="13"/>
  <c r="H602" i="13"/>
  <c r="R601" i="13"/>
  <c r="H601" i="13"/>
  <c r="R600" i="13"/>
  <c r="H600" i="13"/>
  <c r="R599" i="13"/>
  <c r="H599" i="13"/>
  <c r="R598" i="13"/>
  <c r="H598" i="13"/>
  <c r="R597" i="13"/>
  <c r="H597" i="13"/>
  <c r="R596" i="13"/>
  <c r="H596" i="13"/>
  <c r="R595" i="13"/>
  <c r="H595" i="13"/>
  <c r="R594" i="13"/>
  <c r="H594" i="13"/>
  <c r="R593" i="13"/>
  <c r="H593" i="13"/>
  <c r="R592" i="13"/>
  <c r="H592" i="13"/>
  <c r="R591" i="13"/>
  <c r="H591" i="13"/>
  <c r="R590" i="13"/>
  <c r="H590" i="13"/>
  <c r="R589" i="13"/>
  <c r="H589" i="13"/>
  <c r="R588" i="13"/>
  <c r="H588" i="13"/>
  <c r="R587" i="13"/>
  <c r="H587" i="13"/>
  <c r="R586" i="13"/>
  <c r="H586" i="13"/>
  <c r="R585" i="13"/>
  <c r="H585" i="13"/>
  <c r="R584" i="13"/>
  <c r="H584" i="13"/>
  <c r="R583" i="13"/>
  <c r="H583" i="13"/>
  <c r="R582" i="13"/>
  <c r="H582" i="13"/>
  <c r="R581" i="13"/>
  <c r="H581" i="13"/>
  <c r="R580" i="13"/>
  <c r="H580" i="13"/>
  <c r="R579" i="13"/>
  <c r="H579" i="13"/>
  <c r="R578" i="13"/>
  <c r="H578" i="13"/>
  <c r="R577" i="13"/>
  <c r="H577" i="13"/>
  <c r="R576" i="13"/>
  <c r="H576" i="13"/>
  <c r="R575" i="13"/>
  <c r="H575" i="13"/>
  <c r="R574" i="13"/>
  <c r="A574" i="13"/>
  <c r="H574" i="13" s="1"/>
  <c r="R573" i="13"/>
  <c r="A573" i="13"/>
  <c r="H573" i="13" s="1"/>
  <c r="R572" i="13"/>
  <c r="A572" i="13"/>
  <c r="H572" i="13" s="1"/>
  <c r="R571" i="13"/>
  <c r="A571" i="13"/>
  <c r="H571" i="13" s="1"/>
  <c r="R570" i="13"/>
  <c r="A570" i="13"/>
  <c r="H570" i="13" s="1"/>
  <c r="R569" i="13"/>
  <c r="A569" i="13"/>
  <c r="H569" i="13" s="1"/>
  <c r="R568" i="13"/>
  <c r="A568" i="13"/>
  <c r="H568" i="13" s="1"/>
  <c r="R567" i="13"/>
  <c r="A567" i="13"/>
  <c r="H567" i="13" s="1"/>
  <c r="R566" i="13"/>
  <c r="A566" i="13"/>
  <c r="H566" i="13" s="1"/>
  <c r="R565" i="13"/>
  <c r="A565" i="13"/>
  <c r="H565" i="13" s="1"/>
  <c r="R564" i="13"/>
  <c r="A564" i="13"/>
  <c r="H564" i="13" s="1"/>
  <c r="R563" i="13"/>
  <c r="H563" i="13"/>
  <c r="R562" i="13"/>
  <c r="H562" i="13"/>
  <c r="R561" i="13"/>
  <c r="H561" i="13"/>
  <c r="R560" i="13"/>
  <c r="H560" i="13"/>
  <c r="R559" i="13"/>
  <c r="H559" i="13"/>
  <c r="R558" i="13"/>
  <c r="H558" i="13"/>
  <c r="R557" i="13"/>
  <c r="H557" i="13"/>
  <c r="R556" i="13"/>
  <c r="H556" i="13"/>
  <c r="R555" i="13"/>
  <c r="H555" i="13"/>
  <c r="R554" i="13"/>
  <c r="H554" i="13"/>
  <c r="R553" i="13"/>
  <c r="H553" i="13"/>
  <c r="R552" i="13"/>
  <c r="H552" i="13"/>
  <c r="R551" i="13"/>
  <c r="H551" i="13"/>
  <c r="R550" i="13"/>
  <c r="H550" i="13"/>
  <c r="R549" i="13"/>
  <c r="H549" i="13"/>
  <c r="R548" i="13"/>
  <c r="H548" i="13"/>
  <c r="R547" i="13"/>
  <c r="H547" i="13"/>
  <c r="R546" i="13"/>
  <c r="H546" i="13"/>
  <c r="R545" i="13"/>
  <c r="H545" i="13"/>
  <c r="R544" i="13"/>
  <c r="H544" i="13"/>
  <c r="R543" i="13"/>
  <c r="H543" i="13"/>
  <c r="R542" i="13"/>
  <c r="H542" i="13"/>
  <c r="R541" i="13"/>
  <c r="H541" i="13"/>
  <c r="R540" i="13"/>
  <c r="H540" i="13"/>
  <c r="R539" i="13"/>
  <c r="H539" i="13"/>
  <c r="R538" i="13"/>
  <c r="H538" i="13"/>
  <c r="R537" i="13"/>
  <c r="H537" i="13"/>
  <c r="R536" i="13"/>
  <c r="H536" i="13"/>
  <c r="R535" i="13"/>
  <c r="H535" i="13"/>
  <c r="R534" i="13"/>
  <c r="H534" i="13"/>
  <c r="R533" i="13"/>
  <c r="H533" i="13"/>
  <c r="R532" i="13"/>
  <c r="H532" i="13"/>
  <c r="R531" i="13"/>
  <c r="H531" i="13"/>
  <c r="R530" i="13"/>
  <c r="H530" i="13"/>
  <c r="R529" i="13"/>
  <c r="H529" i="13"/>
  <c r="R528" i="13"/>
  <c r="A528" i="13"/>
  <c r="H528" i="13" s="1"/>
  <c r="R527" i="13"/>
  <c r="A527" i="13"/>
  <c r="H527" i="13" s="1"/>
  <c r="R526" i="13"/>
  <c r="A526" i="13"/>
  <c r="H526" i="13" s="1"/>
  <c r="R525" i="13"/>
  <c r="A525" i="13"/>
  <c r="H525" i="13" s="1"/>
  <c r="R524" i="13"/>
  <c r="A524" i="13"/>
  <c r="H524" i="13" s="1"/>
  <c r="R523" i="13"/>
  <c r="A523" i="13"/>
  <c r="H523" i="13" s="1"/>
  <c r="R522" i="13"/>
  <c r="A522" i="13"/>
  <c r="H522" i="13" s="1"/>
  <c r="R521" i="13"/>
  <c r="A521" i="13"/>
  <c r="H521" i="13" s="1"/>
  <c r="R520" i="13"/>
  <c r="A520" i="13"/>
  <c r="H520" i="13" s="1"/>
  <c r="R519" i="13"/>
  <c r="A519" i="13"/>
  <c r="H519" i="13" s="1"/>
  <c r="R518" i="13"/>
  <c r="A518" i="13"/>
  <c r="H518" i="13" s="1"/>
  <c r="R517" i="13"/>
  <c r="A517" i="13"/>
  <c r="H517" i="13" s="1"/>
  <c r="R516" i="13"/>
  <c r="A516" i="13"/>
  <c r="H516" i="13" s="1"/>
  <c r="R515" i="13"/>
  <c r="A515" i="13"/>
  <c r="H515" i="13" s="1"/>
  <c r="R514" i="13"/>
  <c r="A514" i="13"/>
  <c r="H514" i="13" s="1"/>
  <c r="R513" i="13"/>
  <c r="A513" i="13"/>
  <c r="H513" i="13" s="1"/>
  <c r="R512" i="13"/>
  <c r="H512" i="13"/>
  <c r="R511" i="13"/>
  <c r="H511" i="13"/>
  <c r="R510" i="13"/>
  <c r="H510" i="13"/>
  <c r="R509" i="13"/>
  <c r="H509" i="13"/>
  <c r="R508" i="13"/>
  <c r="H508" i="13"/>
  <c r="R507" i="13"/>
  <c r="H507" i="13"/>
  <c r="R506" i="13"/>
  <c r="H506" i="13"/>
  <c r="R505" i="13"/>
  <c r="H505" i="13"/>
  <c r="R504" i="13"/>
  <c r="H504" i="13"/>
  <c r="R503" i="13"/>
  <c r="H503" i="13"/>
  <c r="R502" i="13"/>
  <c r="H502" i="13"/>
  <c r="R501" i="13"/>
  <c r="H501" i="13"/>
  <c r="R500" i="13"/>
  <c r="H500" i="13"/>
  <c r="R499" i="13"/>
  <c r="H499" i="13"/>
  <c r="R498" i="13"/>
  <c r="H498" i="13"/>
  <c r="R497" i="13"/>
  <c r="H497" i="13"/>
  <c r="R496" i="13"/>
  <c r="H496" i="13"/>
  <c r="R495" i="13"/>
  <c r="H495" i="13"/>
  <c r="R494" i="13"/>
  <c r="H494" i="13"/>
  <c r="R493" i="13"/>
  <c r="H493" i="13"/>
  <c r="R492" i="13"/>
  <c r="H492" i="13"/>
  <c r="R491" i="13"/>
  <c r="H491" i="13"/>
  <c r="R490" i="13"/>
  <c r="H490" i="13"/>
  <c r="R489" i="13"/>
  <c r="H489" i="13"/>
  <c r="R488" i="13"/>
  <c r="H488" i="13"/>
  <c r="R487" i="13"/>
  <c r="H487" i="13"/>
  <c r="R486" i="13"/>
  <c r="H486" i="13"/>
  <c r="R485" i="13"/>
  <c r="H485" i="13"/>
  <c r="R484" i="13"/>
  <c r="H484" i="13"/>
  <c r="R483" i="13"/>
  <c r="H483" i="13"/>
  <c r="R482" i="13"/>
  <c r="H482" i="13"/>
  <c r="R481" i="13"/>
  <c r="H481" i="13"/>
  <c r="R480" i="13"/>
  <c r="H480" i="13"/>
  <c r="R479" i="13"/>
  <c r="H479" i="13"/>
  <c r="R478" i="13"/>
  <c r="H478" i="13"/>
  <c r="R477" i="13"/>
  <c r="A477" i="13"/>
  <c r="H477" i="13" s="1"/>
  <c r="R476" i="13"/>
  <c r="A476" i="13"/>
  <c r="H476" i="13" s="1"/>
  <c r="R475" i="13"/>
  <c r="A475" i="13"/>
  <c r="H475" i="13" s="1"/>
  <c r="R474" i="13"/>
  <c r="A474" i="13"/>
  <c r="H474" i="13" s="1"/>
  <c r="R473" i="13"/>
  <c r="A473" i="13"/>
  <c r="H473" i="13" s="1"/>
  <c r="R472" i="13"/>
  <c r="A472" i="13"/>
  <c r="H472" i="13" s="1"/>
  <c r="R471" i="13"/>
  <c r="A471" i="13"/>
  <c r="H471" i="13" s="1"/>
  <c r="R470" i="13"/>
  <c r="A470" i="13"/>
  <c r="H470" i="13" s="1"/>
  <c r="R469" i="13"/>
  <c r="A469" i="13"/>
  <c r="H469" i="13" s="1"/>
  <c r="R468" i="13"/>
  <c r="A468" i="13"/>
  <c r="H468" i="13" s="1"/>
  <c r="R467" i="13"/>
  <c r="A467" i="13"/>
  <c r="H467" i="13" s="1"/>
  <c r="R466" i="13"/>
  <c r="A466" i="13"/>
  <c r="H466" i="13" s="1"/>
  <c r="R465" i="13"/>
  <c r="A465" i="13"/>
  <c r="H465" i="13" s="1"/>
  <c r="R464" i="13"/>
  <c r="A464" i="13"/>
  <c r="H464" i="13" s="1"/>
  <c r="R463" i="13"/>
  <c r="A463" i="13"/>
  <c r="H463" i="13" s="1"/>
  <c r="R462" i="13"/>
  <c r="A462" i="13"/>
  <c r="H462" i="13" s="1"/>
  <c r="R461" i="13"/>
  <c r="H461" i="13"/>
  <c r="R460" i="13"/>
  <c r="H460" i="13"/>
  <c r="R459" i="13"/>
  <c r="H459" i="13"/>
  <c r="R458" i="13"/>
  <c r="H458" i="13"/>
  <c r="R457" i="13"/>
  <c r="H457" i="13"/>
  <c r="R456" i="13"/>
  <c r="H456" i="13"/>
  <c r="R455" i="13"/>
  <c r="H455" i="13"/>
  <c r="R454" i="13"/>
  <c r="H454" i="13"/>
  <c r="R453" i="13"/>
  <c r="H453" i="13"/>
  <c r="R452" i="13"/>
  <c r="H452" i="13"/>
  <c r="R451" i="13"/>
  <c r="H451" i="13"/>
  <c r="R450" i="13"/>
  <c r="H450" i="13"/>
  <c r="R449" i="13"/>
  <c r="H449" i="13"/>
  <c r="R448" i="13"/>
  <c r="H448" i="13"/>
  <c r="R447" i="13"/>
  <c r="H447" i="13"/>
  <c r="R446" i="13"/>
  <c r="H446" i="13"/>
  <c r="R445" i="13"/>
  <c r="H445" i="13"/>
  <c r="R444" i="13"/>
  <c r="H444" i="13"/>
  <c r="R443" i="13"/>
  <c r="H443" i="13"/>
  <c r="R442" i="13"/>
  <c r="H442" i="13"/>
  <c r="R441" i="13"/>
  <c r="H441" i="13"/>
  <c r="R440" i="13"/>
  <c r="H440" i="13"/>
  <c r="R439" i="13"/>
  <c r="H439" i="13"/>
  <c r="R438" i="13"/>
  <c r="H438" i="13"/>
  <c r="R437" i="13"/>
  <c r="H437" i="13"/>
  <c r="R436" i="13"/>
  <c r="H436" i="13"/>
  <c r="R435" i="13"/>
  <c r="H435" i="13"/>
  <c r="R434" i="13"/>
  <c r="H434" i="13"/>
  <c r="R433" i="13"/>
  <c r="H433" i="13"/>
  <c r="R432" i="13"/>
  <c r="H432" i="13"/>
  <c r="R431" i="13"/>
  <c r="H431" i="13"/>
  <c r="R430" i="13"/>
  <c r="H430" i="13"/>
  <c r="R429" i="13"/>
  <c r="H429" i="13"/>
  <c r="R428" i="13"/>
  <c r="H428" i="13"/>
  <c r="R427" i="13"/>
  <c r="H427" i="13"/>
  <c r="R426" i="13"/>
  <c r="A426" i="13"/>
  <c r="H426" i="13" s="1"/>
  <c r="R425" i="13"/>
  <c r="A425" i="13"/>
  <c r="H425" i="13" s="1"/>
  <c r="R424" i="13"/>
  <c r="A424" i="13"/>
  <c r="H424" i="13" s="1"/>
  <c r="R423" i="13"/>
  <c r="A423" i="13"/>
  <c r="H423" i="13" s="1"/>
  <c r="R422" i="13"/>
  <c r="A422" i="13"/>
  <c r="H422" i="13" s="1"/>
  <c r="R421" i="13"/>
  <c r="A421" i="13"/>
  <c r="H421" i="13" s="1"/>
  <c r="R420" i="13"/>
  <c r="A420" i="13"/>
  <c r="H420" i="13" s="1"/>
  <c r="R419" i="13"/>
  <c r="A419" i="13"/>
  <c r="H419" i="13" s="1"/>
  <c r="R418" i="13"/>
  <c r="A418" i="13"/>
  <c r="H418" i="13" s="1"/>
  <c r="R417" i="13"/>
  <c r="A417" i="13"/>
  <c r="H417" i="13" s="1"/>
  <c r="R416" i="13"/>
  <c r="A416" i="13"/>
  <c r="H416" i="13" s="1"/>
  <c r="R415" i="13"/>
  <c r="A415" i="13"/>
  <c r="H415" i="13" s="1"/>
  <c r="R414" i="13"/>
  <c r="H414" i="13"/>
  <c r="R413" i="13"/>
  <c r="H413" i="13"/>
  <c r="R412" i="13"/>
  <c r="H412" i="13"/>
  <c r="R411" i="13"/>
  <c r="H411" i="13"/>
  <c r="R410" i="13"/>
  <c r="H410" i="13"/>
  <c r="R409" i="13"/>
  <c r="H409" i="13"/>
  <c r="R408" i="13"/>
  <c r="H408" i="13"/>
  <c r="R407" i="13"/>
  <c r="H407" i="13"/>
  <c r="R406" i="13"/>
  <c r="H406" i="13"/>
  <c r="R405" i="13"/>
  <c r="H405" i="13"/>
  <c r="R404" i="13"/>
  <c r="H404" i="13"/>
  <c r="R403" i="13"/>
  <c r="H403" i="13"/>
  <c r="R402" i="13"/>
  <c r="H402" i="13"/>
  <c r="R401" i="13"/>
  <c r="H401" i="13"/>
  <c r="R400" i="13"/>
  <c r="H400" i="13"/>
  <c r="R399" i="13"/>
  <c r="H399" i="13"/>
  <c r="R398" i="13"/>
  <c r="H398" i="13"/>
  <c r="R397" i="13"/>
  <c r="H397" i="13"/>
  <c r="R396" i="13"/>
  <c r="H396" i="13"/>
  <c r="R395" i="13"/>
  <c r="H395" i="13"/>
  <c r="R394" i="13"/>
  <c r="H394" i="13"/>
  <c r="R393" i="13"/>
  <c r="H393" i="13"/>
  <c r="R392" i="13"/>
  <c r="H392" i="13"/>
  <c r="R391" i="13"/>
  <c r="H391" i="13"/>
  <c r="R390" i="13"/>
  <c r="H390" i="13"/>
  <c r="R389" i="13"/>
  <c r="H389" i="13"/>
  <c r="R388" i="13"/>
  <c r="H388" i="13"/>
  <c r="R387" i="13"/>
  <c r="H387" i="13"/>
  <c r="R386" i="13"/>
  <c r="H386" i="13"/>
  <c r="R385" i="13"/>
  <c r="H385" i="13"/>
  <c r="R384" i="13"/>
  <c r="H384" i="13"/>
  <c r="R383" i="13"/>
  <c r="H383" i="13"/>
  <c r="R382" i="13"/>
  <c r="H382" i="13"/>
  <c r="R381" i="13"/>
  <c r="H381" i="13"/>
  <c r="R380" i="13"/>
  <c r="H380" i="13"/>
  <c r="R379" i="13"/>
  <c r="A379" i="13"/>
  <c r="H379" i="13" s="1"/>
  <c r="R378" i="13"/>
  <c r="A378" i="13"/>
  <c r="H378" i="13" s="1"/>
  <c r="R377" i="13"/>
  <c r="A377" i="13"/>
  <c r="H377" i="13" s="1"/>
  <c r="R376" i="13"/>
  <c r="A376" i="13"/>
  <c r="H376" i="13" s="1"/>
  <c r="R375" i="13"/>
  <c r="A375" i="13"/>
  <c r="H375" i="13" s="1"/>
  <c r="R374" i="13"/>
  <c r="A374" i="13"/>
  <c r="H374" i="13" s="1"/>
  <c r="R373" i="13"/>
  <c r="A373" i="13"/>
  <c r="H373" i="13" s="1"/>
  <c r="R372" i="13"/>
  <c r="A372" i="13"/>
  <c r="H372" i="13" s="1"/>
  <c r="R371" i="13"/>
  <c r="A371" i="13"/>
  <c r="H371" i="13" s="1"/>
  <c r="R370" i="13"/>
  <c r="A370" i="13"/>
  <c r="H370" i="13" s="1"/>
  <c r="R369" i="13"/>
  <c r="A369" i="13"/>
  <c r="H369" i="13" s="1"/>
  <c r="R368" i="13"/>
  <c r="A368" i="13"/>
  <c r="H368" i="13" s="1"/>
  <c r="R367" i="13"/>
  <c r="H367" i="13"/>
  <c r="R366" i="13"/>
  <c r="H366" i="13"/>
  <c r="R365" i="13"/>
  <c r="H365" i="13"/>
  <c r="R364" i="13"/>
  <c r="H364" i="13"/>
  <c r="R363" i="13"/>
  <c r="H363" i="13"/>
  <c r="R362" i="13"/>
  <c r="H362" i="13"/>
  <c r="R361" i="13"/>
  <c r="H361" i="13"/>
  <c r="R360" i="13"/>
  <c r="H360" i="13"/>
  <c r="R359" i="13"/>
  <c r="H359" i="13"/>
  <c r="R358" i="13"/>
  <c r="H358" i="13"/>
  <c r="R357" i="13"/>
  <c r="H357" i="13"/>
  <c r="R356" i="13"/>
  <c r="H356" i="13"/>
  <c r="R355" i="13"/>
  <c r="H355" i="13"/>
  <c r="R354" i="13"/>
  <c r="H354" i="13"/>
  <c r="R353" i="13"/>
  <c r="H353" i="13"/>
  <c r="R352" i="13"/>
  <c r="H352" i="13"/>
  <c r="R351" i="13"/>
  <c r="H351" i="13"/>
  <c r="R350" i="13"/>
  <c r="H350" i="13"/>
  <c r="R349" i="13"/>
  <c r="H349" i="13"/>
  <c r="R348" i="13"/>
  <c r="H348" i="13"/>
  <c r="R347" i="13"/>
  <c r="H347" i="13"/>
  <c r="R346" i="13"/>
  <c r="H346" i="13"/>
  <c r="R345" i="13"/>
  <c r="H345" i="13"/>
  <c r="R344" i="13"/>
  <c r="H344" i="13"/>
  <c r="R343" i="13"/>
  <c r="H343" i="13"/>
  <c r="R342" i="13"/>
  <c r="H342" i="13"/>
  <c r="R341" i="13"/>
  <c r="H341" i="13"/>
  <c r="R340" i="13"/>
  <c r="H340" i="13"/>
  <c r="R339" i="13"/>
  <c r="H339" i="13"/>
  <c r="R338" i="13"/>
  <c r="H338" i="13"/>
  <c r="R337" i="13"/>
  <c r="H337" i="13"/>
  <c r="R336" i="13"/>
  <c r="H336" i="13"/>
  <c r="R335" i="13"/>
  <c r="H335" i="13"/>
  <c r="R334" i="13"/>
  <c r="H334" i="13"/>
  <c r="R333" i="13"/>
  <c r="H333" i="13"/>
  <c r="R332" i="13"/>
  <c r="A332" i="13"/>
  <c r="H332" i="13" s="1"/>
  <c r="R331" i="13"/>
  <c r="A331" i="13"/>
  <c r="H331" i="13" s="1"/>
  <c r="R330" i="13"/>
  <c r="A330" i="13"/>
  <c r="H330" i="13" s="1"/>
  <c r="R329" i="13"/>
  <c r="A329" i="13"/>
  <c r="H329" i="13" s="1"/>
  <c r="R328" i="13"/>
  <c r="A328" i="13"/>
  <c r="H328" i="13" s="1"/>
  <c r="R327" i="13"/>
  <c r="A327" i="13"/>
  <c r="H327" i="13" s="1"/>
  <c r="R326" i="13"/>
  <c r="A326" i="13"/>
  <c r="H326" i="13" s="1"/>
  <c r="R325" i="13"/>
  <c r="A325" i="13"/>
  <c r="H325" i="13" s="1"/>
  <c r="R324" i="13"/>
  <c r="A324" i="13"/>
  <c r="H324" i="13" s="1"/>
  <c r="R323" i="13"/>
  <c r="A323" i="13"/>
  <c r="H323" i="13" s="1"/>
  <c r="R322" i="13"/>
  <c r="A322" i="13"/>
  <c r="H322" i="13" s="1"/>
  <c r="R321" i="13"/>
  <c r="A321" i="13"/>
  <c r="H321" i="13" s="1"/>
  <c r="R320" i="13"/>
  <c r="A320" i="13"/>
  <c r="H320" i="13" s="1"/>
  <c r="R319" i="13"/>
  <c r="H319" i="13"/>
  <c r="R318" i="13"/>
  <c r="H318" i="13"/>
  <c r="R317" i="13"/>
  <c r="H317" i="13"/>
  <c r="R316" i="13"/>
  <c r="H316" i="13"/>
  <c r="R315" i="13"/>
  <c r="H315" i="13"/>
  <c r="R314" i="13"/>
  <c r="H314" i="13"/>
  <c r="R313" i="13"/>
  <c r="H313" i="13"/>
  <c r="R312" i="13"/>
  <c r="H312" i="13"/>
  <c r="R311" i="13"/>
  <c r="H311" i="13"/>
  <c r="R310" i="13"/>
  <c r="H310" i="13"/>
  <c r="R309" i="13"/>
  <c r="H309" i="13"/>
  <c r="R308" i="13"/>
  <c r="H308" i="13"/>
  <c r="R307" i="13"/>
  <c r="H307" i="13"/>
  <c r="R306" i="13"/>
  <c r="H306" i="13"/>
  <c r="R305" i="13"/>
  <c r="H305" i="13"/>
  <c r="R304" i="13"/>
  <c r="H304" i="13"/>
  <c r="R303" i="13"/>
  <c r="H303" i="13"/>
  <c r="R302" i="13"/>
  <c r="H302" i="13"/>
  <c r="R301" i="13"/>
  <c r="H301" i="13"/>
  <c r="R300" i="13"/>
  <c r="H300" i="13"/>
  <c r="R299" i="13"/>
  <c r="H299" i="13"/>
  <c r="R298" i="13"/>
  <c r="H298" i="13"/>
  <c r="R297" i="13"/>
  <c r="H297" i="13"/>
  <c r="R296" i="13"/>
  <c r="H296" i="13"/>
  <c r="R295" i="13"/>
  <c r="H295" i="13"/>
  <c r="R294" i="13"/>
  <c r="H294" i="13"/>
  <c r="R293" i="13"/>
  <c r="H293" i="13"/>
  <c r="R292" i="13"/>
  <c r="H292" i="13"/>
  <c r="R291" i="13"/>
  <c r="H291" i="13"/>
  <c r="R290" i="13"/>
  <c r="H290" i="13"/>
  <c r="R289" i="13"/>
  <c r="H289" i="13"/>
  <c r="R288" i="13"/>
  <c r="H288" i="13"/>
  <c r="R287" i="13"/>
  <c r="H287" i="13"/>
  <c r="R286" i="13"/>
  <c r="H286" i="13"/>
  <c r="R285" i="13"/>
  <c r="H285" i="13"/>
  <c r="R284" i="13"/>
  <c r="A284" i="13"/>
  <c r="H284" i="13" s="1"/>
  <c r="R283" i="13"/>
  <c r="A283" i="13"/>
  <c r="H283" i="13" s="1"/>
  <c r="R282" i="13"/>
  <c r="A282" i="13"/>
  <c r="H282" i="13" s="1"/>
  <c r="R281" i="13"/>
  <c r="A281" i="13"/>
  <c r="H281" i="13" s="1"/>
  <c r="R280" i="13"/>
  <c r="A280" i="13"/>
  <c r="H280" i="13" s="1"/>
  <c r="R279" i="13"/>
  <c r="A279" i="13"/>
  <c r="H279" i="13" s="1"/>
  <c r="R278" i="13"/>
  <c r="A278" i="13"/>
  <c r="H278" i="13" s="1"/>
  <c r="R277" i="13"/>
  <c r="A277" i="13"/>
  <c r="H277" i="13" s="1"/>
  <c r="R276" i="13"/>
  <c r="A276" i="13"/>
  <c r="H276" i="13" s="1"/>
  <c r="R275" i="13"/>
  <c r="A275" i="13"/>
  <c r="H275" i="13" s="1"/>
  <c r="R274" i="13"/>
  <c r="A274" i="13"/>
  <c r="H274" i="13" s="1"/>
  <c r="R273" i="13"/>
  <c r="H273" i="13"/>
  <c r="R272" i="13"/>
  <c r="H272" i="13"/>
  <c r="R271" i="13"/>
  <c r="H271" i="13"/>
  <c r="R270" i="13"/>
  <c r="H270" i="13"/>
  <c r="R269" i="13"/>
  <c r="H269" i="13"/>
  <c r="R268" i="13"/>
  <c r="H268" i="13"/>
  <c r="R267" i="13"/>
  <c r="H267" i="13"/>
  <c r="R266" i="13"/>
  <c r="H266" i="13"/>
  <c r="R265" i="13"/>
  <c r="H265" i="13"/>
  <c r="R264" i="13"/>
  <c r="H264" i="13"/>
  <c r="R263" i="13"/>
  <c r="H263" i="13"/>
  <c r="R262" i="13"/>
  <c r="H262" i="13"/>
  <c r="R261" i="13"/>
  <c r="H261" i="13"/>
  <c r="R260" i="13"/>
  <c r="H260" i="13"/>
  <c r="R259" i="13"/>
  <c r="H259" i="13"/>
  <c r="R258" i="13"/>
  <c r="H258" i="13"/>
  <c r="R257" i="13"/>
  <c r="H257" i="13"/>
  <c r="R256" i="13"/>
  <c r="H256" i="13"/>
  <c r="R255" i="13"/>
  <c r="H255" i="13"/>
  <c r="R254" i="13"/>
  <c r="H254" i="13"/>
  <c r="R253" i="13"/>
  <c r="H253" i="13"/>
  <c r="R252" i="13"/>
  <c r="H252" i="13"/>
  <c r="R251" i="13"/>
  <c r="H251" i="13"/>
  <c r="R250" i="13"/>
  <c r="H250" i="13"/>
  <c r="R249" i="13"/>
  <c r="H249" i="13"/>
  <c r="R248" i="13"/>
  <c r="H248" i="13"/>
  <c r="R247" i="13"/>
  <c r="H247" i="13"/>
  <c r="R246" i="13"/>
  <c r="H246" i="13"/>
  <c r="R245" i="13"/>
  <c r="H245" i="13"/>
  <c r="R244" i="13"/>
  <c r="H244" i="13"/>
  <c r="R243" i="13"/>
  <c r="H243" i="13"/>
  <c r="R242" i="13"/>
  <c r="H242" i="13"/>
  <c r="R241" i="13"/>
  <c r="H241" i="13"/>
  <c r="R240" i="13"/>
  <c r="H240" i="13"/>
  <c r="R239" i="13"/>
  <c r="H239" i="13"/>
  <c r="R238" i="13"/>
  <c r="A238" i="13"/>
  <c r="H238" i="13" s="1"/>
  <c r="R237" i="13"/>
  <c r="A237" i="13"/>
  <c r="H237" i="13" s="1"/>
  <c r="R236" i="13"/>
  <c r="A236" i="13"/>
  <c r="H236" i="13" s="1"/>
  <c r="R235" i="13"/>
  <c r="A235" i="13"/>
  <c r="H235" i="13" s="1"/>
  <c r="R234" i="13"/>
  <c r="A234" i="13"/>
  <c r="H234" i="13" s="1"/>
  <c r="R233" i="13"/>
  <c r="A233" i="13"/>
  <c r="H233" i="13" s="1"/>
  <c r="R232" i="13"/>
  <c r="A232" i="13"/>
  <c r="H232" i="13" s="1"/>
  <c r="R231" i="13"/>
  <c r="A231" i="13"/>
  <c r="H231" i="13" s="1"/>
  <c r="R230" i="13"/>
  <c r="A230" i="13"/>
  <c r="H230" i="13" s="1"/>
  <c r="R229" i="13"/>
  <c r="A229" i="13"/>
  <c r="H229" i="13" s="1"/>
  <c r="R228" i="13"/>
  <c r="A228" i="13"/>
  <c r="H228" i="13" s="1"/>
  <c r="R227" i="13"/>
  <c r="A227" i="13"/>
  <c r="H227" i="13" s="1"/>
  <c r="R226" i="13"/>
  <c r="A226" i="13"/>
  <c r="H226" i="13" s="1"/>
  <c r="R225" i="13"/>
  <c r="H225" i="13"/>
  <c r="R224" i="13"/>
  <c r="H224" i="13"/>
  <c r="R223" i="13"/>
  <c r="H223" i="13"/>
  <c r="R222" i="13"/>
  <c r="H222" i="13"/>
  <c r="R221" i="13"/>
  <c r="H221" i="13"/>
  <c r="R220" i="13"/>
  <c r="H220" i="13"/>
  <c r="R219" i="13"/>
  <c r="H219" i="13"/>
  <c r="R218" i="13"/>
  <c r="H218" i="13"/>
  <c r="R217" i="13"/>
  <c r="H217" i="13"/>
  <c r="R216" i="13"/>
  <c r="H216" i="13"/>
  <c r="R215" i="13"/>
  <c r="H215" i="13"/>
  <c r="R214" i="13"/>
  <c r="H214" i="13"/>
  <c r="R213" i="13"/>
  <c r="H213" i="13"/>
  <c r="R212" i="13"/>
  <c r="H212" i="13"/>
  <c r="R211" i="13"/>
  <c r="H211" i="13"/>
  <c r="R210" i="13"/>
  <c r="H210" i="13"/>
  <c r="R209" i="13"/>
  <c r="H209" i="13"/>
  <c r="R208" i="13"/>
  <c r="H208" i="13"/>
  <c r="R207" i="13"/>
  <c r="H207" i="13"/>
  <c r="R206" i="13"/>
  <c r="H206" i="13"/>
  <c r="R205" i="13"/>
  <c r="H205" i="13"/>
  <c r="R204" i="13"/>
  <c r="H204" i="13"/>
  <c r="R203" i="13"/>
  <c r="H203" i="13"/>
  <c r="R202" i="13"/>
  <c r="H202" i="13"/>
  <c r="R201" i="13"/>
  <c r="H201" i="13"/>
  <c r="R200" i="13"/>
  <c r="H200" i="13"/>
  <c r="R199" i="13"/>
  <c r="H199" i="13"/>
  <c r="R198" i="13"/>
  <c r="H198" i="13"/>
  <c r="R197" i="13"/>
  <c r="H197" i="13"/>
  <c r="R196" i="13"/>
  <c r="H196" i="13"/>
  <c r="R195" i="13"/>
  <c r="H195" i="13"/>
  <c r="R194" i="13"/>
  <c r="H194" i="13"/>
  <c r="R193" i="13"/>
  <c r="H193" i="13"/>
  <c r="R192" i="13"/>
  <c r="H192" i="13"/>
  <c r="R191" i="13"/>
  <c r="H191" i="13"/>
  <c r="R190" i="13"/>
  <c r="A190" i="13"/>
  <c r="H190" i="13" s="1"/>
  <c r="R189" i="13"/>
  <c r="A189" i="13"/>
  <c r="H189" i="13" s="1"/>
  <c r="R188" i="13"/>
  <c r="A188" i="13"/>
  <c r="H188" i="13" s="1"/>
  <c r="R187" i="13"/>
  <c r="A187" i="13"/>
  <c r="H187" i="13" s="1"/>
  <c r="R186" i="13"/>
  <c r="A186" i="13"/>
  <c r="H186" i="13" s="1"/>
  <c r="R185" i="13"/>
  <c r="A185" i="13"/>
  <c r="H185" i="13" s="1"/>
  <c r="R184" i="13"/>
  <c r="A184" i="13"/>
  <c r="H184" i="13" s="1"/>
  <c r="R183" i="13"/>
  <c r="A183" i="13"/>
  <c r="H183" i="13" s="1"/>
  <c r="R182" i="13"/>
  <c r="A182" i="13"/>
  <c r="H182" i="13" s="1"/>
  <c r="R181" i="13"/>
  <c r="A181" i="13"/>
  <c r="H181" i="13" s="1"/>
  <c r="R180" i="13"/>
  <c r="A180" i="13"/>
  <c r="H180" i="13" s="1"/>
  <c r="R179" i="13"/>
  <c r="A179" i="13"/>
  <c r="H179" i="13" s="1"/>
  <c r="R178" i="13"/>
  <c r="H178" i="13"/>
  <c r="R177" i="13"/>
  <c r="H177" i="13"/>
  <c r="R176" i="13"/>
  <c r="H176" i="13"/>
  <c r="R175" i="13"/>
  <c r="H175" i="13"/>
  <c r="R174" i="13"/>
  <c r="H174" i="13"/>
  <c r="R173" i="13"/>
  <c r="H173" i="13"/>
  <c r="R172" i="13"/>
  <c r="H172" i="13"/>
  <c r="R171" i="13"/>
  <c r="H171" i="13"/>
  <c r="R170" i="13"/>
  <c r="H170" i="13"/>
  <c r="R169" i="13"/>
  <c r="H169" i="13"/>
  <c r="R168" i="13"/>
  <c r="H168" i="13"/>
  <c r="R167" i="13"/>
  <c r="H167" i="13"/>
  <c r="R166" i="13"/>
  <c r="H166" i="13"/>
  <c r="R165" i="13"/>
  <c r="H165" i="13"/>
  <c r="R164" i="13"/>
  <c r="H164" i="13"/>
  <c r="R163" i="13"/>
  <c r="H163" i="13"/>
  <c r="R162" i="13"/>
  <c r="H162" i="13"/>
  <c r="R161" i="13"/>
  <c r="H161" i="13"/>
  <c r="R160" i="13"/>
  <c r="H160" i="13"/>
  <c r="R159" i="13"/>
  <c r="H159" i="13"/>
  <c r="R158" i="13"/>
  <c r="H158" i="13"/>
  <c r="R157" i="13"/>
  <c r="H157" i="13"/>
  <c r="R156" i="13"/>
  <c r="H156" i="13"/>
  <c r="R155" i="13"/>
  <c r="H155" i="13"/>
  <c r="R154" i="13"/>
  <c r="H154" i="13"/>
  <c r="R153" i="13"/>
  <c r="H153" i="13"/>
  <c r="R152" i="13"/>
  <c r="H152" i="13"/>
  <c r="R151" i="13"/>
  <c r="H151" i="13"/>
  <c r="R150" i="13"/>
  <c r="H150" i="13"/>
  <c r="R149" i="13"/>
  <c r="H149" i="13"/>
  <c r="R148" i="13"/>
  <c r="H148" i="13"/>
  <c r="R147" i="13"/>
  <c r="H147" i="13"/>
  <c r="R146" i="13"/>
  <c r="H146" i="13"/>
  <c r="R145" i="13"/>
  <c r="H145" i="13"/>
  <c r="R144" i="13"/>
  <c r="H144" i="13"/>
  <c r="R143" i="13"/>
  <c r="A143" i="13"/>
  <c r="H143" i="13" s="1"/>
  <c r="R142" i="13"/>
  <c r="A142" i="13"/>
  <c r="H142" i="13" s="1"/>
  <c r="R141" i="13"/>
  <c r="A141" i="13"/>
  <c r="H141" i="13" s="1"/>
  <c r="R140" i="13"/>
  <c r="A140" i="13"/>
  <c r="H140" i="13" s="1"/>
  <c r="R139" i="13"/>
  <c r="A139" i="13"/>
  <c r="H139" i="13" s="1"/>
  <c r="R138" i="13"/>
  <c r="A138" i="13"/>
  <c r="H138" i="13" s="1"/>
  <c r="R137" i="13"/>
  <c r="A137" i="13"/>
  <c r="H137" i="13" s="1"/>
  <c r="R136" i="13"/>
  <c r="A136" i="13"/>
  <c r="H136" i="13" s="1"/>
  <c r="R135" i="13"/>
  <c r="A135" i="13"/>
  <c r="H135" i="13" s="1"/>
  <c r="R134" i="13"/>
  <c r="A134" i="13"/>
  <c r="H134" i="13" s="1"/>
  <c r="R133" i="13"/>
  <c r="A133" i="13"/>
  <c r="H133" i="13" s="1"/>
  <c r="R132" i="13"/>
  <c r="A132" i="13"/>
  <c r="H132" i="13" s="1"/>
  <c r="R131" i="13"/>
  <c r="A131" i="13"/>
  <c r="H131" i="13" s="1"/>
  <c r="R130" i="13"/>
  <c r="A130" i="13"/>
  <c r="H130" i="13" s="1"/>
  <c r="R129" i="13"/>
  <c r="A129" i="13"/>
  <c r="H129" i="13" s="1"/>
  <c r="R128" i="13"/>
  <c r="H128" i="13"/>
  <c r="R127" i="13"/>
  <c r="H127" i="13"/>
  <c r="R126" i="13"/>
  <c r="H126" i="13"/>
  <c r="R125" i="13"/>
  <c r="H125" i="13"/>
  <c r="R124" i="13"/>
  <c r="H124" i="13"/>
  <c r="R123" i="13"/>
  <c r="H123" i="13"/>
  <c r="R122" i="13"/>
  <c r="H122" i="13"/>
  <c r="R121" i="13"/>
  <c r="H121" i="13"/>
  <c r="R120" i="13"/>
  <c r="H120" i="13"/>
  <c r="R119" i="13"/>
  <c r="H119" i="13"/>
  <c r="R118" i="13"/>
  <c r="H118" i="13"/>
  <c r="R117" i="13"/>
  <c r="H117" i="13"/>
  <c r="R116" i="13"/>
  <c r="H116" i="13"/>
  <c r="R115" i="13"/>
  <c r="H115" i="13"/>
  <c r="R114" i="13"/>
  <c r="H114" i="13"/>
  <c r="R113" i="13"/>
  <c r="H113" i="13"/>
  <c r="R112" i="13"/>
  <c r="H112" i="13"/>
  <c r="R111" i="13"/>
  <c r="H111" i="13"/>
  <c r="R110" i="13"/>
  <c r="H110" i="13"/>
  <c r="R109" i="13"/>
  <c r="H109" i="13"/>
  <c r="R108" i="13"/>
  <c r="H108" i="13"/>
  <c r="R107" i="13"/>
  <c r="H107" i="13"/>
  <c r="R106" i="13"/>
  <c r="H106" i="13"/>
  <c r="R105" i="13"/>
  <c r="H105" i="13"/>
  <c r="R104" i="13"/>
  <c r="H104" i="13"/>
  <c r="R103" i="13"/>
  <c r="H103" i="13"/>
  <c r="R102" i="13"/>
  <c r="H102" i="13"/>
  <c r="R101" i="13"/>
  <c r="H101" i="13"/>
  <c r="R100" i="13"/>
  <c r="H100" i="13"/>
  <c r="R99" i="13"/>
  <c r="H99" i="13"/>
  <c r="R98" i="13"/>
  <c r="H98" i="13"/>
  <c r="R97" i="13"/>
  <c r="H97" i="13"/>
  <c r="R96" i="13"/>
  <c r="H96" i="13"/>
  <c r="R95" i="13"/>
  <c r="H95" i="13"/>
  <c r="R94" i="13"/>
  <c r="H94" i="13"/>
  <c r="R93" i="13"/>
  <c r="A93" i="13"/>
  <c r="H93" i="13" s="1"/>
  <c r="R92" i="13"/>
  <c r="A92" i="13"/>
  <c r="H92" i="13" s="1"/>
  <c r="R91" i="13"/>
  <c r="A91" i="13"/>
  <c r="H91" i="13" s="1"/>
  <c r="R90" i="13"/>
  <c r="A90" i="13"/>
  <c r="H90" i="13" s="1"/>
  <c r="R89" i="13"/>
  <c r="A89" i="13"/>
  <c r="H89" i="13" s="1"/>
  <c r="R88" i="13"/>
  <c r="A88" i="13"/>
  <c r="H88" i="13" s="1"/>
  <c r="R87" i="13"/>
  <c r="A87" i="13"/>
  <c r="H87" i="13" s="1"/>
  <c r="R86" i="13"/>
  <c r="A86" i="13"/>
  <c r="H86" i="13" s="1"/>
  <c r="R85" i="13"/>
  <c r="A85" i="13"/>
  <c r="H85" i="13" s="1"/>
  <c r="R84" i="13"/>
  <c r="A84" i="13"/>
  <c r="H84" i="13" s="1"/>
  <c r="R83" i="13"/>
  <c r="A83" i="13"/>
  <c r="H83" i="13" s="1"/>
  <c r="R82" i="13"/>
  <c r="A82" i="13"/>
  <c r="H82" i="13" s="1"/>
  <c r="R81" i="13"/>
  <c r="H81" i="13"/>
  <c r="R80" i="13"/>
  <c r="H80" i="13"/>
  <c r="R79" i="13"/>
  <c r="H79" i="13"/>
  <c r="R78" i="13"/>
  <c r="H78" i="13"/>
  <c r="R77" i="13"/>
  <c r="H77" i="13"/>
  <c r="R76" i="13"/>
  <c r="H76" i="13"/>
  <c r="R75" i="13"/>
  <c r="H75" i="13"/>
  <c r="R74" i="13"/>
  <c r="H74" i="13"/>
  <c r="R73" i="13"/>
  <c r="H73" i="13"/>
  <c r="R72" i="13"/>
  <c r="H72" i="13"/>
  <c r="R71" i="13"/>
  <c r="H71" i="13"/>
  <c r="R70" i="13"/>
  <c r="H70" i="13"/>
  <c r="R69" i="13"/>
  <c r="H69" i="13"/>
  <c r="R68" i="13"/>
  <c r="H68" i="13"/>
  <c r="R67" i="13"/>
  <c r="H67" i="13"/>
  <c r="R66" i="13"/>
  <c r="H66" i="13"/>
  <c r="R65" i="13"/>
  <c r="H65" i="13"/>
  <c r="R64" i="13"/>
  <c r="H64" i="13"/>
  <c r="R63" i="13"/>
  <c r="H63" i="13"/>
  <c r="R62" i="13"/>
  <c r="H62" i="13"/>
  <c r="R61" i="13"/>
  <c r="H61" i="13"/>
  <c r="R60" i="13"/>
  <c r="H60" i="13"/>
  <c r="R59" i="13"/>
  <c r="H59" i="13"/>
  <c r="R58" i="13"/>
  <c r="H58" i="13"/>
  <c r="R57" i="13"/>
  <c r="H57" i="13"/>
  <c r="R56" i="13"/>
  <c r="H56" i="13"/>
  <c r="R55" i="13"/>
  <c r="H55" i="13"/>
  <c r="R54" i="13"/>
  <c r="H54" i="13"/>
  <c r="R53" i="13"/>
  <c r="H53" i="13"/>
  <c r="R52" i="13"/>
  <c r="H52" i="13"/>
  <c r="R51" i="13"/>
  <c r="H51" i="13"/>
  <c r="R50" i="13"/>
  <c r="H50" i="13"/>
  <c r="R49" i="13"/>
  <c r="H49" i="13"/>
  <c r="R48" i="13"/>
  <c r="H48" i="13"/>
  <c r="R47" i="13"/>
  <c r="H47" i="13"/>
  <c r="R46" i="13"/>
  <c r="A46" i="13"/>
  <c r="H46" i="13" s="1"/>
  <c r="R45" i="13"/>
  <c r="A45" i="13"/>
  <c r="H45" i="13" s="1"/>
  <c r="R44" i="13"/>
  <c r="A44" i="13"/>
  <c r="H44" i="13" s="1"/>
  <c r="R43" i="13"/>
  <c r="A43" i="13"/>
  <c r="H43" i="13" s="1"/>
  <c r="R42" i="13"/>
  <c r="A42" i="13"/>
  <c r="H42" i="13" s="1"/>
  <c r="R41" i="13"/>
  <c r="A41" i="13"/>
  <c r="H41" i="13" s="1"/>
  <c r="R40" i="13"/>
  <c r="A40" i="13"/>
  <c r="H40" i="13" s="1"/>
  <c r="R39" i="13"/>
  <c r="A39" i="13"/>
  <c r="H39" i="13" s="1"/>
  <c r="R38" i="13"/>
  <c r="A38" i="13"/>
  <c r="H38" i="13" s="1"/>
  <c r="R37" i="13"/>
  <c r="A37" i="13"/>
  <c r="R36" i="13"/>
  <c r="H36" i="13"/>
  <c r="R35" i="13"/>
  <c r="H35" i="13"/>
  <c r="R34" i="13"/>
  <c r="H34" i="13"/>
  <c r="R33" i="13"/>
  <c r="H33" i="13"/>
  <c r="R32" i="13"/>
  <c r="H32" i="13"/>
  <c r="R31" i="13"/>
  <c r="H31" i="13"/>
  <c r="R30" i="13"/>
  <c r="H30" i="13"/>
  <c r="R29" i="13"/>
  <c r="H29" i="13"/>
  <c r="R28" i="13"/>
  <c r="H28" i="13"/>
  <c r="R27" i="13"/>
  <c r="H27" i="13"/>
  <c r="R26" i="13"/>
  <c r="H26" i="13"/>
  <c r="R25" i="13"/>
  <c r="H25" i="13"/>
  <c r="R24" i="13"/>
  <c r="H24" i="13"/>
  <c r="R23" i="13"/>
  <c r="H23" i="13"/>
  <c r="R22" i="13"/>
  <c r="H22" i="13"/>
  <c r="R21" i="13"/>
  <c r="H21" i="13"/>
  <c r="R20" i="13"/>
  <c r="H20" i="13"/>
  <c r="R19" i="13"/>
  <c r="H19" i="13"/>
  <c r="R18" i="13"/>
  <c r="H18" i="13"/>
  <c r="R17" i="13"/>
  <c r="H17" i="13"/>
  <c r="R16" i="13"/>
  <c r="H16" i="13"/>
  <c r="R15" i="13"/>
  <c r="H15" i="13"/>
  <c r="R14" i="13"/>
  <c r="H14" i="13"/>
  <c r="R13" i="13"/>
  <c r="H13" i="13"/>
  <c r="R12" i="13"/>
  <c r="H12" i="13"/>
  <c r="R11" i="13"/>
  <c r="H11" i="13"/>
  <c r="R10" i="13"/>
  <c r="H10" i="13"/>
  <c r="R9" i="13"/>
  <c r="H9" i="13"/>
  <c r="R8" i="13"/>
  <c r="H8" i="13"/>
  <c r="R7" i="13"/>
  <c r="H7" i="13"/>
  <c r="R6" i="13"/>
  <c r="H6" i="13"/>
  <c r="R5" i="13"/>
  <c r="H5" i="13"/>
  <c r="R4" i="13"/>
  <c r="H4" i="13"/>
  <c r="R3" i="13"/>
  <c r="H3" i="13"/>
  <c r="R2" i="13"/>
  <c r="H2" i="13"/>
  <c r="I1" i="13"/>
  <c r="A1020" i="15" l="1"/>
  <c r="A1021" i="15"/>
  <c r="A1022" i="15"/>
  <c r="A1023" i="15"/>
  <c r="A7" i="15"/>
  <c r="A133" i="15"/>
  <c r="A135" i="15"/>
  <c r="A137" i="15"/>
  <c r="A281" i="15"/>
  <c r="A283" i="15"/>
  <c r="A409" i="15"/>
  <c r="A411" i="15"/>
  <c r="A495" i="15"/>
  <c r="A628" i="15"/>
  <c r="A630" i="15"/>
  <c r="A701" i="15"/>
  <c r="A1103" i="15"/>
  <c r="A1166" i="15"/>
  <c r="A1167" i="15"/>
  <c r="A1168" i="15"/>
  <c r="A1169" i="15"/>
  <c r="A1170" i="15"/>
  <c r="A6" i="15"/>
  <c r="A8" i="15"/>
  <c r="A134" i="15"/>
  <c r="A136" i="15"/>
  <c r="A138" i="15"/>
  <c r="A282" i="15"/>
  <c r="A408" i="15"/>
  <c r="A410" i="15"/>
  <c r="A494" i="15"/>
  <c r="A496" i="15"/>
  <c r="A629" i="15"/>
  <c r="A700" i="15"/>
  <c r="A916" i="15"/>
  <c r="H1" i="13"/>
  <c r="H37" i="13"/>
  <c r="A1024" i="15"/>
  <c r="A1025" i="15"/>
  <c r="A1026" i="15"/>
  <c r="A1027" i="15"/>
  <c r="A1028" i="15"/>
  <c r="A1029" i="15"/>
  <c r="A1030" i="15"/>
  <c r="A1031" i="15"/>
  <c r="A1032" i="15"/>
  <c r="A1033" i="15"/>
  <c r="A1034" i="15"/>
  <c r="A1035" i="15"/>
  <c r="A1036" i="15"/>
  <c r="A1037" i="15"/>
  <c r="A1038" i="15"/>
  <c r="A1039" i="15"/>
  <c r="A1040" i="15"/>
  <c r="A1041" i="15"/>
  <c r="A1042" i="15"/>
  <c r="A1043" i="15"/>
  <c r="A1044" i="15"/>
  <c r="A1045" i="15"/>
  <c r="A1046" i="15"/>
  <c r="A1047" i="15"/>
  <c r="A1048" i="15"/>
  <c r="A1049" i="15"/>
  <c r="A1050" i="15"/>
  <c r="A1051" i="15"/>
  <c r="A1052" i="15"/>
  <c r="A1053" i="15"/>
  <c r="A1054" i="15"/>
  <c r="A1055" i="15"/>
  <c r="A1056" i="15"/>
  <c r="A1057" i="15"/>
  <c r="A1058" i="15"/>
  <c r="A1059" i="15"/>
  <c r="A1060" i="15"/>
  <c r="A1061" i="15"/>
  <c r="A1062" i="15"/>
  <c r="A1063" i="15"/>
  <c r="A1064" i="15"/>
  <c r="A1065" i="15"/>
  <c r="A1066" i="15"/>
  <c r="A1067" i="15"/>
  <c r="A1068" i="15"/>
  <c r="A1069" i="15"/>
  <c r="A1070" i="15"/>
  <c r="A1071" i="15"/>
  <c r="A1072" i="15"/>
  <c r="A1073" i="15"/>
  <c r="A1074" i="15"/>
  <c r="A1075" i="15"/>
  <c r="A1076" i="15"/>
  <c r="A1077" i="15"/>
  <c r="A1078" i="15"/>
  <c r="A1079" i="15"/>
  <c r="A1080" i="15"/>
  <c r="A1081" i="15"/>
  <c r="A1082" i="15"/>
  <c r="A1083" i="15"/>
  <c r="A1084" i="15"/>
  <c r="A1085" i="15"/>
  <c r="A1086" i="15"/>
  <c r="A1087" i="15"/>
  <c r="A1088" i="15"/>
  <c r="A1089" i="15"/>
  <c r="A1090" i="15"/>
  <c r="A1091" i="15"/>
  <c r="A1092" i="15"/>
  <c r="A1093" i="15"/>
  <c r="A1094" i="15"/>
  <c r="A1095" i="15"/>
  <c r="A1096" i="15"/>
  <c r="A1097" i="15"/>
  <c r="A1098" i="15"/>
  <c r="A1099" i="15"/>
  <c r="A1100" i="15"/>
  <c r="A1101" i="15"/>
  <c r="A1102" i="15"/>
  <c r="A1104" i="15"/>
  <c r="A1105" i="15"/>
  <c r="A1106" i="15"/>
  <c r="A1107" i="15"/>
  <c r="A1108" i="15"/>
  <c r="A1109" i="15"/>
  <c r="A10" i="15"/>
  <c r="A12" i="15"/>
  <c r="A14" i="15"/>
  <c r="A16" i="15"/>
  <c r="A18" i="15"/>
  <c r="A20" i="15"/>
  <c r="A22" i="15"/>
  <c r="A24" i="15"/>
  <c r="A26" i="15"/>
  <c r="A28" i="15"/>
  <c r="A30" i="15"/>
  <c r="A32" i="15"/>
  <c r="A34" i="15"/>
  <c r="A36" i="15"/>
  <c r="A38" i="15"/>
  <c r="A40" i="15"/>
  <c r="A42" i="15"/>
  <c r="A44" i="15"/>
  <c r="A46" i="15"/>
  <c r="A48" i="15"/>
  <c r="A50" i="15"/>
  <c r="A52" i="15"/>
  <c r="A54" i="15"/>
  <c r="A56" i="15"/>
  <c r="A58" i="15"/>
  <c r="A60" i="15"/>
  <c r="A62" i="15"/>
  <c r="A64" i="15"/>
  <c r="A66" i="15"/>
  <c r="A68" i="15"/>
  <c r="A70" i="15"/>
  <c r="A72" i="15"/>
  <c r="A74" i="15"/>
  <c r="A76" i="15"/>
  <c r="A78" i="15"/>
  <c r="A80" i="15"/>
  <c r="A82" i="15"/>
  <c r="A84" i="15"/>
  <c r="A86" i="15"/>
  <c r="A88" i="15"/>
  <c r="A90" i="15"/>
  <c r="A92" i="15"/>
  <c r="A94" i="15"/>
  <c r="A96" i="15"/>
  <c r="A98" i="15"/>
  <c r="A100" i="15"/>
  <c r="A102" i="15"/>
  <c r="A104" i="15"/>
  <c r="A106" i="15"/>
  <c r="A108" i="15"/>
  <c r="A110" i="15"/>
  <c r="A112" i="15"/>
  <c r="A114" i="15"/>
  <c r="A116" i="15"/>
  <c r="A118" i="15"/>
  <c r="A120" i="15"/>
  <c r="A122" i="15"/>
  <c r="A124" i="15"/>
  <c r="A126" i="15"/>
  <c r="A128" i="15"/>
  <c r="A130" i="15"/>
  <c r="A132" i="15"/>
  <c r="A140" i="15"/>
  <c r="A142" i="15"/>
  <c r="A144" i="15"/>
  <c r="A146" i="15"/>
  <c r="A148" i="15"/>
  <c r="A150" i="15"/>
  <c r="A11" i="15"/>
  <c r="A15" i="15"/>
  <c r="A19" i="15"/>
  <c r="A23" i="15"/>
  <c r="A27" i="15"/>
  <c r="A31" i="15"/>
  <c r="A35" i="15"/>
  <c r="A39" i="15"/>
  <c r="A43" i="15"/>
  <c r="A47" i="15"/>
  <c r="A51" i="15"/>
  <c r="A55" i="15"/>
  <c r="A59" i="15"/>
  <c r="A63" i="15"/>
  <c r="A67" i="15"/>
  <c r="A71" i="15"/>
  <c r="A75" i="15"/>
  <c r="A79" i="15"/>
  <c r="A83" i="15"/>
  <c r="A87" i="15"/>
  <c r="A91" i="15"/>
  <c r="A95" i="15"/>
  <c r="A99" i="15"/>
  <c r="A103" i="15"/>
  <c r="A107" i="15"/>
  <c r="A111" i="15"/>
  <c r="A115" i="15"/>
  <c r="A119" i="15"/>
  <c r="A123" i="15"/>
  <c r="A127" i="15"/>
  <c r="A131" i="15"/>
  <c r="A141" i="15"/>
  <c r="A145" i="15"/>
  <c r="A149" i="15"/>
  <c r="A152" i="15"/>
  <c r="A154" i="15"/>
  <c r="A156" i="15"/>
  <c r="A158" i="15"/>
  <c r="A160" i="15"/>
  <c r="A162" i="15"/>
  <c r="A164" i="15"/>
  <c r="A166" i="15"/>
  <c r="A168" i="15"/>
  <c r="A170" i="15"/>
  <c r="A172" i="15"/>
  <c r="A174" i="15"/>
  <c r="A176" i="15"/>
  <c r="A178" i="15"/>
  <c r="A180" i="15"/>
  <c r="A182" i="15"/>
  <c r="A184" i="15"/>
  <c r="A186" i="15"/>
  <c r="A188" i="15"/>
  <c r="A190" i="15"/>
  <c r="A192" i="15"/>
  <c r="A194" i="15"/>
  <c r="A196" i="15"/>
  <c r="A198" i="15"/>
  <c r="A200" i="15"/>
  <c r="A202" i="15"/>
  <c r="A204" i="15"/>
  <c r="A206" i="15"/>
  <c r="A208" i="15"/>
  <c r="A210" i="15"/>
  <c r="A212" i="15"/>
  <c r="A214" i="15"/>
  <c r="A216" i="15"/>
  <c r="A218" i="15"/>
  <c r="A220" i="15"/>
  <c r="A222" i="15"/>
  <c r="A224" i="15"/>
  <c r="A226" i="15"/>
  <c r="A228" i="15"/>
  <c r="A230" i="15"/>
  <c r="A232" i="15"/>
  <c r="A234" i="15"/>
  <c r="A236" i="15"/>
  <c r="A238" i="15"/>
  <c r="A240" i="15"/>
  <c r="A1110" i="15"/>
  <c r="A1111" i="15"/>
  <c r="A1112" i="15"/>
  <c r="A1113" i="15"/>
  <c r="A1114" i="15"/>
  <c r="A1115" i="15"/>
  <c r="A1116" i="15"/>
  <c r="A1117" i="15"/>
  <c r="A1118" i="15"/>
  <c r="A1119" i="15"/>
  <c r="A1120" i="15"/>
  <c r="A1121" i="15"/>
  <c r="A1122" i="15"/>
  <c r="A1123" i="15"/>
  <c r="A1124" i="15"/>
  <c r="A1125" i="15"/>
  <c r="A1126" i="15"/>
  <c r="A1127" i="15"/>
  <c r="A1128" i="15"/>
  <c r="A1129" i="15"/>
  <c r="A1130" i="15"/>
  <c r="A1131" i="15"/>
  <c r="A1132" i="15"/>
  <c r="A1133" i="15"/>
  <c r="A1134" i="15"/>
  <c r="A1135" i="15"/>
  <c r="A1136" i="15"/>
  <c r="A1137" i="15"/>
  <c r="A1138" i="15"/>
  <c r="A1139" i="15"/>
  <c r="A1140" i="15"/>
  <c r="A1141" i="15"/>
  <c r="A1142" i="15"/>
  <c r="A1143" i="15"/>
  <c r="A1144" i="15"/>
  <c r="A1145" i="15"/>
  <c r="A1146" i="15"/>
  <c r="A1147" i="15"/>
  <c r="A1148" i="15"/>
  <c r="A1149" i="15"/>
  <c r="A1150" i="15"/>
  <c r="A1151" i="15"/>
  <c r="A1152" i="15"/>
  <c r="A1153" i="15"/>
  <c r="A1154" i="15"/>
  <c r="A1155" i="15"/>
  <c r="A1156" i="15"/>
  <c r="A1157" i="15"/>
  <c r="A1158" i="15"/>
  <c r="A1159" i="15"/>
  <c r="A1160" i="15"/>
  <c r="A1161" i="15"/>
  <c r="A1162" i="15"/>
  <c r="A1163" i="15"/>
  <c r="A1164" i="15"/>
  <c r="A1165" i="15"/>
  <c r="A1171" i="15"/>
  <c r="A1172" i="15"/>
  <c r="A1173" i="15"/>
  <c r="A1174" i="15"/>
  <c r="A1175" i="15"/>
  <c r="A1176" i="15"/>
  <c r="A1177" i="15"/>
  <c r="A1178" i="15"/>
  <c r="A1179" i="15"/>
  <c r="A1180" i="15"/>
  <c r="A1181" i="15"/>
  <c r="A1182" i="15"/>
  <c r="A1183" i="15"/>
  <c r="A1184" i="15"/>
  <c r="A1185" i="15"/>
  <c r="A1186" i="15"/>
  <c r="A1187" i="15"/>
  <c r="A1188" i="15"/>
  <c r="A1189" i="15"/>
  <c r="A1190" i="15"/>
  <c r="A1191" i="15"/>
  <c r="A1192" i="15"/>
  <c r="A1193" i="15"/>
  <c r="A1194" i="15"/>
  <c r="A1195" i="15"/>
  <c r="A1196" i="15"/>
  <c r="A1197" i="15"/>
  <c r="A1198" i="15"/>
  <c r="A1199" i="15"/>
  <c r="A1200" i="15"/>
  <c r="A1201" i="15"/>
  <c r="A1202" i="15"/>
  <c r="A1203" i="15"/>
  <c r="A1204" i="15"/>
  <c r="A1205" i="15"/>
  <c r="A1206" i="15"/>
  <c r="A1207" i="15"/>
  <c r="A1208" i="15"/>
  <c r="A1209" i="15"/>
  <c r="A1210" i="15"/>
  <c r="A1211" i="15"/>
  <c r="A1212" i="15"/>
  <c r="A1213" i="15"/>
  <c r="A1214" i="15"/>
  <c r="A1215" i="15"/>
  <c r="A1216" i="15"/>
  <c r="A1217" i="15"/>
  <c r="A1218" i="15"/>
  <c r="A1219" i="15"/>
  <c r="A1220" i="15"/>
  <c r="A1221" i="15"/>
  <c r="A1222" i="15"/>
  <c r="A1223" i="15"/>
  <c r="A1224" i="15"/>
  <c r="A1225" i="15"/>
  <c r="A1226" i="15"/>
  <c r="A1227" i="15"/>
  <c r="A1228" i="15"/>
  <c r="A1229" i="15"/>
  <c r="A1230" i="15"/>
  <c r="A1231" i="15"/>
  <c r="A1232" i="15"/>
  <c r="A1233" i="15"/>
  <c r="A1234" i="15"/>
  <c r="A1235" i="15"/>
  <c r="A1236" i="15"/>
  <c r="A1237" i="15"/>
  <c r="A1238" i="15"/>
  <c r="A1239" i="15"/>
  <c r="A1240" i="15"/>
  <c r="A1241" i="15"/>
  <c r="A1242" i="15"/>
  <c r="A1243" i="15"/>
  <c r="A1244" i="15"/>
  <c r="A1245" i="15"/>
  <c r="A1246" i="15"/>
  <c r="A1247" i="15"/>
  <c r="A1248" i="15"/>
  <c r="A1249" i="15"/>
  <c r="A1250" i="15"/>
  <c r="A1251" i="15"/>
  <c r="A1252" i="15"/>
  <c r="A1253" i="15"/>
  <c r="A1254" i="15"/>
  <c r="A1255" i="15"/>
  <c r="A1256" i="15"/>
  <c r="A1257" i="15"/>
  <c r="A1258" i="15"/>
  <c r="A1259" i="15"/>
  <c r="A1260" i="15"/>
  <c r="A1261" i="15"/>
  <c r="A1262" i="15"/>
  <c r="A1263" i="15"/>
  <c r="A1264" i="15"/>
  <c r="A1265" i="15"/>
  <c r="A1266" i="15"/>
  <c r="A1267" i="15"/>
  <c r="A1268" i="15"/>
  <c r="A1269" i="15"/>
  <c r="A1270" i="15"/>
  <c r="A1271" i="15"/>
  <c r="A1272" i="15"/>
  <c r="A1273" i="15"/>
  <c r="A1274" i="15"/>
  <c r="A1275" i="15"/>
  <c r="A1276" i="15"/>
  <c r="A1277" i="15"/>
  <c r="A1278" i="15"/>
  <c r="A1279" i="15"/>
  <c r="A1280" i="15"/>
  <c r="A1281" i="15"/>
  <c r="A1282" i="15"/>
  <c r="A1283" i="15"/>
  <c r="A1284" i="15"/>
  <c r="A1285" i="15"/>
  <c r="A1286" i="15"/>
  <c r="A1287" i="15"/>
  <c r="A1288" i="15"/>
  <c r="A1289" i="15"/>
  <c r="A1290" i="15"/>
  <c r="A1291" i="15"/>
  <c r="A1292" i="15"/>
  <c r="A1293" i="15"/>
  <c r="A1294" i="15"/>
  <c r="A1295" i="15"/>
  <c r="A1296" i="15"/>
  <c r="A1297" i="15"/>
  <c r="A1298" i="15"/>
  <c r="A1299" i="15"/>
  <c r="A1300" i="15"/>
  <c r="A1301" i="15"/>
  <c r="A1302" i="15"/>
  <c r="A1303" i="15"/>
  <c r="A1304" i="15"/>
  <c r="A1305" i="15"/>
  <c r="A1306" i="15"/>
  <c r="A1307" i="15"/>
  <c r="A1308" i="15"/>
  <c r="A1309" i="15"/>
  <c r="A1310" i="15"/>
  <c r="A1311" i="15"/>
  <c r="A1312" i="15"/>
  <c r="A1313" i="15"/>
  <c r="A1314" i="15"/>
  <c r="A1315" i="15"/>
  <c r="A1316" i="15"/>
  <c r="A1317" i="15"/>
  <c r="A1318" i="15"/>
  <c r="A1319" i="15"/>
  <c r="A1320" i="15"/>
  <c r="A1321" i="15"/>
  <c r="A1322" i="15"/>
  <c r="A1323" i="15"/>
  <c r="A1324" i="15"/>
  <c r="A1325" i="15"/>
  <c r="A1326" i="15"/>
  <c r="A1327" i="15"/>
  <c r="A1328" i="15"/>
  <c r="A1329" i="15"/>
  <c r="A1330" i="15"/>
  <c r="A1331" i="15"/>
  <c r="A1332" i="15"/>
  <c r="A1333" i="15"/>
  <c r="A1334" i="15"/>
  <c r="A1335" i="15"/>
  <c r="A1336" i="15"/>
  <c r="A1337" i="15"/>
  <c r="A1338" i="15"/>
  <c r="A1339" i="15"/>
  <c r="A1340" i="15"/>
  <c r="A1341" i="15"/>
  <c r="A1342" i="15"/>
  <c r="A1343" i="15"/>
  <c r="A1344" i="15"/>
  <c r="A1345" i="15"/>
  <c r="A1346" i="15"/>
  <c r="A1347" i="15"/>
  <c r="A1348" i="15"/>
  <c r="A1349" i="15"/>
  <c r="A1350" i="15"/>
  <c r="A1351" i="15"/>
  <c r="A1352" i="15"/>
  <c r="A1353" i="15"/>
  <c r="A1354" i="15"/>
  <c r="A1355" i="15"/>
  <c r="A1356" i="15"/>
  <c r="A1357" i="15"/>
  <c r="A1358" i="15"/>
  <c r="A1359" i="15"/>
  <c r="A1360" i="15"/>
  <c r="A1361" i="15"/>
  <c r="A1362" i="15"/>
  <c r="A1363" i="15"/>
  <c r="A1364" i="15"/>
  <c r="A1365" i="15"/>
  <c r="A1366" i="15"/>
  <c r="A1367" i="15"/>
  <c r="A1368" i="15"/>
  <c r="A1369" i="15"/>
  <c r="A13" i="15"/>
  <c r="A21" i="15"/>
  <c r="A29" i="15"/>
  <c r="A37" i="15"/>
  <c r="A45" i="15"/>
  <c r="A53" i="15"/>
  <c r="A61" i="15"/>
  <c r="A69" i="15"/>
  <c r="A77" i="15"/>
  <c r="A85" i="15"/>
  <c r="A93" i="15"/>
  <c r="A101" i="15"/>
  <c r="A109" i="15"/>
  <c r="A117" i="15"/>
  <c r="A125" i="15"/>
  <c r="A139" i="15"/>
  <c r="A147" i="15"/>
  <c r="A153" i="15"/>
  <c r="A157" i="15"/>
  <c r="A161" i="15"/>
  <c r="A165" i="15"/>
  <c r="A169" i="15"/>
  <c r="A173" i="15"/>
  <c r="A177" i="15"/>
  <c r="A181" i="15"/>
  <c r="A185" i="15"/>
  <c r="A189" i="15"/>
  <c r="A193" i="15"/>
  <c r="A197" i="15"/>
  <c r="A201" i="15"/>
  <c r="A205" i="15"/>
  <c r="A209" i="15"/>
  <c r="A213" i="15"/>
  <c r="A217" i="15"/>
  <c r="A221" i="15"/>
  <c r="A225" i="15"/>
  <c r="A229" i="15"/>
  <c r="A233" i="15"/>
  <c r="A237" i="15"/>
  <c r="A241" i="15"/>
  <c r="A243" i="15"/>
  <c r="A245" i="15"/>
  <c r="A247" i="15"/>
  <c r="A249" i="15"/>
  <c r="A251" i="15"/>
  <c r="A253" i="15"/>
  <c r="A255" i="15"/>
  <c r="A257" i="15"/>
  <c r="A259" i="15"/>
  <c r="A261" i="15"/>
  <c r="A263" i="15"/>
  <c r="A265" i="15"/>
  <c r="A267" i="15"/>
  <c r="A269" i="15"/>
  <c r="A271" i="15"/>
  <c r="A273" i="15"/>
  <c r="A275" i="15"/>
  <c r="A277" i="15"/>
  <c r="A279" i="15"/>
  <c r="A285" i="15"/>
  <c r="A287" i="15"/>
  <c r="A289" i="15"/>
  <c r="A291" i="15"/>
  <c r="A293" i="15"/>
  <c r="A295" i="15"/>
  <c r="A297" i="15"/>
  <c r="A299" i="15"/>
  <c r="A301" i="15"/>
  <c r="A303" i="15"/>
  <c r="A305" i="15"/>
  <c r="A307" i="15"/>
  <c r="A309" i="15"/>
  <c r="A311" i="15"/>
  <c r="A313" i="15"/>
  <c r="A315" i="15"/>
  <c r="A317" i="15"/>
  <c r="A319" i="15"/>
  <c r="A321" i="15"/>
  <c r="A323" i="15"/>
  <c r="A325" i="15"/>
  <c r="A327" i="15"/>
  <c r="A329" i="15"/>
  <c r="A331" i="15"/>
  <c r="A333" i="15"/>
  <c r="A335" i="15"/>
  <c r="A337" i="15"/>
  <c r="A339" i="15"/>
  <c r="A1370" i="15"/>
  <c r="A1371" i="15"/>
  <c r="A1372" i="15"/>
  <c r="A1373" i="15"/>
  <c r="A1374" i="15"/>
  <c r="A1375" i="15"/>
  <c r="A1376" i="15"/>
  <c r="A1377" i="15"/>
  <c r="A1378" i="15"/>
  <c r="A1379" i="15"/>
  <c r="A1380" i="15"/>
  <c r="A1381" i="15"/>
  <c r="A1382" i="15"/>
  <c r="A1383" i="15"/>
  <c r="A1384" i="15"/>
  <c r="A1385" i="15"/>
  <c r="A1386" i="15"/>
  <c r="A1387" i="15"/>
  <c r="A1388" i="15"/>
  <c r="A1389" i="15"/>
  <c r="A1390" i="15"/>
  <c r="A1391" i="15"/>
  <c r="A1392" i="15"/>
  <c r="A1393" i="15"/>
  <c r="A1394" i="15"/>
  <c r="A1395" i="15"/>
  <c r="A1396" i="15"/>
  <c r="A1397" i="15"/>
  <c r="A1398" i="15"/>
  <c r="A1399" i="15"/>
  <c r="A1400" i="15"/>
  <c r="A1401" i="15"/>
  <c r="A1402" i="15"/>
  <c r="A1403" i="15"/>
  <c r="A1404" i="15"/>
  <c r="A1405" i="15"/>
  <c r="A1406" i="15"/>
  <c r="A1407" i="15"/>
  <c r="A1408" i="15"/>
  <c r="A1409" i="15"/>
  <c r="A1410" i="15"/>
  <c r="A1411" i="15"/>
  <c r="A1412" i="15"/>
  <c r="A1413" i="15"/>
  <c r="A1414" i="15"/>
  <c r="A1415" i="15"/>
  <c r="A1416" i="15"/>
  <c r="A1417" i="15"/>
  <c r="A1418" i="15"/>
  <c r="A1419" i="15"/>
  <c r="A1420" i="15"/>
  <c r="A1421" i="15"/>
  <c r="A1422" i="15"/>
  <c r="A1423" i="15"/>
  <c r="A1424" i="15"/>
  <c r="A1425" i="15"/>
  <c r="A1426" i="15"/>
  <c r="A1427" i="15"/>
  <c r="A1428" i="15"/>
  <c r="A1429" i="15"/>
  <c r="A1430" i="15"/>
  <c r="A1431" i="15"/>
  <c r="A1432" i="15"/>
  <c r="A1433" i="15"/>
  <c r="A1434" i="15"/>
  <c r="A1435" i="15"/>
  <c r="A1436" i="15"/>
  <c r="A1437" i="15"/>
  <c r="A1438" i="15"/>
  <c r="A1439" i="15"/>
  <c r="A1440" i="15"/>
  <c r="A1441" i="15"/>
  <c r="A1442" i="15"/>
  <c r="A1443" i="15"/>
  <c r="A1444" i="15"/>
  <c r="A1445" i="15"/>
  <c r="A1446" i="15"/>
  <c r="A1447" i="15"/>
  <c r="A1448" i="15"/>
  <c r="A1449" i="15"/>
  <c r="A1450" i="15"/>
  <c r="A1451" i="15"/>
  <c r="A1452" i="15"/>
  <c r="A1453" i="15"/>
  <c r="A1454" i="15"/>
  <c r="A1455" i="15"/>
  <c r="A1456" i="15"/>
  <c r="A1457" i="15"/>
  <c r="A1458" i="15"/>
  <c r="A1459" i="15"/>
  <c r="A1460" i="15"/>
  <c r="A1461" i="15"/>
  <c r="A1462" i="15"/>
  <c r="A1463" i="15"/>
  <c r="A1464" i="15"/>
  <c r="A1465" i="15"/>
  <c r="A1466" i="15"/>
  <c r="A1467" i="15"/>
  <c r="A1468" i="15"/>
  <c r="A1469" i="15"/>
  <c r="A1470" i="15"/>
  <c r="A1471" i="15"/>
  <c r="A1472" i="15"/>
  <c r="A1473" i="15"/>
  <c r="A1474" i="15"/>
  <c r="A1475" i="15"/>
  <c r="A1476" i="15"/>
  <c r="A1477" i="15"/>
  <c r="A1478" i="15"/>
  <c r="A1479" i="15"/>
  <c r="A1480" i="15"/>
  <c r="A1481" i="15"/>
  <c r="A1482" i="15"/>
  <c r="A1483" i="15"/>
  <c r="A1484" i="15"/>
  <c r="A1485" i="15"/>
  <c r="A1486" i="15"/>
  <c r="A1487" i="15"/>
  <c r="A1488" i="15"/>
  <c r="A1489" i="15"/>
  <c r="A1490" i="15"/>
  <c r="A1491" i="15"/>
  <c r="A1492" i="15"/>
  <c r="A1493" i="15"/>
  <c r="A1494" i="15"/>
  <c r="A1495" i="15"/>
  <c r="A1496" i="15"/>
  <c r="A1497" i="15"/>
  <c r="A1498" i="15"/>
  <c r="A1499" i="15"/>
  <c r="A1500" i="15"/>
  <c r="A1501" i="15"/>
  <c r="A1502" i="15"/>
  <c r="A1503" i="15"/>
  <c r="A1504" i="15"/>
  <c r="A1505" i="15"/>
  <c r="A1506" i="15"/>
  <c r="A1507" i="15"/>
  <c r="A1508" i="15"/>
  <c r="A1509" i="15"/>
  <c r="A1510" i="15"/>
  <c r="A1511" i="15"/>
  <c r="A1512" i="15"/>
  <c r="A1513" i="15"/>
  <c r="A1514" i="15"/>
  <c r="A1515" i="15"/>
  <c r="A1516" i="15"/>
  <c r="A1517" i="15"/>
  <c r="A1518" i="15"/>
  <c r="A1519" i="15"/>
  <c r="A1520" i="15"/>
  <c r="A1521" i="15"/>
  <c r="A1522" i="15"/>
  <c r="A1523" i="15"/>
  <c r="A1524" i="15"/>
  <c r="A1525" i="15"/>
  <c r="A1526" i="15"/>
  <c r="A1527" i="15"/>
  <c r="A1528" i="15"/>
  <c r="A1529" i="15"/>
  <c r="A1530" i="15"/>
  <c r="A1531" i="15"/>
  <c r="A1532" i="15"/>
  <c r="A1533" i="15"/>
  <c r="A1534" i="15"/>
  <c r="A1535" i="15"/>
  <c r="A1536" i="15"/>
  <c r="A1537" i="15"/>
  <c r="A1538" i="15"/>
  <c r="A1539" i="15"/>
  <c r="A1540" i="15"/>
  <c r="A1541" i="15"/>
  <c r="A1542" i="15"/>
  <c r="A1543" i="15"/>
  <c r="A1544" i="15"/>
  <c r="A1545" i="15"/>
  <c r="A1546" i="15"/>
  <c r="A1547" i="15"/>
  <c r="A1548" i="15"/>
  <c r="A1549" i="15"/>
  <c r="A1550" i="15"/>
  <c r="A1551" i="15"/>
  <c r="A1552" i="15"/>
  <c r="A1553" i="15"/>
  <c r="A1554" i="15"/>
  <c r="A1555" i="15"/>
  <c r="A1556" i="15"/>
  <c r="A1557" i="15"/>
  <c r="A1558" i="15"/>
  <c r="A1559" i="15"/>
  <c r="A1560" i="15"/>
  <c r="A1561" i="15"/>
  <c r="A1562" i="15"/>
  <c r="A1563" i="15"/>
  <c r="A1564" i="15"/>
  <c r="A1565" i="15"/>
  <c r="A1566" i="15"/>
  <c r="A1567" i="15"/>
  <c r="A1568" i="15"/>
  <c r="A1569" i="15"/>
  <c r="A1570" i="15"/>
  <c r="A1571" i="15"/>
  <c r="A1572" i="15"/>
  <c r="A1573" i="15"/>
  <c r="A1574" i="15"/>
  <c r="A1575" i="15"/>
  <c r="A1576" i="15"/>
  <c r="A1577" i="15"/>
  <c r="A1578" i="15"/>
  <c r="A1579" i="15"/>
  <c r="A1580" i="15"/>
  <c r="A1581" i="15"/>
  <c r="A1582" i="15"/>
  <c r="A1583" i="15"/>
  <c r="A1584" i="15"/>
  <c r="A1585" i="15"/>
  <c r="A1586" i="15"/>
  <c r="A1587" i="15"/>
  <c r="A1588" i="15"/>
  <c r="A1589" i="15"/>
  <c r="A1590" i="15"/>
  <c r="A1591" i="15"/>
  <c r="A1592" i="15"/>
  <c r="A1593" i="15"/>
  <c r="A1594" i="15"/>
  <c r="A1595" i="15"/>
  <c r="A1596" i="15"/>
  <c r="A1597" i="15"/>
  <c r="A1598" i="15"/>
  <c r="A1599" i="15"/>
  <c r="A1600" i="15"/>
  <c r="A1601" i="15"/>
  <c r="A1602" i="15"/>
  <c r="A1603" i="15"/>
  <c r="A1604" i="15"/>
  <c r="A1605" i="15"/>
  <c r="A1606" i="15"/>
  <c r="A1607" i="15"/>
  <c r="A1608" i="15"/>
  <c r="A1609" i="15"/>
  <c r="A1610" i="15"/>
  <c r="A1611" i="15"/>
  <c r="A1612" i="15"/>
  <c r="A1613" i="15"/>
  <c r="A1614" i="15"/>
  <c r="A1615" i="15"/>
  <c r="A1616" i="15"/>
  <c r="A1617" i="15"/>
  <c r="A1618" i="15"/>
  <c r="A1619" i="15"/>
  <c r="A1620" i="15"/>
  <c r="A1621" i="15"/>
  <c r="A1622" i="15"/>
  <c r="A1623" i="15"/>
  <c r="A1624" i="15"/>
  <c r="A1625" i="15"/>
  <c r="A1626" i="15"/>
  <c r="A1627" i="15"/>
  <c r="A1628" i="15"/>
  <c r="A1629" i="15"/>
  <c r="A1630" i="15"/>
  <c r="A1631" i="15"/>
  <c r="A1632" i="15"/>
  <c r="A1633" i="15"/>
  <c r="A1634" i="15"/>
  <c r="A1635" i="15"/>
  <c r="A1636" i="15"/>
  <c r="A1637" i="15"/>
  <c r="A1638" i="15"/>
  <c r="A1639" i="15"/>
  <c r="A1640" i="15"/>
  <c r="A1641" i="15"/>
  <c r="A1642" i="15"/>
  <c r="A1643" i="15"/>
  <c r="A1644" i="15"/>
  <c r="A1645" i="15"/>
  <c r="A1646" i="15"/>
  <c r="A1647" i="15"/>
  <c r="A1648" i="15"/>
  <c r="A1649" i="15"/>
  <c r="A1650" i="15"/>
  <c r="A1651" i="15"/>
  <c r="A1652" i="15"/>
  <c r="A1653" i="15"/>
  <c r="A1654" i="15"/>
  <c r="A1655" i="15"/>
  <c r="A1656" i="15"/>
  <c r="A1657" i="15"/>
  <c r="A1658" i="15"/>
  <c r="A1659" i="15"/>
  <c r="A1660" i="15"/>
  <c r="A1661" i="15"/>
  <c r="A1662" i="15"/>
  <c r="A1663" i="15"/>
  <c r="A1664" i="15"/>
  <c r="A1665" i="15"/>
  <c r="A1666" i="15"/>
  <c r="A1667" i="15"/>
  <c r="A1668" i="15"/>
  <c r="A1669" i="15"/>
  <c r="A1670" i="15"/>
  <c r="A1671" i="15"/>
  <c r="A1672" i="15"/>
  <c r="A1673" i="15"/>
  <c r="A1674" i="15"/>
  <c r="A1675" i="15"/>
  <c r="A1676" i="15"/>
  <c r="A1677" i="15"/>
  <c r="A1678" i="15"/>
  <c r="A1679" i="15"/>
  <c r="A1680" i="15"/>
  <c r="A1681" i="15"/>
  <c r="A1682" i="15"/>
  <c r="A1683" i="15"/>
  <c r="A1684" i="15"/>
  <c r="A1685" i="15"/>
  <c r="A1686" i="15"/>
  <c r="A1687" i="15"/>
  <c r="A1688" i="15"/>
  <c r="A1689" i="15"/>
  <c r="A1690" i="15"/>
  <c r="A1691" i="15"/>
  <c r="A1692" i="15"/>
  <c r="A1693" i="15"/>
  <c r="A1694" i="15"/>
  <c r="A1695" i="15"/>
  <c r="A1696" i="15"/>
  <c r="A1697" i="15"/>
  <c r="A1698" i="15"/>
  <c r="A1699" i="15"/>
  <c r="A1700" i="15"/>
  <c r="A1701" i="15"/>
  <c r="A1702" i="15"/>
  <c r="A1703" i="15"/>
  <c r="A1704" i="15"/>
  <c r="A1705" i="15"/>
  <c r="A1706" i="15"/>
  <c r="A1707" i="15"/>
  <c r="A1708" i="15"/>
  <c r="A1709" i="15"/>
  <c r="A1710" i="15"/>
  <c r="A17" i="15"/>
  <c r="A33" i="15"/>
  <c r="A49" i="15"/>
  <c r="A65" i="15"/>
  <c r="A81" i="15"/>
  <c r="A97" i="15"/>
  <c r="A113" i="15"/>
  <c r="A129" i="15"/>
  <c r="A151" i="15"/>
  <c r="A159" i="15"/>
  <c r="A167" i="15"/>
  <c r="A175" i="15"/>
  <c r="A183" i="15"/>
  <c r="A191" i="15"/>
  <c r="A199" i="15"/>
  <c r="A207" i="15"/>
  <c r="A215" i="15"/>
  <c r="A223" i="15"/>
  <c r="A231" i="15"/>
  <c r="A239" i="15"/>
  <c r="A244" i="15"/>
  <c r="A248" i="15"/>
  <c r="A252" i="15"/>
  <c r="A256" i="15"/>
  <c r="A260" i="15"/>
  <c r="A264" i="15"/>
  <c r="A268" i="15"/>
  <c r="A272" i="15"/>
  <c r="A276" i="15"/>
  <c r="A280" i="15"/>
  <c r="A284" i="15"/>
  <c r="A288" i="15"/>
  <c r="A292" i="15"/>
  <c r="A296" i="15"/>
  <c r="A300" i="15"/>
  <c r="A304" i="15"/>
  <c r="A308" i="15"/>
  <c r="A312" i="15"/>
  <c r="A316" i="15"/>
  <c r="A320" i="15"/>
  <c r="A324" i="15"/>
  <c r="A328" i="15"/>
  <c r="A332" i="15"/>
  <c r="A336" i="15"/>
  <c r="A340" i="15"/>
  <c r="A342" i="15"/>
  <c r="A344" i="15"/>
  <c r="A346" i="15"/>
  <c r="A348" i="15"/>
  <c r="A350" i="15"/>
  <c r="A352" i="15"/>
  <c r="A354" i="15"/>
  <c r="A356" i="15"/>
  <c r="A358" i="15"/>
  <c r="A360" i="15"/>
  <c r="A362" i="15"/>
  <c r="A364" i="15"/>
  <c r="A366" i="15"/>
  <c r="A368" i="15"/>
  <c r="A370" i="15"/>
  <c r="A372" i="15"/>
  <c r="A374" i="15"/>
  <c r="A376" i="15"/>
  <c r="A378" i="15"/>
  <c r="A380" i="15"/>
  <c r="A382" i="15"/>
  <c r="A384" i="15"/>
  <c r="A386" i="15"/>
  <c r="A388" i="15"/>
  <c r="A390" i="15"/>
  <c r="A392" i="15"/>
  <c r="A394" i="15"/>
  <c r="A396" i="15"/>
  <c r="A398" i="15"/>
  <c r="A400" i="15"/>
  <c r="A402" i="15"/>
  <c r="A404" i="15"/>
  <c r="A406" i="15"/>
  <c r="A412" i="15"/>
  <c r="A414" i="15"/>
  <c r="A416" i="15"/>
  <c r="A418" i="15"/>
  <c r="A420" i="15"/>
  <c r="A422" i="15"/>
  <c r="A424" i="15"/>
  <c r="A426" i="15"/>
  <c r="A428" i="15"/>
  <c r="A430" i="15"/>
  <c r="A432" i="15"/>
  <c r="A434" i="15"/>
  <c r="A436" i="15"/>
  <c r="A438" i="15"/>
  <c r="A440" i="15"/>
  <c r="A442" i="15"/>
  <c r="A444" i="15"/>
  <c r="A446" i="15"/>
  <c r="A448" i="15"/>
  <c r="A450" i="15"/>
  <c r="A452" i="15"/>
  <c r="A454" i="15"/>
  <c r="A456" i="15"/>
  <c r="A458" i="15"/>
  <c r="A460" i="15"/>
  <c r="A462" i="15"/>
  <c r="A464" i="15"/>
  <c r="A466" i="15"/>
  <c r="A468" i="15"/>
  <c r="A470" i="15"/>
  <c r="A472" i="15"/>
  <c r="A474" i="15"/>
  <c r="A476" i="15"/>
  <c r="A478" i="15"/>
  <c r="A480" i="15"/>
  <c r="A482" i="15"/>
  <c r="A484" i="15"/>
  <c r="A486" i="15"/>
  <c r="A488" i="15"/>
  <c r="A490" i="15"/>
  <c r="A492" i="15"/>
  <c r="A498" i="15"/>
  <c r="A500" i="15"/>
  <c r="A502" i="15"/>
  <c r="A504" i="15"/>
  <c r="A506" i="15"/>
  <c r="A508" i="15"/>
  <c r="A510" i="15"/>
  <c r="A25" i="15"/>
  <c r="A57" i="15"/>
  <c r="A89" i="15"/>
  <c r="A121" i="15"/>
  <c r="A155" i="15"/>
  <c r="A171" i="15"/>
  <c r="A187" i="15"/>
  <c r="A203" i="15"/>
  <c r="A219" i="15"/>
  <c r="A235" i="15"/>
  <c r="A246" i="15"/>
  <c r="A254" i="15"/>
  <c r="A262" i="15"/>
  <c r="A270" i="15"/>
  <c r="A278" i="15"/>
  <c r="A286" i="15"/>
  <c r="A294" i="15"/>
  <c r="A302" i="15"/>
  <c r="A310" i="15"/>
  <c r="A318" i="15"/>
  <c r="A326" i="15"/>
  <c r="A334" i="15"/>
  <c r="A341" i="15"/>
  <c r="A345" i="15"/>
  <c r="A349" i="15"/>
  <c r="A353" i="15"/>
  <c r="A357" i="15"/>
  <c r="A361" i="15"/>
  <c r="A365" i="15"/>
  <c r="A369" i="15"/>
  <c r="A373" i="15"/>
  <c r="A377" i="15"/>
  <c r="A381" i="15"/>
  <c r="A385" i="15"/>
  <c r="A389" i="15"/>
  <c r="A393" i="15"/>
  <c r="A397" i="15"/>
  <c r="A401" i="15"/>
  <c r="A405" i="15"/>
  <c r="A413" i="15"/>
  <c r="A417" i="15"/>
  <c r="A421" i="15"/>
  <c r="A425" i="15"/>
  <c r="A429" i="15"/>
  <c r="A433" i="15"/>
  <c r="A437" i="15"/>
  <c r="A441" i="15"/>
  <c r="A445" i="15"/>
  <c r="A449" i="15"/>
  <c r="A453" i="15"/>
  <c r="A457" i="15"/>
  <c r="A461" i="15"/>
  <c r="A465" i="15"/>
  <c r="A469" i="15"/>
  <c r="A473" i="15"/>
  <c r="A477" i="15"/>
  <c r="A481" i="15"/>
  <c r="A485" i="15"/>
  <c r="A489" i="15"/>
  <c r="A493" i="15"/>
  <c r="A497" i="15"/>
  <c r="A501" i="15"/>
  <c r="A505" i="15"/>
  <c r="A509" i="15"/>
  <c r="A512" i="15"/>
  <c r="A514" i="15"/>
  <c r="A516" i="15"/>
  <c r="A518" i="15"/>
  <c r="A520" i="15"/>
  <c r="A522" i="15"/>
  <c r="A524" i="15"/>
  <c r="A526" i="15"/>
  <c r="A528" i="15"/>
  <c r="A530" i="15"/>
  <c r="A532" i="15"/>
  <c r="A534" i="15"/>
  <c r="A536" i="15"/>
  <c r="A538" i="15"/>
  <c r="A540" i="15"/>
  <c r="A542" i="15"/>
  <c r="A544" i="15"/>
  <c r="A546" i="15"/>
  <c r="A548" i="15"/>
  <c r="A550" i="15"/>
  <c r="A552" i="15"/>
  <c r="A554" i="15"/>
  <c r="A556" i="15"/>
  <c r="A558" i="15"/>
  <c r="A560" i="15"/>
  <c r="A562" i="15"/>
  <c r="A564" i="15"/>
  <c r="A566" i="15"/>
  <c r="A568" i="15"/>
  <c r="A570" i="15"/>
  <c r="A572" i="15"/>
  <c r="A574" i="15"/>
  <c r="A576" i="15"/>
  <c r="A578" i="15"/>
  <c r="A580" i="15"/>
  <c r="A582" i="15"/>
  <c r="A584" i="15"/>
  <c r="A586" i="15"/>
  <c r="A588" i="15"/>
  <c r="A590" i="15"/>
  <c r="A592" i="15"/>
  <c r="A594" i="15"/>
  <c r="A596" i="15"/>
  <c r="A598" i="15"/>
  <c r="A600" i="15"/>
  <c r="A602" i="15"/>
  <c r="A604" i="15"/>
  <c r="A606" i="15"/>
  <c r="A608" i="15"/>
  <c r="A610" i="15"/>
  <c r="A612" i="15"/>
  <c r="A614" i="15"/>
  <c r="A616" i="15"/>
  <c r="A618" i="15"/>
  <c r="A620" i="15"/>
  <c r="A622" i="15"/>
  <c r="A624" i="15"/>
  <c r="A626" i="15"/>
  <c r="A632" i="15"/>
  <c r="A634" i="15"/>
  <c r="A636" i="15"/>
  <c r="A638" i="15"/>
  <c r="A640" i="15"/>
  <c r="A642" i="15"/>
  <c r="A644" i="15"/>
  <c r="A646" i="15"/>
  <c r="A648" i="15"/>
  <c r="A650" i="15"/>
  <c r="A652" i="15"/>
  <c r="A654" i="15"/>
  <c r="A656" i="15"/>
  <c r="A658" i="15"/>
  <c r="A660" i="15"/>
  <c r="A662" i="15"/>
  <c r="A664" i="15"/>
  <c r="A666" i="15"/>
  <c r="A668" i="15"/>
  <c r="A670" i="15"/>
  <c r="A672" i="15"/>
  <c r="A674" i="15"/>
  <c r="A676" i="15"/>
  <c r="A678" i="15"/>
  <c r="A680" i="15"/>
  <c r="A682" i="15"/>
  <c r="A684" i="15"/>
  <c r="A686" i="15"/>
  <c r="A688" i="15"/>
  <c r="A690" i="15"/>
  <c r="A692" i="15"/>
  <c r="A694" i="15"/>
  <c r="A696" i="15"/>
  <c r="A698" i="15"/>
  <c r="A702" i="15"/>
  <c r="A704" i="15"/>
  <c r="A706" i="15"/>
  <c r="A708" i="15"/>
  <c r="A710" i="15"/>
  <c r="A712" i="15"/>
  <c r="A714" i="15"/>
  <c r="A716" i="15"/>
  <c r="A718" i="15"/>
  <c r="A720" i="15"/>
  <c r="A722" i="15"/>
  <c r="A724" i="15"/>
  <c r="A726" i="15"/>
  <c r="A728" i="15"/>
  <c r="A730" i="15"/>
  <c r="A732" i="15"/>
  <c r="A734" i="15"/>
  <c r="A736" i="15"/>
  <c r="A738" i="15"/>
  <c r="A740" i="15"/>
  <c r="A742" i="15"/>
  <c r="A744" i="15"/>
  <c r="A746" i="15"/>
  <c r="A748" i="15"/>
  <c r="A750" i="15"/>
  <c r="A752" i="15"/>
  <c r="A754" i="15"/>
  <c r="A756" i="15"/>
  <c r="A758" i="15"/>
  <c r="A760" i="15"/>
  <c r="A762" i="15"/>
  <c r="A764" i="15"/>
  <c r="A766" i="15"/>
  <c r="A768" i="15"/>
  <c r="A770" i="15"/>
  <c r="A772" i="15"/>
  <c r="A774" i="15"/>
  <c r="A776" i="15"/>
  <c r="A778" i="15"/>
  <c r="A780" i="15"/>
  <c r="A782" i="15"/>
  <c r="A784" i="15"/>
  <c r="A786" i="15"/>
  <c r="A788" i="15"/>
  <c r="A790" i="15"/>
  <c r="A792" i="15"/>
  <c r="A794" i="15"/>
  <c r="A796" i="15"/>
  <c r="A798" i="15"/>
  <c r="A800" i="15"/>
  <c r="A802" i="15"/>
  <c r="A1711" i="15"/>
  <c r="A1712" i="15"/>
  <c r="A1713" i="15"/>
  <c r="A1714" i="15"/>
  <c r="A1715" i="15"/>
  <c r="A1716" i="15"/>
  <c r="A1717" i="15"/>
  <c r="A1718" i="15"/>
  <c r="A1719" i="15"/>
  <c r="A1720" i="15"/>
  <c r="A1721" i="15"/>
  <c r="A1722" i="15"/>
  <c r="A1723" i="15"/>
  <c r="A1724" i="15"/>
  <c r="A1725" i="15"/>
  <c r="A1726" i="15"/>
  <c r="A1727" i="15"/>
  <c r="A1728" i="15"/>
  <c r="A1729" i="15"/>
  <c r="A1730" i="15"/>
  <c r="A1731" i="15"/>
  <c r="A1732" i="15"/>
  <c r="A1733" i="15"/>
  <c r="A1734" i="15"/>
  <c r="A1735" i="15"/>
  <c r="A1736" i="15"/>
  <c r="A1737" i="15"/>
  <c r="A1738" i="15"/>
  <c r="A1739" i="15"/>
  <c r="A1740" i="15"/>
  <c r="A1741" i="15"/>
  <c r="A1742" i="15"/>
  <c r="A1743" i="15"/>
  <c r="A1744" i="15"/>
  <c r="A1745" i="15"/>
  <c r="A1746" i="15"/>
  <c r="A1747" i="15"/>
  <c r="A1748" i="15"/>
  <c r="A1749" i="15"/>
  <c r="A1750" i="15"/>
  <c r="A1751" i="15"/>
  <c r="A1752" i="15"/>
  <c r="A1753" i="15"/>
  <c r="A1754" i="15"/>
  <c r="A1755" i="15"/>
  <c r="A1756" i="15"/>
  <c r="A1757" i="15"/>
  <c r="A1758" i="15"/>
  <c r="A1759" i="15"/>
  <c r="A1760" i="15"/>
  <c r="A1761" i="15"/>
  <c r="A1762" i="15"/>
  <c r="A1763" i="15"/>
  <c r="A1764" i="15"/>
  <c r="A1765" i="15"/>
  <c r="A1766" i="15"/>
  <c r="A1767" i="15"/>
  <c r="A1768" i="15"/>
  <c r="A1769" i="15"/>
  <c r="A1770" i="15"/>
  <c r="A1771" i="15"/>
  <c r="A1772" i="15"/>
  <c r="A1773" i="15"/>
  <c r="A1774" i="15"/>
  <c r="A1775" i="15"/>
  <c r="A1776" i="15"/>
  <c r="A1777" i="15"/>
  <c r="A1778" i="15"/>
  <c r="A1779" i="15"/>
  <c r="A1780" i="15"/>
  <c r="A1781" i="15"/>
  <c r="A1782" i="15"/>
  <c r="A1783" i="15"/>
  <c r="A1784" i="15"/>
  <c r="A1785" i="15"/>
  <c r="A1786" i="15"/>
  <c r="A1787" i="15"/>
  <c r="A1788" i="15"/>
  <c r="A1789" i="15"/>
  <c r="A1790" i="15"/>
  <c r="A1791" i="15"/>
  <c r="A1792" i="15"/>
  <c r="A1793" i="15"/>
  <c r="A1794" i="15"/>
  <c r="A1795" i="15"/>
  <c r="A1796" i="15"/>
  <c r="A1797" i="15"/>
  <c r="A1798" i="15"/>
  <c r="A1799" i="15"/>
  <c r="A1800" i="15"/>
  <c r="A1801" i="15"/>
  <c r="A1802" i="15"/>
  <c r="A1803" i="15"/>
  <c r="A1804" i="15"/>
  <c r="A1805" i="15"/>
  <c r="A1806" i="15"/>
  <c r="A1807" i="15"/>
  <c r="A1808" i="15"/>
  <c r="A1809" i="15"/>
  <c r="A1810" i="15"/>
  <c r="A1811" i="15"/>
  <c r="A1812" i="15"/>
  <c r="A1813" i="15"/>
  <c r="A1814" i="15"/>
  <c r="A1815" i="15"/>
  <c r="A1816" i="15"/>
  <c r="A1817" i="15"/>
  <c r="A1818" i="15"/>
  <c r="A1819" i="15"/>
  <c r="A1820" i="15"/>
  <c r="A1821" i="15"/>
  <c r="A1822" i="15"/>
  <c r="A1823" i="15"/>
  <c r="A1824" i="15"/>
  <c r="A1825" i="15"/>
  <c r="A1826" i="15"/>
  <c r="A1827" i="15"/>
  <c r="A1828" i="15"/>
  <c r="A1829" i="15"/>
  <c r="A1830" i="15"/>
  <c r="A1831" i="15"/>
  <c r="A1832" i="15"/>
  <c r="A1833" i="15"/>
  <c r="A1834" i="15"/>
  <c r="A1835" i="15"/>
  <c r="A1836" i="15"/>
  <c r="A1837" i="15"/>
  <c r="A1838" i="15"/>
  <c r="A1839" i="15"/>
  <c r="A1840" i="15"/>
  <c r="A1841" i="15"/>
  <c r="A1842" i="15"/>
  <c r="A1843" i="15"/>
  <c r="A1844" i="15"/>
  <c r="A1845" i="15"/>
  <c r="A1846" i="15"/>
  <c r="A1847" i="15"/>
  <c r="A1848" i="15"/>
  <c r="A1849" i="15"/>
  <c r="A1850" i="15"/>
  <c r="A1851" i="15"/>
  <c r="A1852" i="15"/>
  <c r="A1853" i="15"/>
  <c r="A1854" i="15"/>
  <c r="A1855" i="15"/>
  <c r="A1856" i="15"/>
  <c r="A1857" i="15"/>
  <c r="A1858" i="15"/>
  <c r="A1859" i="15"/>
  <c r="A1860" i="15"/>
  <c r="A1861" i="15"/>
  <c r="A1862" i="15"/>
  <c r="A1863" i="15"/>
  <c r="A1864" i="15"/>
  <c r="A1865" i="15"/>
  <c r="A1866" i="15"/>
  <c r="A1867" i="15"/>
  <c r="A1868" i="15"/>
  <c r="A1869" i="15"/>
  <c r="A1870" i="15"/>
  <c r="A1871" i="15"/>
  <c r="A1872" i="15"/>
  <c r="A1873" i="15"/>
  <c r="A1874" i="15"/>
  <c r="A1875" i="15"/>
  <c r="A1876" i="15"/>
  <c r="A1877" i="15"/>
  <c r="A1878" i="15"/>
  <c r="A1879" i="15"/>
  <c r="A1880" i="15"/>
  <c r="A41" i="15"/>
  <c r="A105" i="15"/>
  <c r="A163" i="15"/>
  <c r="A195" i="15"/>
  <c r="A227" i="15"/>
  <c r="A250" i="15"/>
  <c r="A266" i="15"/>
  <c r="A298" i="15"/>
  <c r="A314" i="15"/>
  <c r="A330" i="15"/>
  <c r="A343" i="15"/>
  <c r="A351" i="15"/>
  <c r="A359" i="15"/>
  <c r="A367" i="15"/>
  <c r="A375" i="15"/>
  <c r="A383" i="15"/>
  <c r="A391" i="15"/>
  <c r="A399" i="15"/>
  <c r="A407" i="15"/>
  <c r="A419" i="15"/>
  <c r="A427" i="15"/>
  <c r="A435" i="15"/>
  <c r="A443" i="15"/>
  <c r="A451" i="15"/>
  <c r="A459" i="15"/>
  <c r="A467" i="15"/>
  <c r="A475" i="15"/>
  <c r="A483" i="15"/>
  <c r="A491" i="15"/>
  <c r="A499" i="15"/>
  <c r="A507" i="15"/>
  <c r="A513" i="15"/>
  <c r="A517" i="15"/>
  <c r="A521" i="15"/>
  <c r="A525" i="15"/>
  <c r="A529" i="15"/>
  <c r="A533" i="15"/>
  <c r="A537" i="15"/>
  <c r="A541" i="15"/>
  <c r="A545" i="15"/>
  <c r="A549" i="15"/>
  <c r="A553" i="15"/>
  <c r="A557" i="15"/>
  <c r="A561" i="15"/>
  <c r="A565" i="15"/>
  <c r="A569" i="15"/>
  <c r="A573" i="15"/>
  <c r="A577" i="15"/>
  <c r="A581" i="15"/>
  <c r="A585" i="15"/>
  <c r="A589" i="15"/>
  <c r="A593" i="15"/>
  <c r="A597" i="15"/>
  <c r="A601" i="15"/>
  <c r="A605" i="15"/>
  <c r="A609" i="15"/>
  <c r="A613" i="15"/>
  <c r="A617" i="15"/>
  <c r="A621" i="15"/>
  <c r="A625" i="15"/>
  <c r="A633" i="15"/>
  <c r="A637" i="15"/>
  <c r="A641" i="15"/>
  <c r="A645" i="15"/>
  <c r="A649" i="15"/>
  <c r="A653" i="15"/>
  <c r="A657" i="15"/>
  <c r="A661" i="15"/>
  <c r="A665" i="15"/>
  <c r="A669" i="15"/>
  <c r="A673" i="15"/>
  <c r="A677" i="15"/>
  <c r="A681" i="15"/>
  <c r="A685" i="15"/>
  <c r="A689" i="15"/>
  <c r="A693" i="15"/>
  <c r="A697" i="15"/>
  <c r="A703" i="15"/>
  <c r="A707" i="15"/>
  <c r="A711" i="15"/>
  <c r="A715" i="15"/>
  <c r="A719" i="15"/>
  <c r="A723" i="15"/>
  <c r="A727" i="15"/>
  <c r="A731" i="15"/>
  <c r="A735" i="15"/>
  <c r="A739" i="15"/>
  <c r="A743" i="15"/>
  <c r="A747" i="15"/>
  <c r="A751" i="15"/>
  <c r="A755" i="15"/>
  <c r="A759" i="15"/>
  <c r="A763" i="15"/>
  <c r="A767" i="15"/>
  <c r="A771" i="15"/>
  <c r="A775" i="15"/>
  <c r="A779" i="15"/>
  <c r="A783" i="15"/>
  <c r="A787" i="15"/>
  <c r="A791" i="15"/>
  <c r="A795" i="15"/>
  <c r="A799" i="15"/>
  <c r="A803" i="15"/>
  <c r="A805" i="15"/>
  <c r="A807" i="15"/>
  <c r="A809" i="15"/>
  <c r="A811" i="15"/>
  <c r="A813" i="15"/>
  <c r="A815" i="15"/>
  <c r="A817" i="15"/>
  <c r="A819" i="15"/>
  <c r="A821" i="15"/>
  <c r="A823" i="15"/>
  <c r="A825" i="15"/>
  <c r="A827" i="15"/>
  <c r="A829" i="15"/>
  <c r="A831" i="15"/>
  <c r="A833" i="15"/>
  <c r="A835" i="15"/>
  <c r="A837" i="15"/>
  <c r="A839" i="15"/>
  <c r="A841" i="15"/>
  <c r="A843" i="15"/>
  <c r="A845" i="15"/>
  <c r="A847" i="15"/>
  <c r="A849" i="15"/>
  <c r="A851" i="15"/>
  <c r="A853" i="15"/>
  <c r="A855" i="15"/>
  <c r="A857" i="15"/>
  <c r="A859" i="15"/>
  <c r="A861" i="15"/>
  <c r="A863" i="15"/>
  <c r="A865" i="15"/>
  <c r="A867" i="15"/>
  <c r="A869" i="15"/>
  <c r="A871" i="15"/>
  <c r="A873" i="15"/>
  <c r="A875" i="15"/>
  <c r="A877" i="15"/>
  <c r="A879" i="15"/>
  <c r="A881" i="15"/>
  <c r="A883" i="15"/>
  <c r="A885" i="15"/>
  <c r="A887" i="15"/>
  <c r="A889" i="15"/>
  <c r="A891" i="15"/>
  <c r="A893" i="15"/>
  <c r="A895" i="15"/>
  <c r="A897" i="15"/>
  <c r="A899" i="15"/>
  <c r="A901" i="15"/>
  <c r="A903" i="15"/>
  <c r="A905" i="15"/>
  <c r="A907" i="15"/>
  <c r="A909" i="15"/>
  <c r="A911" i="15"/>
  <c r="A913" i="15"/>
  <c r="A915" i="15"/>
  <c r="A917" i="15"/>
  <c r="A919" i="15"/>
  <c r="A921" i="15"/>
  <c r="A923" i="15"/>
  <c r="A925" i="15"/>
  <c r="A927" i="15"/>
  <c r="A929" i="15"/>
  <c r="A931" i="15"/>
  <c r="A933" i="15"/>
  <c r="A935" i="15"/>
  <c r="A937" i="15"/>
  <c r="A939" i="15"/>
  <c r="A941" i="15"/>
  <c r="A943" i="15"/>
  <c r="A945" i="15"/>
  <c r="A947" i="15"/>
  <c r="A949" i="15"/>
  <c r="A951" i="15"/>
  <c r="A953" i="15"/>
  <c r="A955" i="15"/>
  <c r="A957" i="15"/>
  <c r="A959" i="15"/>
  <c r="A961" i="15"/>
  <c r="A963" i="15"/>
  <c r="A965" i="15"/>
  <c r="A967" i="15"/>
  <c r="A969" i="15"/>
  <c r="A971" i="15"/>
  <c r="A973" i="15"/>
  <c r="A975" i="15"/>
  <c r="A977" i="15"/>
  <c r="A979" i="15"/>
  <c r="A981" i="15"/>
  <c r="A983" i="15"/>
  <c r="A985" i="15"/>
  <c r="A987" i="15"/>
  <c r="A989" i="15"/>
  <c r="A991" i="15"/>
  <c r="A993" i="15"/>
  <c r="A995" i="15"/>
  <c r="A997" i="15"/>
  <c r="A999" i="15"/>
  <c r="A1001" i="15"/>
  <c r="A1003" i="15"/>
  <c r="A1005" i="15"/>
  <c r="A1007" i="15"/>
  <c r="A1009" i="15"/>
  <c r="A1011" i="15"/>
  <c r="A1013" i="15"/>
  <c r="A1015" i="15"/>
  <c r="A1017" i="15"/>
  <c r="A1019" i="15"/>
  <c r="A938" i="15"/>
  <c r="A946" i="15"/>
  <c r="A948" i="15"/>
  <c r="A952" i="15"/>
  <c r="A956" i="15"/>
  <c r="A960" i="15"/>
  <c r="A964" i="15"/>
  <c r="A968" i="15"/>
  <c r="A972" i="15"/>
  <c r="A976" i="15"/>
  <c r="A980" i="15"/>
  <c r="A984" i="15"/>
  <c r="A988" i="15"/>
  <c r="A992" i="15"/>
  <c r="A996" i="15"/>
  <c r="A1000" i="15"/>
  <c r="A1004" i="15"/>
  <c r="A1008" i="15"/>
  <c r="A1012" i="15"/>
  <c r="A1016" i="15"/>
  <c r="A1881" i="15"/>
  <c r="A1882" i="15"/>
  <c r="A1883" i="15"/>
  <c r="A1884" i="15"/>
  <c r="A1885" i="15"/>
  <c r="A1886" i="15"/>
  <c r="A1887" i="15"/>
  <c r="A1888" i="15"/>
  <c r="A1889" i="15"/>
  <c r="A1890" i="15"/>
  <c r="A1891" i="15"/>
  <c r="A1892" i="15"/>
  <c r="A1893" i="15"/>
  <c r="A1894" i="15"/>
  <c r="A1895" i="15"/>
  <c r="A1896" i="15"/>
  <c r="A1897" i="15"/>
  <c r="A1898" i="15"/>
  <c r="A1899" i="15"/>
  <c r="A1900" i="15"/>
  <c r="A1901" i="15"/>
  <c r="A1902" i="15"/>
  <c r="A1903" i="15"/>
  <c r="A1904" i="15"/>
  <c r="A1905" i="15"/>
  <c r="A1906" i="15"/>
  <c r="A1907" i="15"/>
  <c r="A1908" i="15"/>
  <c r="A1909" i="15"/>
  <c r="A1910" i="15"/>
  <c r="A1911" i="15"/>
  <c r="A1912" i="15"/>
  <c r="A1913" i="15"/>
  <c r="A1914" i="15"/>
  <c r="A1915" i="15"/>
  <c r="A1916" i="15"/>
  <c r="A1917" i="15"/>
  <c r="A1918" i="15"/>
  <c r="A1919" i="15"/>
  <c r="A1920" i="15"/>
  <c r="A1921" i="15"/>
  <c r="A1922" i="15"/>
  <c r="A1923" i="15"/>
  <c r="A1924" i="15"/>
  <c r="A1925" i="15"/>
  <c r="A1926" i="15"/>
  <c r="A1927" i="15"/>
  <c r="A1928" i="15"/>
  <c r="A1929" i="15"/>
  <c r="A1930" i="15"/>
  <c r="A1931" i="15"/>
  <c r="A1932" i="15"/>
  <c r="A1933" i="15"/>
  <c r="A1934" i="15"/>
  <c r="A1935" i="15"/>
  <c r="A1936" i="15"/>
  <c r="A1937" i="15"/>
  <c r="A1938" i="15"/>
  <c r="A1939" i="15"/>
  <c r="A1940" i="15"/>
  <c r="A1941" i="15"/>
  <c r="A1942" i="15"/>
  <c r="A1943" i="15"/>
  <c r="A1944" i="15"/>
  <c r="A1945" i="15"/>
  <c r="A1946" i="15"/>
  <c r="A1947" i="15"/>
  <c r="A1948" i="15"/>
  <c r="A1949" i="15"/>
  <c r="A1950" i="15"/>
  <c r="A1951" i="15"/>
  <c r="A1952" i="15"/>
  <c r="A1953" i="15"/>
  <c r="A1954" i="15"/>
  <c r="A1955" i="15"/>
  <c r="A1956" i="15"/>
  <c r="A1957" i="15"/>
  <c r="A1958" i="15"/>
  <c r="A1959" i="15"/>
  <c r="A1960" i="15"/>
  <c r="A1961" i="15"/>
  <c r="A1962" i="15"/>
  <c r="A1963" i="15"/>
  <c r="A1964" i="15"/>
  <c r="A1965" i="15"/>
  <c r="A1966" i="15"/>
  <c r="A1967" i="15"/>
  <c r="A1968" i="15"/>
  <c r="A1969" i="15"/>
  <c r="A1970" i="15"/>
  <c r="A1971" i="15"/>
  <c r="A1972" i="15"/>
  <c r="A1973" i="15"/>
  <c r="A1974" i="15"/>
  <c r="A1975" i="15"/>
  <c r="A1976" i="15"/>
  <c r="A1977" i="15"/>
  <c r="A1978" i="15"/>
  <c r="A1979" i="15"/>
  <c r="A1980" i="15"/>
  <c r="A1981" i="15"/>
  <c r="A1982" i="15"/>
  <c r="A1983" i="15"/>
  <c r="A1984" i="15"/>
  <c r="A1985" i="15"/>
  <c r="A1986" i="15"/>
  <c r="A1987" i="15"/>
  <c r="A1988" i="15"/>
  <c r="A1989" i="15"/>
  <c r="A1990" i="15"/>
  <c r="A1991" i="15"/>
  <c r="A1992" i="15"/>
  <c r="A1993" i="15"/>
  <c r="A1994" i="15"/>
  <c r="A1995" i="15"/>
  <c r="A1996" i="15"/>
  <c r="A1997" i="15"/>
  <c r="A1998" i="15"/>
  <c r="A1999" i="15"/>
  <c r="A2000" i="15"/>
  <c r="A5" i="15"/>
  <c r="A9" i="15"/>
  <c r="A73" i="15"/>
  <c r="A143" i="15"/>
  <c r="A179" i="15"/>
  <c r="A211" i="15"/>
  <c r="A242" i="15"/>
  <c r="A258" i="15"/>
  <c r="A274" i="15"/>
  <c r="A290" i="15"/>
  <c r="A306" i="15"/>
  <c r="A322" i="15"/>
  <c r="A338" i="15"/>
  <c r="A347" i="15"/>
  <c r="A355" i="15"/>
  <c r="A363" i="15"/>
  <c r="A371" i="15"/>
  <c r="A379" i="15"/>
  <c r="A387" i="15"/>
  <c r="A395" i="15"/>
  <c r="A403" i="15"/>
  <c r="A415" i="15"/>
  <c r="A423" i="15"/>
  <c r="A431" i="15"/>
  <c r="A439" i="15"/>
  <c r="A447" i="15"/>
  <c r="A455" i="15"/>
  <c r="A463" i="15"/>
  <c r="A471" i="15"/>
  <c r="A479" i="15"/>
  <c r="A487" i="15"/>
  <c r="A503" i="15"/>
  <c r="A511" i="15"/>
  <c r="A515" i="15"/>
  <c r="A519" i="15"/>
  <c r="A523" i="15"/>
  <c r="A527" i="15"/>
  <c r="A531" i="15"/>
  <c r="A535" i="15"/>
  <c r="A539" i="15"/>
  <c r="A543" i="15"/>
  <c r="A547" i="15"/>
  <c r="A551" i="15"/>
  <c r="A555" i="15"/>
  <c r="A559" i="15"/>
  <c r="A563" i="15"/>
  <c r="A567" i="15"/>
  <c r="A571" i="15"/>
  <c r="A575" i="15"/>
  <c r="A579" i="15"/>
  <c r="A583" i="15"/>
  <c r="A587" i="15"/>
  <c r="A591" i="15"/>
  <c r="A595" i="15"/>
  <c r="A599" i="15"/>
  <c r="A603" i="15"/>
  <c r="A607" i="15"/>
  <c r="A611" i="15"/>
  <c r="A615" i="15"/>
  <c r="A619" i="15"/>
  <c r="A623" i="15"/>
  <c r="A627" i="15"/>
  <c r="A631" i="15"/>
  <c r="A635" i="15"/>
  <c r="A639" i="15"/>
  <c r="A643" i="15"/>
  <c r="A647" i="15"/>
  <c r="A651" i="15"/>
  <c r="A655" i="15"/>
  <c r="A659" i="15"/>
  <c r="A663" i="15"/>
  <c r="A667" i="15"/>
  <c r="A671" i="15"/>
  <c r="A675" i="15"/>
  <c r="A679" i="15"/>
  <c r="A683" i="15"/>
  <c r="A687" i="15"/>
  <c r="A691" i="15"/>
  <c r="A695" i="15"/>
  <c r="A699" i="15"/>
  <c r="A705" i="15"/>
  <c r="A709" i="15"/>
  <c r="A713" i="15"/>
  <c r="A717" i="15"/>
  <c r="A721" i="15"/>
  <c r="A725" i="15"/>
  <c r="A729" i="15"/>
  <c r="A733" i="15"/>
  <c r="A737" i="15"/>
  <c r="A741" i="15"/>
  <c r="A745" i="15"/>
  <c r="A749" i="15"/>
  <c r="A753" i="15"/>
  <c r="A757" i="15"/>
  <c r="A761" i="15"/>
  <c r="A765" i="15"/>
  <c r="A769" i="15"/>
  <c r="A773" i="15"/>
  <c r="A777" i="15"/>
  <c r="A781" i="15"/>
  <c r="A785" i="15"/>
  <c r="A789" i="15"/>
  <c r="A793" i="15"/>
  <c r="A797" i="15"/>
  <c r="A801" i="15"/>
  <c r="A804" i="15"/>
  <c r="A806" i="15"/>
  <c r="A808" i="15"/>
  <c r="A810" i="15"/>
  <c r="A812" i="15"/>
  <c r="A814" i="15"/>
  <c r="A816" i="15"/>
  <c r="A818" i="15"/>
  <c r="A820" i="15"/>
  <c r="A822" i="15"/>
  <c r="A824" i="15"/>
  <c r="A826" i="15"/>
  <c r="A828" i="15"/>
  <c r="A830" i="15"/>
  <c r="A832" i="15"/>
  <c r="A834" i="15"/>
  <c r="A836" i="15"/>
  <c r="A838" i="15"/>
  <c r="A840" i="15"/>
  <c r="A842" i="15"/>
  <c r="A844" i="15"/>
  <c r="A846" i="15"/>
  <c r="A848" i="15"/>
  <c r="A850" i="15"/>
  <c r="A852" i="15"/>
  <c r="A854" i="15"/>
  <c r="A856" i="15"/>
  <c r="A858" i="15"/>
  <c r="A860" i="15"/>
  <c r="A862" i="15"/>
  <c r="A864" i="15"/>
  <c r="A866" i="15"/>
  <c r="A868" i="15"/>
  <c r="A870" i="15"/>
  <c r="A872" i="15"/>
  <c r="A874" i="15"/>
  <c r="A876" i="15"/>
  <c r="A878" i="15"/>
  <c r="A880" i="15"/>
  <c r="A882" i="15"/>
  <c r="A884" i="15"/>
  <c r="A886" i="15"/>
  <c r="A888" i="15"/>
  <c r="A890" i="15"/>
  <c r="A892" i="15"/>
  <c r="A894" i="15"/>
  <c r="A896" i="15"/>
  <c r="A898" i="15"/>
  <c r="A900" i="15"/>
  <c r="A902" i="15"/>
  <c r="A904" i="15"/>
  <c r="A906" i="15"/>
  <c r="A908" i="15"/>
  <c r="A910" i="15"/>
  <c r="A912" i="15"/>
  <c r="A914" i="15"/>
  <c r="A918" i="15"/>
  <c r="A920" i="15"/>
  <c r="A922" i="15"/>
  <c r="A924" i="15"/>
  <c r="A926" i="15"/>
  <c r="A928" i="15"/>
  <c r="A930" i="15"/>
  <c r="A932" i="15"/>
  <c r="A934" i="15"/>
  <c r="A936" i="15"/>
  <c r="A940" i="15"/>
  <c r="A942" i="15"/>
  <c r="A944" i="15"/>
  <c r="A950" i="15"/>
  <c r="A954" i="15"/>
  <c r="A958" i="15"/>
  <c r="A962" i="15"/>
  <c r="A966" i="15"/>
  <c r="A970" i="15"/>
  <c r="A974" i="15"/>
  <c r="A978" i="15"/>
  <c r="A982" i="15"/>
  <c r="A986" i="15"/>
  <c r="A990" i="15"/>
  <c r="A994" i="15"/>
  <c r="A998" i="15"/>
  <c r="A1002" i="15"/>
  <c r="A1006" i="15"/>
  <c r="A1010" i="15"/>
  <c r="A1014" i="15"/>
  <c r="A1018" i="15"/>
  <c r="A4" i="15"/>
  <c r="G2" i="12"/>
  <c r="T343" i="3" l="1"/>
  <c r="R343" i="3" s="1"/>
  <c r="H343" i="3"/>
  <c r="T342" i="3"/>
  <c r="R342" i="3" s="1"/>
  <c r="H342" i="3"/>
  <c r="T341" i="3"/>
  <c r="R341" i="3" s="1"/>
  <c r="H341" i="3"/>
  <c r="T340" i="3"/>
  <c r="R340" i="3" s="1"/>
  <c r="H340" i="3"/>
  <c r="T339" i="3"/>
  <c r="R339" i="3" s="1"/>
  <c r="H339" i="3"/>
  <c r="T338" i="3"/>
  <c r="R338" i="3" s="1"/>
  <c r="H338" i="3"/>
  <c r="T337" i="3"/>
  <c r="R337" i="3" s="1"/>
  <c r="H337" i="3"/>
  <c r="T336" i="3"/>
  <c r="R336" i="3" s="1"/>
  <c r="H336" i="3"/>
  <c r="T335" i="3"/>
  <c r="R335" i="3" s="1"/>
  <c r="H335" i="3"/>
  <c r="T334" i="3"/>
  <c r="R334" i="3" s="1"/>
  <c r="H334" i="3"/>
  <c r="T333" i="3"/>
  <c r="R333" i="3" s="1"/>
  <c r="H333" i="3"/>
  <c r="T332" i="3"/>
  <c r="R332" i="3" s="1"/>
  <c r="H332" i="3"/>
  <c r="T331" i="3"/>
  <c r="R331" i="3" s="1"/>
  <c r="H331" i="3"/>
  <c r="T330" i="3"/>
  <c r="R330" i="3" s="1"/>
  <c r="H330" i="3"/>
  <c r="T329" i="3"/>
  <c r="R329" i="3" s="1"/>
  <c r="H329" i="3"/>
  <c r="T328" i="3"/>
  <c r="R328" i="3" s="1"/>
  <c r="H328" i="3"/>
  <c r="T327" i="3"/>
  <c r="R327" i="3" s="1"/>
  <c r="H327" i="3"/>
  <c r="T326" i="3"/>
  <c r="R326" i="3" s="1"/>
  <c r="H326" i="3"/>
  <c r="T325" i="3"/>
  <c r="R325" i="3" s="1"/>
  <c r="H325" i="3"/>
  <c r="T324" i="3"/>
  <c r="R324" i="3" s="1"/>
  <c r="H324" i="3"/>
  <c r="T323" i="3"/>
  <c r="R323" i="3" s="1"/>
  <c r="H323" i="3"/>
  <c r="T322" i="3"/>
  <c r="R322" i="3" s="1"/>
  <c r="H322" i="3"/>
  <c r="T321" i="3"/>
  <c r="R321" i="3" s="1"/>
  <c r="H321" i="3"/>
  <c r="T320" i="3"/>
  <c r="R320" i="3" s="1"/>
  <c r="H320" i="3"/>
  <c r="T319" i="3"/>
  <c r="R319" i="3" s="1"/>
  <c r="A319" i="3"/>
  <c r="H319" i="3" s="1"/>
  <c r="T318" i="3"/>
  <c r="R318" i="3" s="1"/>
  <c r="A318" i="3"/>
  <c r="H318" i="3" s="1"/>
  <c r="T317" i="3"/>
  <c r="R317" i="3" s="1"/>
  <c r="A317" i="3"/>
  <c r="H317" i="3" s="1"/>
  <c r="T316" i="3"/>
  <c r="R316" i="3" s="1"/>
  <c r="A316" i="3"/>
  <c r="H316" i="3" s="1"/>
  <c r="T315" i="3"/>
  <c r="R315" i="3" s="1"/>
  <c r="A315" i="3"/>
  <c r="H315" i="3" s="1"/>
  <c r="T314" i="3"/>
  <c r="R314" i="3" s="1"/>
  <c r="A314" i="3"/>
  <c r="H314" i="3" s="1"/>
  <c r="T313" i="3"/>
  <c r="R313" i="3" s="1"/>
  <c r="H313" i="3"/>
  <c r="T312" i="3"/>
  <c r="R312" i="3" s="1"/>
  <c r="H312" i="3"/>
  <c r="T311" i="3"/>
  <c r="R311" i="3" s="1"/>
  <c r="H311" i="3"/>
  <c r="T310" i="3"/>
  <c r="R310" i="3" s="1"/>
  <c r="H310" i="3"/>
  <c r="T309" i="3"/>
  <c r="R309" i="3" s="1"/>
  <c r="H309" i="3"/>
  <c r="T308" i="3"/>
  <c r="R308" i="3" s="1"/>
  <c r="H308" i="3"/>
  <c r="T307" i="3"/>
  <c r="R307" i="3" s="1"/>
  <c r="H307" i="3"/>
  <c r="T306" i="3"/>
  <c r="R306" i="3" s="1"/>
  <c r="H306" i="3"/>
  <c r="T305" i="3"/>
  <c r="R305" i="3" s="1"/>
  <c r="H305" i="3"/>
  <c r="T304" i="3"/>
  <c r="R304" i="3" s="1"/>
  <c r="H304" i="3"/>
  <c r="T303" i="3"/>
  <c r="R303" i="3" s="1"/>
  <c r="H303" i="3"/>
  <c r="T302" i="3"/>
  <c r="R302" i="3" s="1"/>
  <c r="H302" i="3"/>
  <c r="T301" i="3"/>
  <c r="R301" i="3" s="1"/>
  <c r="H301" i="3"/>
  <c r="T300" i="3"/>
  <c r="R300" i="3" s="1"/>
  <c r="H300" i="3"/>
  <c r="T299" i="3"/>
  <c r="R299" i="3" s="1"/>
  <c r="H299" i="3"/>
  <c r="T298" i="3"/>
  <c r="R298" i="3" s="1"/>
  <c r="H298" i="3"/>
  <c r="T297" i="3"/>
  <c r="R297" i="3" s="1"/>
  <c r="A297" i="3"/>
  <c r="H297" i="3" s="1"/>
  <c r="T296" i="3"/>
  <c r="R296" i="3" s="1"/>
  <c r="H296" i="3"/>
  <c r="A296" i="3"/>
  <c r="T295" i="3"/>
  <c r="R295" i="3" s="1"/>
  <c r="A295" i="3"/>
  <c r="H295" i="3" s="1"/>
  <c r="T294" i="3"/>
  <c r="R294" i="3" s="1"/>
  <c r="A294" i="3"/>
  <c r="H294" i="3" s="1"/>
  <c r="T293" i="3"/>
  <c r="R293" i="3" s="1"/>
  <c r="H293" i="3"/>
  <c r="T292" i="3"/>
  <c r="R292" i="3" s="1"/>
  <c r="H292" i="3"/>
  <c r="T291" i="3"/>
  <c r="R291" i="3" s="1"/>
  <c r="H291" i="3"/>
  <c r="T290" i="3"/>
  <c r="R290" i="3" s="1"/>
  <c r="H290" i="3"/>
  <c r="T289" i="3"/>
  <c r="R289" i="3" s="1"/>
  <c r="H289" i="3"/>
  <c r="T288" i="3"/>
  <c r="R288" i="3" s="1"/>
  <c r="H288" i="3"/>
  <c r="T287" i="3"/>
  <c r="R287" i="3" s="1"/>
  <c r="H287" i="3"/>
  <c r="T286" i="3"/>
  <c r="R286" i="3" s="1"/>
  <c r="H286" i="3"/>
  <c r="T285" i="3"/>
  <c r="R285" i="3" s="1"/>
  <c r="H285" i="3"/>
  <c r="T284" i="3"/>
  <c r="R284" i="3" s="1"/>
  <c r="H284" i="3"/>
  <c r="T283" i="3"/>
  <c r="R283" i="3"/>
  <c r="H283" i="3"/>
  <c r="T282" i="3"/>
  <c r="R282" i="3" s="1"/>
  <c r="H282" i="3"/>
  <c r="T281" i="3"/>
  <c r="R281" i="3" s="1"/>
  <c r="H281" i="3"/>
  <c r="T280" i="3"/>
  <c r="R280" i="3" s="1"/>
  <c r="A280" i="3"/>
  <c r="H280" i="3" s="1"/>
  <c r="T279" i="3"/>
  <c r="R279" i="3" s="1"/>
  <c r="A279" i="3"/>
  <c r="H279" i="3" s="1"/>
  <c r="T278" i="3"/>
  <c r="R278" i="3" s="1"/>
  <c r="A278" i="3"/>
  <c r="H278" i="3" s="1"/>
  <c r="T277" i="3"/>
  <c r="R277" i="3" s="1"/>
  <c r="A277" i="3"/>
  <c r="H277" i="3" s="1"/>
  <c r="T276" i="3"/>
  <c r="R276" i="3" s="1"/>
  <c r="A276" i="3"/>
  <c r="H276" i="3" s="1"/>
  <c r="T275" i="3"/>
  <c r="R275" i="3" s="1"/>
  <c r="A275" i="3"/>
  <c r="H275" i="3" s="1"/>
  <c r="T274" i="3"/>
  <c r="R274" i="3" s="1"/>
  <c r="A274" i="3"/>
  <c r="H274" i="3" s="1"/>
  <c r="T273" i="3"/>
  <c r="R273" i="3" s="1"/>
  <c r="H273" i="3"/>
  <c r="T272" i="3"/>
  <c r="R272" i="3" s="1"/>
  <c r="H272" i="3"/>
  <c r="T271" i="3"/>
  <c r="R271" i="3" s="1"/>
  <c r="H271" i="3"/>
  <c r="T270" i="3"/>
  <c r="R270" i="3" s="1"/>
  <c r="H270" i="3"/>
  <c r="T269" i="3"/>
  <c r="R269" i="3" s="1"/>
  <c r="H269" i="3"/>
  <c r="T268" i="3"/>
  <c r="R268" i="3" s="1"/>
  <c r="H268" i="3"/>
  <c r="T267" i="3"/>
  <c r="R267" i="3" s="1"/>
  <c r="H267" i="3"/>
  <c r="T266" i="3"/>
  <c r="R266" i="3" s="1"/>
  <c r="H266" i="3"/>
  <c r="T265" i="3"/>
  <c r="R265" i="3" s="1"/>
  <c r="H265" i="3"/>
  <c r="T264" i="3"/>
  <c r="R264" i="3" s="1"/>
  <c r="H264" i="3"/>
  <c r="T263" i="3"/>
  <c r="R263" i="3" s="1"/>
  <c r="H263" i="3"/>
  <c r="T262" i="3"/>
  <c r="R262" i="3" s="1"/>
  <c r="H262" i="3"/>
  <c r="T261" i="3"/>
  <c r="R261" i="3" s="1"/>
  <c r="H261" i="3"/>
  <c r="T260" i="3"/>
  <c r="R260" i="3" s="1"/>
  <c r="H260" i="3"/>
  <c r="T259" i="3"/>
  <c r="R259" i="3" s="1"/>
  <c r="H259" i="3"/>
  <c r="T258" i="3"/>
  <c r="R258" i="3" s="1"/>
  <c r="H258" i="3"/>
  <c r="T257" i="3"/>
  <c r="R257" i="3" s="1"/>
  <c r="H257" i="3"/>
  <c r="T256" i="3"/>
  <c r="R256" i="3" s="1"/>
  <c r="H256" i="3"/>
  <c r="T255" i="3"/>
  <c r="R255" i="3" s="1"/>
  <c r="A255" i="3"/>
  <c r="H255" i="3" s="1"/>
  <c r="T254" i="3"/>
  <c r="R254" i="3" s="1"/>
  <c r="A254" i="3"/>
  <c r="H254" i="3" s="1"/>
  <c r="T253" i="3"/>
  <c r="R253" i="3" s="1"/>
  <c r="A253" i="3"/>
  <c r="H253" i="3" s="1"/>
  <c r="T252" i="3"/>
  <c r="R252" i="3" s="1"/>
  <c r="A252" i="3"/>
  <c r="H252" i="3" s="1"/>
  <c r="T251" i="3"/>
  <c r="R251" i="3" s="1"/>
  <c r="H251" i="3"/>
  <c r="T250" i="3"/>
  <c r="R250" i="3" s="1"/>
  <c r="H250" i="3"/>
  <c r="T249" i="3"/>
  <c r="R249" i="3" s="1"/>
  <c r="H249" i="3"/>
  <c r="T248" i="3"/>
  <c r="R248" i="3" s="1"/>
  <c r="H248" i="3"/>
  <c r="T247" i="3"/>
  <c r="R247" i="3" s="1"/>
  <c r="H247" i="3"/>
  <c r="T246" i="3"/>
  <c r="R246" i="3" s="1"/>
  <c r="H246" i="3"/>
  <c r="T245" i="3"/>
  <c r="R245" i="3" s="1"/>
  <c r="H245" i="3"/>
  <c r="T244" i="3"/>
  <c r="R244" i="3" s="1"/>
  <c r="H244" i="3"/>
  <c r="T243" i="3"/>
  <c r="R243" i="3" s="1"/>
  <c r="H243" i="3"/>
  <c r="T242" i="3"/>
  <c r="R242" i="3" s="1"/>
  <c r="H242" i="3"/>
  <c r="T241" i="3"/>
  <c r="R241" i="3" s="1"/>
  <c r="H241" i="3"/>
  <c r="T240" i="3"/>
  <c r="R240" i="3" s="1"/>
  <c r="H240" i="3"/>
  <c r="T239" i="3"/>
  <c r="R239" i="3" s="1"/>
  <c r="H239" i="3"/>
  <c r="T238" i="3"/>
  <c r="R238" i="3" s="1"/>
  <c r="H238" i="3"/>
  <c r="T237" i="3"/>
  <c r="R237" i="3" s="1"/>
  <c r="H237" i="3"/>
  <c r="T236" i="3"/>
  <c r="R236" i="3" s="1"/>
  <c r="H236" i="3"/>
  <c r="T235" i="3"/>
  <c r="R235" i="3" s="1"/>
  <c r="A235" i="3"/>
  <c r="H235" i="3" s="1"/>
  <c r="T234" i="3"/>
  <c r="R234" i="3" s="1"/>
  <c r="A234" i="3"/>
  <c r="H234" i="3" s="1"/>
  <c r="T233" i="3"/>
  <c r="R233" i="3" s="1"/>
  <c r="A233" i="3"/>
  <c r="H233" i="3" s="1"/>
  <c r="T232" i="3"/>
  <c r="R232" i="3" s="1"/>
  <c r="A232" i="3"/>
  <c r="H232" i="3" s="1"/>
  <c r="T231" i="3"/>
  <c r="R231" i="3" s="1"/>
  <c r="A231" i="3"/>
  <c r="H231" i="3" s="1"/>
  <c r="T230" i="3"/>
  <c r="R230" i="3" s="1"/>
  <c r="A230" i="3"/>
  <c r="H230" i="3" s="1"/>
  <c r="T229" i="3"/>
  <c r="R229" i="3" s="1"/>
  <c r="A229" i="3"/>
  <c r="H229" i="3" s="1"/>
  <c r="T228" i="3"/>
  <c r="R228" i="3" s="1"/>
  <c r="H228" i="3"/>
  <c r="T227" i="3"/>
  <c r="R227" i="3" s="1"/>
  <c r="H227" i="3"/>
  <c r="T226" i="3"/>
  <c r="R226" i="3" s="1"/>
  <c r="H226" i="3"/>
  <c r="T225" i="3"/>
  <c r="R225" i="3" s="1"/>
  <c r="H225" i="3"/>
  <c r="T224" i="3"/>
  <c r="R224" i="3" s="1"/>
  <c r="H224" i="3"/>
  <c r="T223" i="3"/>
  <c r="R223" i="3" s="1"/>
  <c r="H223" i="3"/>
  <c r="T222" i="3"/>
  <c r="R222" i="3" s="1"/>
  <c r="H222" i="3"/>
  <c r="T221" i="3"/>
  <c r="R221" i="3" s="1"/>
  <c r="H221" i="3"/>
  <c r="T220" i="3"/>
  <c r="R220" i="3" s="1"/>
  <c r="H220" i="3"/>
  <c r="T219" i="3"/>
  <c r="R219" i="3" s="1"/>
  <c r="H219" i="3"/>
  <c r="T218" i="3"/>
  <c r="R218" i="3" s="1"/>
  <c r="H218" i="3"/>
  <c r="T217" i="3"/>
  <c r="R217" i="3" s="1"/>
  <c r="H217" i="3"/>
  <c r="T216" i="3"/>
  <c r="R216" i="3" s="1"/>
  <c r="H216" i="3"/>
  <c r="T215" i="3"/>
  <c r="R215" i="3" s="1"/>
  <c r="H215" i="3"/>
  <c r="A215" i="3"/>
  <c r="T214" i="3"/>
  <c r="R214" i="3" s="1"/>
  <c r="A214" i="3"/>
  <c r="H214" i="3" s="1"/>
  <c r="T213" i="3"/>
  <c r="R213" i="3" s="1"/>
  <c r="H213" i="3"/>
  <c r="A213" i="3"/>
  <c r="T212" i="3"/>
  <c r="R212" i="3" s="1"/>
  <c r="A212" i="3"/>
  <c r="H212" i="3" s="1"/>
  <c r="T211" i="3"/>
  <c r="R211" i="3" s="1"/>
  <c r="A211" i="3"/>
  <c r="H211" i="3" s="1"/>
  <c r="T210" i="3"/>
  <c r="R210" i="3" s="1"/>
  <c r="H210" i="3"/>
  <c r="A210" i="3"/>
  <c r="T209" i="3"/>
  <c r="R209" i="3" s="1"/>
  <c r="A209" i="3"/>
  <c r="H209" i="3" s="1"/>
  <c r="T208" i="3"/>
  <c r="R208" i="3" s="1"/>
  <c r="H208" i="3"/>
  <c r="T207" i="3"/>
  <c r="R207" i="3" s="1"/>
  <c r="H207" i="3"/>
  <c r="T206" i="3"/>
  <c r="R206" i="3" s="1"/>
  <c r="H206" i="3"/>
  <c r="T205" i="3"/>
  <c r="R205" i="3" s="1"/>
  <c r="H205" i="3"/>
  <c r="T204" i="3"/>
  <c r="R204" i="3" s="1"/>
  <c r="H204" i="3"/>
  <c r="T203" i="3"/>
  <c r="R203" i="3" s="1"/>
  <c r="H203" i="3"/>
  <c r="T202" i="3"/>
  <c r="R202" i="3" s="1"/>
  <c r="H202" i="3"/>
  <c r="T201" i="3"/>
  <c r="R201" i="3" s="1"/>
  <c r="H201" i="3"/>
  <c r="T200" i="3"/>
  <c r="R200" i="3" s="1"/>
  <c r="H200" i="3"/>
  <c r="T199" i="3"/>
  <c r="R199" i="3" s="1"/>
  <c r="H199" i="3"/>
  <c r="T198" i="3"/>
  <c r="R198" i="3" s="1"/>
  <c r="H198" i="3"/>
  <c r="T197" i="3"/>
  <c r="R197" i="3" s="1"/>
  <c r="H197" i="3"/>
  <c r="T196" i="3"/>
  <c r="R196" i="3" s="1"/>
  <c r="H196" i="3"/>
  <c r="T195" i="3"/>
  <c r="R195" i="3" s="1"/>
  <c r="H195" i="3"/>
  <c r="T194" i="3"/>
  <c r="R194" i="3" s="1"/>
  <c r="H194" i="3"/>
  <c r="T193" i="3"/>
  <c r="R193" i="3" s="1"/>
  <c r="A193" i="3"/>
  <c r="H193" i="3" s="1"/>
  <c r="T192" i="3"/>
  <c r="R192" i="3" s="1"/>
  <c r="A192" i="3"/>
  <c r="H192" i="3" s="1"/>
  <c r="T191" i="3"/>
  <c r="R191" i="3" s="1"/>
  <c r="A191" i="3"/>
  <c r="H191" i="3" s="1"/>
  <c r="T190" i="3"/>
  <c r="R190" i="3" s="1"/>
  <c r="A190" i="3"/>
  <c r="H190" i="3" s="1"/>
  <c r="T189" i="3"/>
  <c r="R189" i="3" s="1"/>
  <c r="A189" i="3"/>
  <c r="H189" i="3" s="1"/>
  <c r="T188" i="3"/>
  <c r="R188" i="3" s="1"/>
  <c r="A188" i="3"/>
  <c r="H188" i="3" s="1"/>
  <c r="T187" i="3"/>
  <c r="R187" i="3" s="1"/>
  <c r="H187" i="3"/>
  <c r="T186" i="3"/>
  <c r="R186" i="3" s="1"/>
  <c r="H186" i="3"/>
  <c r="T185" i="3"/>
  <c r="R185" i="3" s="1"/>
  <c r="H185" i="3"/>
  <c r="T184" i="3"/>
  <c r="R184" i="3" s="1"/>
  <c r="H184" i="3"/>
  <c r="T183" i="3"/>
  <c r="R183" i="3" s="1"/>
  <c r="H183" i="3"/>
  <c r="T182" i="3"/>
  <c r="R182" i="3" s="1"/>
  <c r="H182" i="3"/>
  <c r="T181" i="3"/>
  <c r="R181" i="3" s="1"/>
  <c r="H181" i="3"/>
  <c r="T180" i="3"/>
  <c r="R180" i="3" s="1"/>
  <c r="H180" i="3"/>
  <c r="T179" i="3"/>
  <c r="R179" i="3" s="1"/>
  <c r="H179" i="3"/>
  <c r="T178" i="3"/>
  <c r="R178" i="3" s="1"/>
  <c r="H178" i="3"/>
  <c r="T177" i="3"/>
  <c r="R177" i="3" s="1"/>
  <c r="H177" i="3"/>
  <c r="T176" i="3"/>
  <c r="R176" i="3" s="1"/>
  <c r="H176" i="3"/>
  <c r="T175" i="3"/>
  <c r="R175" i="3" s="1"/>
  <c r="H175" i="3"/>
  <c r="T174" i="3"/>
  <c r="R174" i="3" s="1"/>
  <c r="H174" i="3"/>
  <c r="T173" i="3"/>
  <c r="R173" i="3" s="1"/>
  <c r="H173" i="3"/>
  <c r="T172" i="3"/>
  <c r="R172" i="3" s="1"/>
  <c r="H172" i="3"/>
  <c r="T171" i="3"/>
  <c r="R171" i="3" s="1"/>
  <c r="A171" i="3"/>
  <c r="H171" i="3" s="1"/>
  <c r="T170" i="3"/>
  <c r="R170" i="3" s="1"/>
  <c r="A170" i="3"/>
  <c r="H170" i="3" s="1"/>
  <c r="T169" i="3"/>
  <c r="R169" i="3" s="1"/>
  <c r="A169" i="3"/>
  <c r="H169" i="3" s="1"/>
  <c r="T168" i="3"/>
  <c r="R168" i="3" s="1"/>
  <c r="A168" i="3"/>
  <c r="H168" i="3" s="1"/>
  <c r="T167" i="3"/>
  <c r="R167" i="3" s="1"/>
  <c r="A167" i="3"/>
  <c r="H167" i="3" s="1"/>
  <c r="T166" i="3"/>
  <c r="R166" i="3" s="1"/>
  <c r="A166" i="3"/>
  <c r="H166" i="3" s="1"/>
  <c r="T165" i="3"/>
  <c r="R165" i="3" s="1"/>
  <c r="A165" i="3"/>
  <c r="H165" i="3" s="1"/>
  <c r="T164" i="3"/>
  <c r="R164" i="3" s="1"/>
  <c r="H164" i="3"/>
  <c r="T163" i="3"/>
  <c r="R163" i="3" s="1"/>
  <c r="H163" i="3"/>
  <c r="T162" i="3"/>
  <c r="R162" i="3" s="1"/>
  <c r="H162" i="3"/>
  <c r="T161" i="3"/>
  <c r="R161" i="3" s="1"/>
  <c r="H161" i="3"/>
  <c r="T160" i="3"/>
  <c r="R160" i="3" s="1"/>
  <c r="H160" i="3"/>
  <c r="T159" i="3"/>
  <c r="R159" i="3" s="1"/>
  <c r="H159" i="3"/>
  <c r="T158" i="3"/>
  <c r="R158" i="3" s="1"/>
  <c r="H158" i="3"/>
  <c r="T157" i="3"/>
  <c r="R157" i="3" s="1"/>
  <c r="H157" i="3"/>
  <c r="T156" i="3"/>
  <c r="R156" i="3" s="1"/>
  <c r="H156" i="3"/>
  <c r="T155" i="3"/>
  <c r="R155" i="3" s="1"/>
  <c r="H155" i="3"/>
  <c r="T154" i="3"/>
  <c r="R154" i="3" s="1"/>
  <c r="H154" i="3"/>
  <c r="T153" i="3"/>
  <c r="R153" i="3" s="1"/>
  <c r="H153" i="3"/>
  <c r="T152" i="3"/>
  <c r="R152" i="3" s="1"/>
  <c r="H152" i="3"/>
  <c r="T151" i="3"/>
  <c r="R151" i="3" s="1"/>
  <c r="H151" i="3"/>
  <c r="T150" i="3"/>
  <c r="R150" i="3" s="1"/>
  <c r="H150" i="3"/>
  <c r="T149" i="3"/>
  <c r="R149" i="3" s="1"/>
  <c r="H149" i="3"/>
  <c r="T148" i="3"/>
  <c r="R148" i="3" s="1"/>
  <c r="H148" i="3"/>
  <c r="T147" i="3"/>
  <c r="R147" i="3" s="1"/>
  <c r="H147" i="3"/>
  <c r="T146" i="3"/>
  <c r="R146" i="3" s="1"/>
  <c r="H146" i="3"/>
  <c r="T145" i="3"/>
  <c r="R145" i="3" s="1"/>
  <c r="H145" i="3"/>
  <c r="T144" i="3"/>
  <c r="R144" i="3" s="1"/>
  <c r="A144" i="3"/>
  <c r="H144" i="3" s="1"/>
  <c r="T143" i="3"/>
  <c r="R143" i="3" s="1"/>
  <c r="A143" i="3"/>
  <c r="H143" i="3" s="1"/>
  <c r="T142" i="3"/>
  <c r="R142" i="3" s="1"/>
  <c r="A142" i="3"/>
  <c r="H142" i="3" s="1"/>
  <c r="T141" i="3"/>
  <c r="R141" i="3" s="1"/>
  <c r="A141" i="3"/>
  <c r="H141" i="3" s="1"/>
  <c r="T140" i="3"/>
  <c r="R140" i="3" s="1"/>
  <c r="A140" i="3"/>
  <c r="H140" i="3" s="1"/>
  <c r="T139" i="3"/>
  <c r="R139" i="3" s="1"/>
  <c r="H139" i="3"/>
  <c r="T138" i="3"/>
  <c r="R138" i="3" s="1"/>
  <c r="H138" i="3"/>
  <c r="T137" i="3"/>
  <c r="R137" i="3" s="1"/>
  <c r="H137" i="3"/>
  <c r="T136" i="3"/>
  <c r="R136" i="3"/>
  <c r="H136" i="3"/>
  <c r="T135" i="3"/>
  <c r="R135" i="3" s="1"/>
  <c r="H135" i="3"/>
  <c r="T134" i="3"/>
  <c r="R134" i="3" s="1"/>
  <c r="H134" i="3"/>
  <c r="T133" i="3"/>
  <c r="R133" i="3" s="1"/>
  <c r="H133" i="3"/>
  <c r="T132" i="3"/>
  <c r="R132" i="3" s="1"/>
  <c r="H132" i="3"/>
  <c r="T131" i="3"/>
  <c r="R131" i="3" s="1"/>
  <c r="H131" i="3"/>
  <c r="T130" i="3"/>
  <c r="R130" i="3" s="1"/>
  <c r="H130" i="3"/>
  <c r="T129" i="3"/>
  <c r="R129" i="3" s="1"/>
  <c r="H129" i="3"/>
  <c r="T128" i="3"/>
  <c r="R128" i="3" s="1"/>
  <c r="H128" i="3"/>
  <c r="T127" i="3"/>
  <c r="R127" i="3" s="1"/>
  <c r="H127" i="3"/>
  <c r="T126" i="3"/>
  <c r="R126" i="3" s="1"/>
  <c r="H126" i="3"/>
  <c r="T125" i="3"/>
  <c r="R125" i="3" s="1"/>
  <c r="H125" i="3"/>
  <c r="T124" i="3"/>
  <c r="R124" i="3" s="1"/>
  <c r="A124" i="3"/>
  <c r="H124" i="3" s="1"/>
  <c r="T123" i="3"/>
  <c r="R123" i="3" s="1"/>
  <c r="A123" i="3"/>
  <c r="H123" i="3" s="1"/>
  <c r="T122" i="3"/>
  <c r="R122" i="3" s="1"/>
  <c r="A122" i="3"/>
  <c r="H122" i="3" s="1"/>
  <c r="T121" i="3"/>
  <c r="R121" i="3" s="1"/>
  <c r="A121" i="3"/>
  <c r="H121" i="3" s="1"/>
  <c r="T120" i="3"/>
  <c r="R120" i="3" s="1"/>
  <c r="A120" i="3"/>
  <c r="H120" i="3" s="1"/>
  <c r="T119" i="3"/>
  <c r="R119" i="3" s="1"/>
  <c r="H119" i="3"/>
  <c r="T118" i="3"/>
  <c r="R118" i="3" s="1"/>
  <c r="H118" i="3"/>
  <c r="T117" i="3"/>
  <c r="R117" i="3" s="1"/>
  <c r="H117" i="3"/>
  <c r="T116" i="3"/>
  <c r="R116" i="3" s="1"/>
  <c r="H116" i="3"/>
  <c r="T115" i="3"/>
  <c r="R115" i="3" s="1"/>
  <c r="H115" i="3"/>
  <c r="T114" i="3"/>
  <c r="R114" i="3" s="1"/>
  <c r="H114" i="3"/>
  <c r="T113" i="3"/>
  <c r="R113" i="3" s="1"/>
  <c r="H113" i="3"/>
  <c r="T112" i="3"/>
  <c r="R112" i="3" s="1"/>
  <c r="H112" i="3"/>
  <c r="T111" i="3"/>
  <c r="R111" i="3" s="1"/>
  <c r="H111" i="3"/>
  <c r="T110" i="3"/>
  <c r="R110" i="3" s="1"/>
  <c r="H110" i="3"/>
  <c r="T109" i="3"/>
  <c r="R109" i="3" s="1"/>
  <c r="H109" i="3"/>
  <c r="T108" i="3"/>
  <c r="R108" i="3" s="1"/>
  <c r="H108" i="3"/>
  <c r="T107" i="3"/>
  <c r="R107" i="3" s="1"/>
  <c r="H107" i="3"/>
  <c r="T106" i="3"/>
  <c r="R106" i="3" s="1"/>
  <c r="H106" i="3"/>
  <c r="T105" i="3"/>
  <c r="R105" i="3" s="1"/>
  <c r="A105" i="3"/>
  <c r="H105" i="3" s="1"/>
  <c r="T104" i="3"/>
  <c r="R104" i="3" s="1"/>
  <c r="A104" i="3"/>
  <c r="H104" i="3" s="1"/>
  <c r="T103" i="3"/>
  <c r="R103" i="3" s="1"/>
  <c r="H103" i="3"/>
  <c r="T102" i="3"/>
  <c r="R102" i="3" s="1"/>
  <c r="H102" i="3"/>
  <c r="T101" i="3"/>
  <c r="R101" i="3" s="1"/>
  <c r="H101" i="3"/>
  <c r="T100" i="3"/>
  <c r="R100" i="3" s="1"/>
  <c r="H100" i="3"/>
  <c r="T99" i="3"/>
  <c r="R99" i="3" s="1"/>
  <c r="H99" i="3"/>
  <c r="T98" i="3"/>
  <c r="R98" i="3"/>
  <c r="H98" i="3"/>
  <c r="T97" i="3"/>
  <c r="R97" i="3" s="1"/>
  <c r="H97" i="3"/>
  <c r="T96" i="3"/>
  <c r="R96" i="3" s="1"/>
  <c r="H96" i="3"/>
  <c r="T95" i="3"/>
  <c r="R95" i="3" s="1"/>
  <c r="H95" i="3"/>
  <c r="T94" i="3"/>
  <c r="R94" i="3" s="1"/>
  <c r="H94" i="3"/>
  <c r="T93" i="3"/>
  <c r="R93" i="3" s="1"/>
  <c r="H93" i="3"/>
  <c r="T92" i="3"/>
  <c r="R92" i="3" s="1"/>
  <c r="H92" i="3"/>
  <c r="T91" i="3"/>
  <c r="R91" i="3" s="1"/>
  <c r="H91" i="3"/>
  <c r="T90" i="3"/>
  <c r="R90" i="3" s="1"/>
  <c r="H90" i="3"/>
  <c r="T89" i="3"/>
  <c r="R89" i="3" s="1"/>
  <c r="A89" i="3"/>
  <c r="H89" i="3" s="1"/>
  <c r="T88" i="3"/>
  <c r="R88" i="3" s="1"/>
  <c r="A88" i="3"/>
  <c r="H88" i="3" s="1"/>
  <c r="T87" i="3"/>
  <c r="R87" i="3" s="1"/>
  <c r="A87" i="3"/>
  <c r="H87" i="3" s="1"/>
  <c r="T86" i="3"/>
  <c r="R86" i="3" s="1"/>
  <c r="A86" i="3"/>
  <c r="H86" i="3" s="1"/>
  <c r="T85" i="3"/>
  <c r="R85" i="3" s="1"/>
  <c r="H85" i="3"/>
  <c r="T84" i="3"/>
  <c r="R84" i="3" s="1"/>
  <c r="H84" i="3"/>
  <c r="T83" i="3"/>
  <c r="R83" i="3" s="1"/>
  <c r="H83" i="3"/>
  <c r="T82" i="3"/>
  <c r="R82" i="3" s="1"/>
  <c r="H82" i="3"/>
  <c r="T81" i="3"/>
  <c r="R81" i="3" s="1"/>
  <c r="H81" i="3"/>
  <c r="T80" i="3"/>
  <c r="R80" i="3" s="1"/>
  <c r="H80" i="3"/>
  <c r="T79" i="3"/>
  <c r="R79" i="3" s="1"/>
  <c r="H79" i="3"/>
  <c r="T78" i="3"/>
  <c r="R78" i="3" s="1"/>
  <c r="H78" i="3"/>
  <c r="T77" i="3"/>
  <c r="R77" i="3" s="1"/>
  <c r="H77" i="3"/>
  <c r="T76" i="3"/>
  <c r="R76" i="3" s="1"/>
  <c r="H76" i="3"/>
  <c r="T75" i="3"/>
  <c r="R75" i="3" s="1"/>
  <c r="H75" i="3"/>
  <c r="T74" i="3"/>
  <c r="R74" i="3" s="1"/>
  <c r="H74" i="3"/>
  <c r="T73" i="3"/>
  <c r="R73" i="3" s="1"/>
  <c r="H73" i="3"/>
  <c r="A73" i="3"/>
  <c r="T72" i="3"/>
  <c r="R72" i="3" s="1"/>
  <c r="A72" i="3"/>
  <c r="H72" i="3" s="1"/>
  <c r="T71" i="3"/>
  <c r="R71" i="3" s="1"/>
  <c r="H71" i="3"/>
  <c r="T70" i="3"/>
  <c r="R70" i="3" s="1"/>
  <c r="H70" i="3"/>
  <c r="T69" i="3"/>
  <c r="R69" i="3" s="1"/>
  <c r="H69" i="3"/>
  <c r="T68" i="3"/>
  <c r="R68" i="3" s="1"/>
  <c r="H68" i="3"/>
  <c r="T67" i="3"/>
  <c r="R67" i="3" s="1"/>
  <c r="H67" i="3"/>
  <c r="T66" i="3"/>
  <c r="R66" i="3" s="1"/>
  <c r="H66" i="3"/>
  <c r="T65" i="3"/>
  <c r="R65" i="3" s="1"/>
  <c r="H65" i="3"/>
  <c r="T64" i="3"/>
  <c r="R64" i="3" s="1"/>
  <c r="H64" i="3"/>
  <c r="T63" i="3"/>
  <c r="R63" i="3" s="1"/>
  <c r="H63" i="3"/>
  <c r="T62" i="3"/>
  <c r="R62" i="3" s="1"/>
  <c r="H62" i="3"/>
  <c r="T61" i="3"/>
  <c r="R61" i="3" s="1"/>
  <c r="H61" i="3"/>
  <c r="T60" i="3"/>
  <c r="R60" i="3" s="1"/>
  <c r="H60" i="3"/>
  <c r="T59" i="3"/>
  <c r="R59" i="3" s="1"/>
  <c r="H59" i="3"/>
  <c r="T58" i="3"/>
  <c r="R58" i="3" s="1"/>
  <c r="A58" i="3"/>
  <c r="H58" i="3" s="1"/>
  <c r="T57" i="3"/>
  <c r="R57" i="3" s="1"/>
  <c r="A57" i="3"/>
  <c r="H57" i="3" s="1"/>
  <c r="T56" i="3"/>
  <c r="R56" i="3" s="1"/>
  <c r="A56" i="3"/>
  <c r="H56" i="3" s="1"/>
  <c r="T55" i="3"/>
  <c r="R55" i="3" s="1"/>
  <c r="A55" i="3"/>
  <c r="H55" i="3" s="1"/>
  <c r="T54" i="3"/>
  <c r="R54" i="3" s="1"/>
  <c r="A54" i="3"/>
  <c r="H54" i="3" s="1"/>
  <c r="T53" i="3"/>
  <c r="R53" i="3" s="1"/>
  <c r="H53" i="3"/>
  <c r="T52" i="3"/>
  <c r="R52" i="3" s="1"/>
  <c r="H52" i="3"/>
  <c r="T51" i="3"/>
  <c r="R51" i="3" s="1"/>
  <c r="H51" i="3"/>
  <c r="T50" i="3"/>
  <c r="R50" i="3" s="1"/>
  <c r="H50" i="3"/>
  <c r="T49" i="3"/>
  <c r="R49" i="3" s="1"/>
  <c r="H49" i="3"/>
  <c r="T48" i="3"/>
  <c r="R48" i="3" s="1"/>
  <c r="H48" i="3"/>
  <c r="T47" i="3"/>
  <c r="R47" i="3" s="1"/>
  <c r="H47" i="3"/>
  <c r="T46" i="3"/>
  <c r="R46" i="3" s="1"/>
  <c r="H46" i="3"/>
  <c r="T45" i="3"/>
  <c r="R45" i="3" s="1"/>
  <c r="H45" i="3"/>
  <c r="T44" i="3"/>
  <c r="R44" i="3" s="1"/>
  <c r="H44" i="3"/>
  <c r="T43" i="3"/>
  <c r="R43" i="3" s="1"/>
  <c r="H43" i="3"/>
  <c r="T42" i="3"/>
  <c r="R42" i="3" s="1"/>
  <c r="H42" i="3"/>
  <c r="T41" i="3"/>
  <c r="R41" i="3" s="1"/>
  <c r="A41" i="3"/>
  <c r="H41" i="3" s="1"/>
  <c r="T40" i="3"/>
  <c r="R40" i="3" s="1"/>
  <c r="A40" i="3"/>
  <c r="H40" i="3" s="1"/>
  <c r="T39" i="3"/>
  <c r="R39" i="3" s="1"/>
  <c r="A39" i="3"/>
  <c r="H39" i="3" s="1"/>
  <c r="T38" i="3"/>
  <c r="R38" i="3" s="1"/>
  <c r="A38" i="3"/>
  <c r="H38" i="3" s="1"/>
  <c r="T37" i="3"/>
  <c r="R37" i="3" s="1"/>
  <c r="H37" i="3"/>
  <c r="T36" i="3"/>
  <c r="R36" i="3" s="1"/>
  <c r="H36" i="3"/>
  <c r="T35" i="3"/>
  <c r="R35" i="3" s="1"/>
  <c r="H35" i="3"/>
  <c r="T34" i="3"/>
  <c r="R34" i="3" s="1"/>
  <c r="H34" i="3"/>
  <c r="T33" i="3"/>
  <c r="R33" i="3" s="1"/>
  <c r="H33" i="3"/>
  <c r="T32" i="3"/>
  <c r="R32" i="3" s="1"/>
  <c r="H32" i="3"/>
  <c r="T31" i="3"/>
  <c r="R31" i="3" s="1"/>
  <c r="H31" i="3"/>
  <c r="T30" i="3"/>
  <c r="R30" i="3"/>
  <c r="H30" i="3"/>
  <c r="T29" i="3"/>
  <c r="R29" i="3" s="1"/>
  <c r="H29" i="3"/>
  <c r="T28" i="3"/>
  <c r="R28" i="3" s="1"/>
  <c r="H28" i="3"/>
  <c r="T27" i="3"/>
  <c r="R27" i="3" s="1"/>
  <c r="H27" i="3"/>
  <c r="T26" i="3"/>
  <c r="R26" i="3" s="1"/>
  <c r="H26" i="3"/>
  <c r="T25" i="3"/>
  <c r="R25" i="3" s="1"/>
  <c r="H25" i="3"/>
  <c r="T24" i="3"/>
  <c r="R24" i="3" s="1"/>
  <c r="H24" i="3"/>
  <c r="T23" i="3"/>
  <c r="R23" i="3" s="1"/>
  <c r="H23" i="3"/>
  <c r="T22" i="3"/>
  <c r="R22" i="3" s="1"/>
  <c r="A22" i="3"/>
  <c r="H22" i="3" s="1"/>
  <c r="T21" i="3"/>
  <c r="R21" i="3" s="1"/>
  <c r="A21" i="3"/>
  <c r="H21" i="3" s="1"/>
  <c r="T20" i="3"/>
  <c r="R20" i="3" s="1"/>
  <c r="A20" i="3"/>
  <c r="H20" i="3" s="1"/>
  <c r="T19" i="3"/>
  <c r="R19" i="3" s="1"/>
  <c r="H19" i="3"/>
  <c r="T18" i="3"/>
  <c r="R18" i="3" s="1"/>
  <c r="H18" i="3"/>
  <c r="T17" i="3"/>
  <c r="R17" i="3" s="1"/>
  <c r="H17" i="3"/>
  <c r="T16" i="3"/>
  <c r="R16" i="3" s="1"/>
  <c r="H16" i="3"/>
  <c r="T15" i="3"/>
  <c r="R15" i="3" s="1"/>
  <c r="H15" i="3"/>
  <c r="T14" i="3"/>
  <c r="R14" i="3" s="1"/>
  <c r="H14" i="3"/>
  <c r="T13" i="3"/>
  <c r="R13" i="3" s="1"/>
  <c r="H13" i="3"/>
  <c r="T12" i="3"/>
  <c r="R12" i="3" s="1"/>
  <c r="H12" i="3"/>
  <c r="T11" i="3"/>
  <c r="R11" i="3" s="1"/>
  <c r="H11" i="3"/>
  <c r="T10" i="3"/>
  <c r="R10" i="3" s="1"/>
  <c r="H10" i="3"/>
  <c r="T9" i="3"/>
  <c r="R9" i="3" s="1"/>
  <c r="H9" i="3"/>
  <c r="T8" i="3"/>
  <c r="R8" i="3" s="1"/>
  <c r="H8" i="3"/>
  <c r="T7" i="3"/>
  <c r="R7" i="3" s="1"/>
  <c r="H7" i="3"/>
  <c r="T6" i="3"/>
  <c r="R6" i="3" s="1"/>
  <c r="H6" i="3"/>
  <c r="T5" i="3"/>
  <c r="R5" i="3" s="1"/>
  <c r="H5" i="3"/>
  <c r="T4" i="3"/>
  <c r="R4" i="3" s="1"/>
  <c r="H4" i="3"/>
  <c r="T3" i="3"/>
  <c r="R3" i="3" s="1"/>
  <c r="H3" i="3"/>
  <c r="T2" i="3"/>
  <c r="R2" i="3" s="1"/>
  <c r="H2" i="3"/>
  <c r="P109" i="13"/>
  <c r="P237" i="13"/>
  <c r="P365" i="13"/>
  <c r="P493" i="13"/>
  <c r="P146" i="13"/>
  <c r="P316" i="13"/>
  <c r="P487" i="13"/>
  <c r="P623" i="13"/>
  <c r="P196" i="13"/>
  <c r="P424" i="13"/>
  <c r="P618" i="13"/>
  <c r="P753" i="13"/>
  <c r="P271" i="13"/>
  <c r="P561" i="13"/>
  <c r="P752" i="13"/>
  <c r="P885" i="13"/>
  <c r="P169" i="13"/>
  <c r="P341" i="13"/>
  <c r="P513" i="13"/>
  <c r="P226" i="13"/>
  <c r="P455" i="13"/>
  <c r="P643" i="13"/>
  <c r="P303" i="13"/>
  <c r="P586" i="13"/>
  <c r="P15" i="13"/>
  <c r="P414" i="13"/>
  <c r="P720" i="13"/>
  <c r="P901" i="13"/>
  <c r="P46" i="13"/>
  <c r="P350" i="13"/>
  <c r="P620" i="13"/>
  <c r="P29" i="13"/>
  <c r="P285" i="13"/>
  <c r="P39" i="13"/>
  <c r="P380" i="13"/>
  <c r="P54" i="13"/>
  <c r="P510" i="13"/>
  <c r="P80" i="13"/>
  <c r="P646" i="13"/>
  <c r="P65" i="13"/>
  <c r="P405" i="13"/>
  <c r="P311" i="13"/>
  <c r="P118" i="13"/>
  <c r="P665" i="13"/>
  <c r="P553" i="13"/>
  <c r="P949" i="13"/>
  <c r="P463" i="13"/>
  <c r="P88" i="13"/>
  <c r="P650" i="13"/>
  <c r="P887" i="13"/>
  <c r="P152" i="13"/>
  <c r="P686" i="13"/>
  <c r="P904" i="13"/>
  <c r="P212" i="13"/>
  <c r="P719" i="13"/>
  <c r="P427" i="13"/>
  <c r="P636" i="13"/>
  <c r="P775" i="13"/>
  <c r="P848" i="13"/>
  <c r="P113" i="13"/>
  <c r="P281" i="13"/>
  <c r="P453" i="13"/>
  <c r="P151" i="13"/>
  <c r="P77" i="13"/>
  <c r="P333" i="13"/>
  <c r="P103" i="13"/>
  <c r="P444" i="13"/>
  <c r="P139" i="13"/>
  <c r="P721" i="13"/>
  <c r="P499" i="13"/>
  <c r="P853" i="13"/>
  <c r="P297" i="13"/>
  <c r="P172" i="13"/>
  <c r="P599" i="13"/>
  <c r="P528" i="13"/>
  <c r="P319" i="13"/>
  <c r="P861" i="13"/>
  <c r="P272" i="13"/>
  <c r="P754" i="13"/>
  <c r="P477" i="13"/>
  <c r="P607" i="13"/>
  <c r="P737" i="13"/>
  <c r="P869" i="13"/>
  <c r="P199" i="13"/>
  <c r="P560" i="13"/>
  <c r="P881" i="13"/>
  <c r="P774" i="13"/>
  <c r="P844" i="13"/>
  <c r="P585" i="13"/>
  <c r="P59" i="13"/>
  <c r="P879" i="13"/>
  <c r="P314" i="13"/>
  <c r="P69" i="13"/>
  <c r="P409" i="13"/>
  <c r="P322" i="13"/>
  <c r="P445" i="13"/>
  <c r="P575" i="13"/>
  <c r="P705" i="13"/>
  <c r="P837" i="13"/>
  <c r="P140" i="13"/>
  <c r="P495" i="13"/>
  <c r="P841" i="13"/>
  <c r="P732" i="13"/>
  <c r="P823" i="13"/>
  <c r="P529" i="13"/>
  <c r="P1011" i="13"/>
  <c r="P858" i="13"/>
  <c r="P1014" i="13"/>
  <c r="P49" i="13"/>
  <c r="P389" i="13"/>
  <c r="P290" i="13"/>
  <c r="P353" i="13"/>
  <c r="P242" i="13"/>
  <c r="P563" i="13"/>
  <c r="P260" i="13"/>
  <c r="P629" i="13"/>
  <c r="P223" i="13"/>
  <c r="P683" i="13"/>
  <c r="P925" i="13"/>
  <c r="P207" i="13"/>
  <c r="P584" i="13"/>
  <c r="P127" i="13"/>
  <c r="P784" i="13"/>
  <c r="P1010" i="13"/>
  <c r="P125" i="13"/>
  <c r="P167" i="13"/>
  <c r="P224" i="13"/>
  <c r="P173" i="13"/>
  <c r="P429" i="13"/>
  <c r="P231" i="13"/>
  <c r="P559" i="13"/>
  <c r="P310" i="13"/>
  <c r="P689" i="13"/>
  <c r="P422" i="13"/>
  <c r="P821" i="13"/>
  <c r="P257" i="13"/>
  <c r="P114" i="13"/>
  <c r="P555" i="13"/>
  <c r="P459" i="13"/>
  <c r="P214" i="13"/>
  <c r="P817" i="13"/>
  <c r="P198" i="13"/>
  <c r="P711" i="13"/>
  <c r="P413" i="13"/>
  <c r="P543" i="13"/>
  <c r="P673" i="13"/>
  <c r="P805" i="13"/>
  <c r="P87" i="13"/>
  <c r="P416" i="13"/>
  <c r="P797" i="13"/>
  <c r="P690" i="13"/>
  <c r="P802" i="13"/>
  <c r="P456" i="13"/>
  <c r="P990" i="13"/>
  <c r="P836" i="13"/>
  <c r="P971" i="13"/>
  <c r="P25" i="13"/>
  <c r="P369" i="13"/>
  <c r="P263" i="13"/>
  <c r="P461" i="13"/>
  <c r="P591" i="13"/>
  <c r="P195" i="13"/>
  <c r="P129" i="13"/>
  <c r="P396" i="13"/>
  <c r="P729" i="13"/>
  <c r="P997" i="13"/>
  <c r="P221" i="13"/>
  <c r="P395" i="13"/>
  <c r="P321" i="13"/>
  <c r="P366" i="13"/>
  <c r="P537" i="13"/>
  <c r="P862" i="13"/>
  <c r="P67" i="13"/>
  <c r="P241" i="13"/>
  <c r="P189" i="13"/>
  <c r="P339" i="13"/>
  <c r="P277" i="13"/>
  <c r="P262" i="13"/>
  <c r="P468" i="13"/>
  <c r="P840" i="13"/>
  <c r="P980" i="13"/>
  <c r="P217" i="13"/>
  <c r="P181" i="13"/>
  <c r="P418" i="13"/>
  <c r="P467" i="13"/>
  <c r="P490" i="13"/>
  <c r="P1009" i="13"/>
  <c r="P716" i="13"/>
  <c r="P898" i="13"/>
  <c r="P381" i="13"/>
  <c r="P640" i="13"/>
  <c r="P773" i="13"/>
  <c r="P28" i="13"/>
  <c r="P346" i="13"/>
  <c r="P747" i="13"/>
  <c r="P647" i="13"/>
  <c r="P776" i="13"/>
  <c r="P379" i="13"/>
  <c r="P968" i="13"/>
  <c r="P815" i="13"/>
  <c r="P928" i="13"/>
  <c r="P998" i="13"/>
  <c r="P345" i="13"/>
  <c r="P236" i="13"/>
  <c r="P309" i="13"/>
  <c r="P183" i="13"/>
  <c r="P531" i="13"/>
  <c r="P211" i="13"/>
  <c r="P592" i="13"/>
  <c r="P148" i="13"/>
  <c r="P651" i="13"/>
  <c r="P905" i="13"/>
  <c r="P150" i="13"/>
  <c r="P548" i="13"/>
  <c r="P31" i="13"/>
  <c r="P724" i="13"/>
  <c r="P983" i="13"/>
  <c r="P654" i="13"/>
  <c r="P942" i="13"/>
  <c r="P545" i="13"/>
  <c r="P200" i="13"/>
  <c r="P859" i="13"/>
  <c r="P106" i="13"/>
  <c r="P101" i="13"/>
  <c r="P441" i="13"/>
  <c r="P354" i="13"/>
  <c r="P627" i="13"/>
  <c r="P374" i="13"/>
  <c r="P697" i="13"/>
  <c r="P376" i="13"/>
  <c r="P768" i="13"/>
  <c r="P973" i="13"/>
  <c r="P320" i="13"/>
  <c r="P663" i="13"/>
  <c r="P355" i="13"/>
  <c r="P850" i="13"/>
  <c r="P208" i="13"/>
  <c r="P808" i="13"/>
  <c r="P79" i="13"/>
  <c r="P751" i="13"/>
  <c r="P916" i="13"/>
  <c r="P390" i="13"/>
  <c r="P902" i="13"/>
  <c r="P249" i="13"/>
  <c r="P108" i="13"/>
  <c r="P492" i="13"/>
  <c r="P147" i="13"/>
  <c r="P544" i="13"/>
  <c r="P72" i="13"/>
  <c r="P582" i="13"/>
  <c r="P873" i="13"/>
  <c r="P94" i="13"/>
  <c r="P250" i="13"/>
  <c r="P1012" i="13"/>
  <c r="P397" i="13"/>
  <c r="P527" i="13"/>
  <c r="P657" i="13"/>
  <c r="P789" i="13"/>
  <c r="P55" i="13"/>
  <c r="P382" i="13"/>
  <c r="P777" i="13"/>
  <c r="P668" i="13"/>
  <c r="P466" i="13"/>
  <c r="P731" i="13"/>
  <c r="P267" i="13"/>
  <c r="P590" i="13"/>
  <c r="P304" i="13"/>
  <c r="P794" i="13"/>
  <c r="P955" i="13"/>
  <c r="P204" i="13"/>
  <c r="P423" i="13"/>
  <c r="P688" i="13"/>
  <c r="P190" i="13"/>
  <c r="P534" i="13"/>
  <c r="P228" i="13"/>
  <c r="P762" i="13"/>
  <c r="P912" i="13"/>
  <c r="P178" i="13"/>
  <c r="P130" i="13"/>
  <c r="P160" i="13"/>
  <c r="P91" i="13"/>
  <c r="P877" i="13"/>
  <c r="P511" i="13"/>
  <c r="P671" i="13"/>
  <c r="P572" i="13"/>
  <c r="P639" i="13"/>
  <c r="P21" i="13"/>
  <c r="P613" i="13"/>
  <c r="P14" i="13"/>
  <c r="P642" i="13"/>
  <c r="P123" i="13"/>
  <c r="P89" i="13"/>
  <c r="P53" i="13"/>
  <c r="P300" i="13"/>
  <c r="P318" i="13"/>
  <c r="P291" i="13"/>
  <c r="P945" i="13"/>
  <c r="P626" i="13"/>
  <c r="P812" i="13"/>
  <c r="P760" i="13"/>
  <c r="P687" i="13"/>
  <c r="P992" i="13"/>
  <c r="P185" i="13"/>
  <c r="P434" i="13"/>
  <c r="P474" i="13"/>
  <c r="P507" i="13"/>
  <c r="P16" i="13"/>
  <c r="P722" i="13"/>
  <c r="P903" i="13"/>
  <c r="P867" i="13"/>
  <c r="P826" i="13"/>
  <c r="P843" i="13"/>
  <c r="P337" i="13"/>
  <c r="P551" i="13"/>
  <c r="P624" i="13"/>
  <c r="P678" i="13"/>
  <c r="P707" i="13"/>
  <c r="P939" i="13"/>
  <c r="P145" i="13"/>
  <c r="P391" i="13"/>
  <c r="P431" i="13"/>
  <c r="P442" i="13"/>
  <c r="P993" i="13"/>
  <c r="P695" i="13"/>
  <c r="P876" i="13"/>
  <c r="P835" i="13"/>
  <c r="P799" i="13"/>
  <c r="P691" i="13"/>
  <c r="P293" i="13"/>
  <c r="P523" i="13"/>
  <c r="P581" i="13"/>
  <c r="P638" i="13"/>
  <c r="P142" i="13"/>
  <c r="P541" i="13"/>
  <c r="P786" i="13"/>
  <c r="P714" i="13"/>
  <c r="P978" i="13"/>
  <c r="P628" i="13"/>
  <c r="P936" i="13"/>
  <c r="P530" i="13"/>
  <c r="P132" i="13"/>
  <c r="P865" i="13"/>
  <c r="P637" i="13"/>
  <c r="P400" i="13"/>
  <c r="P816" i="13"/>
  <c r="P289" i="13"/>
  <c r="P570" i="13"/>
  <c r="P131" i="13"/>
  <c r="P967" i="13"/>
  <c r="P780" i="13"/>
  <c r="P536" i="13"/>
  <c r="P215" i="13"/>
  <c r="P186" i="13"/>
  <c r="P569" i="13"/>
  <c r="P675" i="13"/>
  <c r="P351" i="13"/>
  <c r="P334" i="13"/>
  <c r="P439" i="13"/>
  <c r="P525" i="13"/>
  <c r="P727" i="13"/>
  <c r="P872" i="13"/>
  <c r="P875" i="13"/>
  <c r="P870" i="13"/>
  <c r="P458" i="13"/>
  <c r="P723" i="13"/>
  <c r="P57" i="13"/>
  <c r="P306" i="13"/>
  <c r="P324" i="13"/>
  <c r="P299" i="13"/>
  <c r="P953" i="13"/>
  <c r="P633" i="13"/>
  <c r="P818" i="13"/>
  <c r="P779" i="13"/>
  <c r="P698" i="13"/>
  <c r="P1003" i="13"/>
  <c r="P209" i="13"/>
  <c r="P450" i="13"/>
  <c r="P502" i="13"/>
  <c r="P540" i="13"/>
  <c r="P187" i="13"/>
  <c r="P107" i="13"/>
  <c r="P1004" i="13"/>
  <c r="P45" i="13"/>
  <c r="P60" i="13"/>
  <c r="P83" i="13"/>
  <c r="P120" i="13"/>
  <c r="P85" i="13"/>
  <c r="P343" i="13"/>
  <c r="P685" i="13"/>
  <c r="P965" i="13"/>
  <c r="P157" i="13"/>
  <c r="P282" i="13"/>
  <c r="P233" i="13"/>
  <c r="P166" i="13"/>
  <c r="P392" i="13"/>
  <c r="P819" i="13"/>
  <c r="P197" i="13"/>
  <c r="P205" i="13"/>
  <c r="P576" i="13"/>
  <c r="P469" i="13"/>
  <c r="P295" i="13"/>
  <c r="P1015" i="13"/>
  <c r="P252" i="13"/>
  <c r="P994" i="13"/>
  <c r="P12" i="13"/>
  <c r="P406" i="13"/>
  <c r="P308" i="13"/>
  <c r="P84" i="13"/>
  <c r="P440" i="13"/>
  <c r="P517" i="13"/>
  <c r="P11" i="13"/>
  <c r="P793" i="13"/>
  <c r="P430" i="13"/>
  <c r="P155" i="13"/>
  <c r="P944" i="13"/>
  <c r="P175" i="13"/>
  <c r="P889" i="13"/>
  <c r="P682" i="13"/>
  <c r="P478" i="13"/>
  <c r="P81" i="13"/>
  <c r="P352" i="13"/>
  <c r="P961" i="13"/>
  <c r="P188" i="13"/>
  <c r="P514" i="13"/>
  <c r="P597" i="13"/>
  <c r="P947" i="13"/>
  <c r="P554" i="13"/>
  <c r="P926" i="13"/>
  <c r="P498" i="13"/>
  <c r="P770" i="13"/>
  <c r="P258" i="13"/>
  <c r="P593" i="13"/>
  <c r="P661" i="13"/>
  <c r="P95" i="13"/>
  <c r="P23" i="13"/>
  <c r="P415" i="13"/>
  <c r="P143" i="13"/>
  <c r="P206" i="13"/>
  <c r="P485" i="13"/>
  <c r="P368" i="13"/>
  <c r="P970" i="13"/>
  <c r="P138" i="13"/>
  <c r="P411" i="13"/>
  <c r="P116" i="13"/>
  <c r="P542" i="13"/>
  <c r="P931" i="13"/>
  <c r="P913" i="13"/>
  <c r="P201" i="13"/>
  <c r="P730" i="13"/>
  <c r="P975" i="13"/>
  <c r="P736" i="13"/>
  <c r="P1006" i="13"/>
  <c r="P96" i="13"/>
  <c r="P767" i="13"/>
  <c r="P331" i="13"/>
  <c r="P960" i="13"/>
  <c r="P248" i="13"/>
  <c r="P451" i="13"/>
  <c r="P827" i="13"/>
  <c r="P984" i="13"/>
  <c r="P557" i="13"/>
  <c r="P742" i="13"/>
  <c r="P117" i="13"/>
  <c r="P666" i="13"/>
  <c r="P378" i="13"/>
  <c r="P268" i="13"/>
  <c r="P504" i="13"/>
  <c r="P269" i="13"/>
  <c r="P480" i="13"/>
  <c r="P385" i="13"/>
  <c r="P518" i="13"/>
  <c r="P124" i="13"/>
  <c r="P428" i="13"/>
  <c r="P930" i="13"/>
  <c r="P922" i="13"/>
  <c r="P82" i="13"/>
  <c r="P370" i="13"/>
  <c r="P908" i="13"/>
  <c r="P864" i="13"/>
  <c r="P615" i="13"/>
  <c r="P763" i="13"/>
  <c r="P335" i="13"/>
  <c r="P338" i="13"/>
  <c r="P40" i="13"/>
  <c r="P78" i="13"/>
  <c r="P744" i="13"/>
  <c r="P71" i="13"/>
  <c r="P24" i="13"/>
  <c r="P849" i="13"/>
  <c r="P454" i="13"/>
  <c r="P609" i="13"/>
  <c r="P494" i="13"/>
  <c r="P344" i="13"/>
  <c r="P447" i="13"/>
  <c r="P17" i="13"/>
  <c r="P247" i="13"/>
  <c r="P275" i="13"/>
  <c r="P243" i="13"/>
  <c r="P929" i="13"/>
  <c r="P598" i="13"/>
  <c r="P791" i="13"/>
  <c r="P718" i="13"/>
  <c r="P644" i="13"/>
  <c r="P950" i="13"/>
  <c r="P165" i="13"/>
  <c r="P412" i="13"/>
  <c r="P446" i="13"/>
  <c r="P479" i="13"/>
  <c r="P1005" i="13"/>
  <c r="P301" i="13"/>
  <c r="P402" i="13"/>
  <c r="P533" i="13"/>
  <c r="P667" i="13"/>
  <c r="P425" i="13"/>
  <c r="P154" i="13"/>
  <c r="P596" i="13"/>
  <c r="P500" i="13"/>
  <c r="P210" i="13"/>
  <c r="P384" i="13"/>
  <c r="P535" i="13"/>
  <c r="P159" i="13"/>
  <c r="P972" i="13"/>
  <c r="P515" i="13"/>
  <c r="P1007" i="13"/>
  <c r="P34" i="13"/>
  <c r="P274" i="13"/>
  <c r="P710" i="13"/>
  <c r="P232" i="13"/>
  <c r="P562" i="13"/>
  <c r="P532" i="13"/>
  <c r="P312" i="13"/>
  <c r="P630" i="13"/>
  <c r="P92" i="13"/>
  <c r="P462" i="13"/>
  <c r="P235" i="13"/>
  <c r="P573" i="13"/>
  <c r="P66" i="13"/>
  <c r="P62" i="13"/>
  <c r="P825" i="13"/>
  <c r="P524" i="13"/>
  <c r="P508" i="13"/>
  <c r="P193" i="13"/>
  <c r="P63" i="13"/>
  <c r="P315" i="13"/>
  <c r="P798" i="13"/>
  <c r="P895" i="13"/>
  <c r="P177" i="13"/>
  <c r="P137" i="13"/>
  <c r="P386" i="13"/>
  <c r="P410" i="13"/>
  <c r="P432" i="13"/>
  <c r="P989" i="13"/>
  <c r="P684" i="13"/>
  <c r="P871" i="13"/>
  <c r="P830" i="13"/>
  <c r="P788" i="13"/>
  <c r="P648" i="13"/>
  <c r="P273" i="13"/>
  <c r="P503" i="13"/>
  <c r="P565" i="13"/>
  <c r="P610" i="13"/>
  <c r="P112" i="13"/>
  <c r="P778" i="13"/>
  <c r="P962" i="13"/>
  <c r="P920" i="13"/>
  <c r="P884" i="13"/>
  <c r="P986" i="13"/>
  <c r="P421" i="13"/>
  <c r="P611" i="13"/>
  <c r="P681" i="13"/>
  <c r="P758" i="13"/>
  <c r="P856" i="13"/>
  <c r="P141" i="13"/>
  <c r="P254" i="13"/>
  <c r="P213" i="13"/>
  <c r="P110" i="13"/>
  <c r="P349" i="13"/>
  <c r="P489" i="13"/>
  <c r="P735" i="13"/>
  <c r="P880" i="13"/>
  <c r="P317" i="13"/>
  <c r="P449" i="13"/>
  <c r="P692" i="13"/>
  <c r="P795" i="13"/>
  <c r="P265" i="13"/>
  <c r="P549" i="13"/>
  <c r="P102" i="13"/>
  <c r="P956" i="13"/>
  <c r="P769" i="13"/>
  <c r="P917" i="13"/>
  <c r="P136" i="13"/>
  <c r="P433" i="13"/>
  <c r="P587" i="13"/>
  <c r="P726" i="13"/>
  <c r="P222" i="13"/>
  <c r="P1000" i="13"/>
  <c r="P783" i="13"/>
  <c r="P68" i="13"/>
  <c r="P829" i="13"/>
  <c r="P552" i="13"/>
  <c r="P270" i="13"/>
  <c r="P1017" i="13"/>
  <c r="P246" i="13"/>
  <c r="P921" i="13"/>
  <c r="P484" i="13"/>
  <c r="P19" i="13"/>
  <c r="P801" i="13"/>
  <c r="P448" i="13"/>
  <c r="P174" i="13"/>
  <c r="P966" i="13"/>
  <c r="P203" i="13"/>
  <c r="P897" i="13"/>
  <c r="P679" i="13"/>
  <c r="P860" i="13"/>
  <c r="P824" i="13"/>
  <c r="P98" i="13"/>
  <c r="P483" i="13"/>
  <c r="P890" i="13"/>
  <c r="P519" i="13"/>
  <c r="P782" i="13"/>
  <c r="P948" i="13"/>
  <c r="P239" i="13"/>
  <c r="P756" i="13"/>
  <c r="P907" i="13"/>
  <c r="P488" i="13"/>
  <c r="P914" i="13"/>
  <c r="P163" i="13"/>
  <c r="P874" i="13"/>
  <c r="P401" i="13"/>
  <c r="P669" i="13"/>
  <c r="P264" i="13"/>
  <c r="P115" i="13"/>
  <c r="P832" i="13"/>
  <c r="P50" i="13"/>
  <c r="P765" i="13"/>
  <c r="P577" i="13"/>
  <c r="P696" i="13"/>
  <c r="P73" i="13"/>
  <c r="P957" i="13"/>
  <c r="P655" i="13"/>
  <c r="P457" i="13"/>
  <c r="P330" i="13"/>
  <c r="P842" i="13"/>
  <c r="P407" i="13"/>
  <c r="P700" i="13"/>
  <c r="P854" i="13"/>
  <c r="P571" i="13"/>
  <c r="P184" i="13"/>
  <c r="P36" i="13"/>
  <c r="P764" i="13"/>
  <c r="P946" i="13"/>
  <c r="P910" i="13"/>
  <c r="P603" i="13"/>
  <c r="P278" i="13"/>
  <c r="P219" i="13"/>
  <c r="P388" i="13"/>
  <c r="P855" i="13"/>
  <c r="P982" i="13"/>
  <c r="P733" i="13"/>
  <c r="P342" i="13"/>
  <c r="P943" i="13"/>
  <c r="P251" i="13"/>
  <c r="P739" i="13"/>
  <c r="P408" i="13"/>
  <c r="P13" i="13"/>
  <c r="P18" i="13"/>
  <c r="P26" i="13"/>
  <c r="P43" i="13"/>
  <c r="P41" i="13"/>
  <c r="P284" i="13"/>
  <c r="P645" i="13"/>
  <c r="P933" i="13"/>
  <c r="P93" i="13"/>
  <c r="P168" i="13"/>
  <c r="P149" i="13"/>
  <c r="P749" i="13"/>
  <c r="P240" i="13"/>
  <c r="P771" i="13"/>
  <c r="P811" i="13"/>
  <c r="P153" i="13"/>
  <c r="P61" i="13"/>
  <c r="P111" i="13"/>
  <c r="P105" i="13"/>
  <c r="P709" i="13"/>
  <c r="P164" i="13"/>
  <c r="P728" i="13"/>
  <c r="P670" i="13"/>
  <c r="P133" i="13"/>
  <c r="P97" i="13"/>
  <c r="P348" i="13"/>
  <c r="P360" i="13"/>
  <c r="P356" i="13"/>
  <c r="P969" i="13"/>
  <c r="P658" i="13"/>
  <c r="P839" i="13"/>
  <c r="P253" i="13"/>
  <c r="P452" i="13"/>
  <c r="P361" i="13"/>
  <c r="P470" i="13"/>
  <c r="P594" i="13"/>
  <c r="P883" i="13"/>
  <c r="P371" i="13"/>
  <c r="P261" i="13"/>
  <c r="P225" i="13"/>
  <c r="P460" i="13"/>
  <c r="P516" i="13"/>
  <c r="P546" i="13"/>
  <c r="P56" i="13"/>
  <c r="P743" i="13"/>
  <c r="P924" i="13"/>
  <c r="P888" i="13"/>
  <c r="P847" i="13"/>
  <c r="P911" i="13"/>
  <c r="P357" i="13"/>
  <c r="P567" i="13"/>
  <c r="P634" i="13"/>
  <c r="P699" i="13"/>
  <c r="P216" i="13"/>
  <c r="P144" i="13"/>
  <c r="P20" i="13"/>
  <c r="P979" i="13"/>
  <c r="P621" i="13"/>
  <c r="P606" i="13"/>
  <c r="P505" i="13"/>
  <c r="P47" i="13"/>
  <c r="P741" i="13"/>
  <c r="P813" i="13"/>
  <c r="P974" i="13"/>
  <c r="P822" i="13"/>
  <c r="P313" i="13"/>
  <c r="P539" i="13"/>
  <c r="P602" i="13"/>
  <c r="P656" i="13"/>
  <c r="P170" i="13"/>
  <c r="P51" i="13"/>
  <c r="P988" i="13"/>
  <c r="P952" i="13"/>
  <c r="P276" i="13"/>
  <c r="P180" i="13"/>
  <c r="P465" i="13"/>
  <c r="P635" i="13"/>
  <c r="P713" i="13"/>
  <c r="P785" i="13"/>
  <c r="P244" i="13"/>
  <c r="P612" i="13"/>
  <c r="P202" i="13"/>
  <c r="P807" i="13"/>
  <c r="P58" i="13"/>
  <c r="P750" i="13"/>
  <c r="P995" i="13"/>
  <c r="P245" i="13"/>
  <c r="P538" i="13"/>
  <c r="P74" i="13"/>
  <c r="P940" i="13"/>
  <c r="P772" i="13"/>
  <c r="P464" i="13"/>
  <c r="P156" i="13"/>
  <c r="P128" i="13"/>
  <c r="P526" i="13"/>
  <c r="P614" i="13"/>
  <c r="P48" i="13"/>
  <c r="P30" i="13"/>
  <c r="P547" i="13"/>
  <c r="P672" i="13"/>
  <c r="P999" i="13"/>
  <c r="P734" i="13"/>
  <c r="P761" i="13"/>
  <c r="P436" i="13"/>
  <c r="P954" i="13"/>
  <c r="P906" i="13"/>
  <c r="P76" i="13"/>
  <c r="P35" i="13"/>
  <c r="P472" i="13"/>
  <c r="P512" i="13"/>
  <c r="P521" i="13"/>
  <c r="P279" i="13"/>
  <c r="P280" i="13"/>
  <c r="P706" i="13"/>
  <c r="P851" i="13"/>
  <c r="P641" i="13"/>
  <c r="P631" i="13"/>
  <c r="P294" i="13"/>
  <c r="P882" i="13"/>
  <c r="P649" i="13"/>
  <c r="P292" i="13"/>
  <c r="P171" i="13"/>
  <c r="P677" i="13"/>
  <c r="P886" i="13"/>
  <c r="P702" i="13"/>
  <c r="P937" i="13"/>
  <c r="P70" i="13"/>
  <c r="P991" i="13"/>
  <c r="P90" i="13"/>
  <c r="P566" i="13"/>
  <c r="P680" i="13"/>
  <c r="P740" i="13"/>
  <c r="P229" i="13"/>
  <c r="P522" i="13"/>
  <c r="P64" i="13"/>
  <c r="P935" i="13"/>
  <c r="P852" i="13"/>
  <c r="P377" i="13"/>
  <c r="P653" i="13"/>
  <c r="P398" i="13"/>
  <c r="P362" i="13"/>
  <c r="P328" i="13"/>
  <c r="P659" i="13"/>
  <c r="P99" i="13"/>
  <c r="P1001" i="13"/>
  <c r="P373" i="13"/>
  <c r="P800" i="13"/>
  <c r="P834" i="13"/>
  <c r="P417" i="13"/>
  <c r="P831" i="13"/>
  <c r="P674" i="13"/>
  <c r="P32" i="13"/>
  <c r="P578" i="13"/>
  <c r="P796" i="13"/>
  <c r="P987" i="13"/>
  <c r="P809" i="13"/>
  <c r="P601" i="13"/>
  <c r="P938" i="13"/>
  <c r="P662" i="13"/>
  <c r="P619" i="13"/>
  <c r="P550" i="13"/>
  <c r="P579" i="13"/>
  <c r="P256" i="13"/>
  <c r="P745" i="13"/>
  <c r="P399" i="13"/>
  <c r="P482" i="13"/>
  <c r="P951" i="13"/>
  <c r="P964" i="13"/>
  <c r="P481" i="13"/>
  <c r="P717" i="13"/>
  <c r="P358" i="13"/>
  <c r="P286" i="13"/>
  <c r="P959" i="13"/>
  <c r="P135" i="13"/>
  <c r="P100" i="13"/>
  <c r="P520" i="13"/>
  <c r="P600" i="13"/>
  <c r="P766" i="13"/>
  <c r="P332" i="13"/>
  <c r="P336" i="13"/>
  <c r="P820" i="13"/>
  <c r="P347" i="13"/>
  <c r="P122" i="13"/>
  <c r="P694" i="13"/>
  <c r="P325" i="13"/>
  <c r="P632" i="13"/>
  <c r="P305" i="13"/>
  <c r="P604" i="13"/>
  <c r="P509" i="13"/>
  <c r="P866" i="13"/>
  <c r="P393" i="13"/>
  <c r="P255" i="13"/>
  <c r="P790" i="13"/>
  <c r="P757" i="13"/>
  <c r="P419" i="13"/>
  <c r="P220" i="13"/>
  <c r="P616" i="13"/>
  <c r="P725" i="13"/>
  <c r="P323" i="13"/>
  <c r="P162" i="13"/>
  <c r="P340" i="13"/>
  <c r="P266" i="13"/>
  <c r="P52" i="13"/>
  <c r="P996" i="13"/>
  <c r="P625" i="13"/>
  <c r="P934" i="13"/>
  <c r="P588" i="13"/>
  <c r="P27" i="13"/>
  <c r="P915" i="13"/>
  <c r="P595" i="13"/>
  <c r="P259" i="13"/>
  <c r="P806" i="13"/>
  <c r="P845" i="13"/>
  <c r="P963" i="13"/>
  <c r="P828" i="13"/>
  <c r="P701" i="13"/>
  <c r="P900" i="13"/>
  <c r="P846" i="13"/>
  <c r="P704" i="13"/>
  <c r="P491" i="13"/>
  <c r="P660" i="13"/>
  <c r="P420" i="13"/>
  <c r="P1016" i="13"/>
  <c r="P977" i="13"/>
  <c r="P501" i="13"/>
  <c r="P863" i="13"/>
  <c r="P605" i="13"/>
  <c r="P1002" i="13"/>
  <c r="P359" i="13"/>
  <c r="P617" i="13"/>
  <c r="P75" i="13"/>
  <c r="P426" i="13"/>
  <c r="P234" i="13"/>
  <c r="P1013" i="13"/>
  <c r="P363" i="13"/>
  <c r="P497" i="13"/>
  <c r="P158" i="13"/>
  <c r="P981" i="13"/>
  <c r="P287" i="13"/>
  <c r="P473" i="13"/>
  <c r="P437" i="13"/>
  <c r="P693" i="13"/>
  <c r="P302" i="13"/>
  <c r="P191" i="13"/>
  <c r="P589" i="13"/>
  <c r="P387" i="13"/>
  <c r="P676" i="13"/>
  <c r="P119" i="13"/>
  <c r="P104" i="13"/>
  <c r="P564" i="13"/>
  <c r="P194" i="13"/>
  <c r="P176" i="13"/>
  <c r="P556" i="13"/>
  <c r="P664" i="13"/>
  <c r="P896" i="13"/>
  <c r="P375" i="13"/>
  <c r="P404" i="13"/>
  <c r="P443" i="13"/>
  <c r="P580" i="13"/>
  <c r="P475" i="13"/>
  <c r="P326" i="13"/>
  <c r="P574" i="13"/>
  <c r="P899" i="13"/>
  <c r="P923" i="13"/>
  <c r="P893" i="13"/>
  <c r="P496" i="13"/>
  <c r="P329" i="13"/>
  <c r="P179" i="13"/>
  <c r="P44" i="13"/>
  <c r="P868" i="13"/>
  <c r="P891" i="13"/>
  <c r="P857" i="13"/>
  <c r="P383" i="13"/>
  <c r="P296" i="13"/>
  <c r="P892" i="13"/>
  <c r="P712" i="13"/>
  <c r="P438" i="13"/>
  <c r="P38" i="13"/>
  <c r="P22" i="13"/>
  <c r="P394" i="13"/>
  <c r="P810" i="13"/>
  <c r="P976" i="13"/>
  <c r="P307" i="13"/>
  <c r="P238" i="13"/>
  <c r="P568" i="13"/>
  <c r="P894" i="13"/>
  <c r="P583" i="13"/>
  <c r="P506" i="13"/>
  <c r="P787" i="13"/>
  <c r="P161" i="13"/>
  <c r="P227" i="13"/>
  <c r="P792" i="13"/>
  <c r="P364" i="13"/>
  <c r="P486" i="13"/>
  <c r="P918" i="13"/>
  <c r="P33" i="13"/>
  <c r="P755" i="13"/>
  <c r="P814" i="13"/>
  <c r="P1008" i="13"/>
  <c r="P218" i="13"/>
  <c r="P909" i="13"/>
  <c r="P746" i="13"/>
  <c r="P558" i="13"/>
  <c r="P121" i="13"/>
  <c r="P403" i="13"/>
  <c r="P985" i="13"/>
  <c r="P738" i="13"/>
  <c r="P919" i="13"/>
  <c r="P878" i="13"/>
  <c r="P476" i="13"/>
  <c r="P759" i="13"/>
  <c r="P927" i="13"/>
  <c r="P182" i="13"/>
  <c r="P703" i="13"/>
  <c r="P838" i="13"/>
  <c r="P608" i="13"/>
  <c r="P804" i="13"/>
  <c r="P435" i="13"/>
  <c r="P42" i="13"/>
  <c r="P126" i="13"/>
  <c r="P622" i="13"/>
  <c r="P37" i="13"/>
  <c r="P941" i="13"/>
  <c r="P327" i="13"/>
  <c r="P372" i="13"/>
  <c r="P86" i="13"/>
  <c r="P298" i="13"/>
  <c r="P134" i="13"/>
  <c r="P192" i="13"/>
  <c r="P958" i="13"/>
  <c r="P833" i="13"/>
  <c r="P803" i="13"/>
  <c r="P471" i="13"/>
  <c r="P748" i="13"/>
  <c r="P932" i="13"/>
  <c r="P715" i="13"/>
  <c r="P230" i="13"/>
  <c r="P781" i="13"/>
  <c r="P708" i="13"/>
  <c r="P652" i="13"/>
  <c r="P283" i="13"/>
  <c r="P288" i="13"/>
  <c r="P367" i="13"/>
  <c r="H1" i="3" l="1"/>
</calcChain>
</file>

<file path=xl/comments1.xml><?xml version="1.0" encoding="utf-8"?>
<comments xmlns="http://schemas.openxmlformats.org/spreadsheetml/2006/main">
  <authors>
    <author>Dan</author>
  </authors>
  <commentList>
    <comment ref="C1" authorId="0" shapeId="0">
      <text>
        <r>
          <rPr>
            <b/>
            <sz val="9"/>
            <color indexed="81"/>
            <rFont val="Tahoma"/>
            <family val="2"/>
          </rPr>
          <t>Dan:</t>
        </r>
        <r>
          <rPr>
            <sz val="9"/>
            <color indexed="81"/>
            <rFont val="Tahoma"/>
            <family val="2"/>
          </rPr>
          <t xml:space="preserve">
Just for the purpose of Ordering on Tags Form.</t>
        </r>
      </text>
    </comment>
  </commentList>
</comments>
</file>

<file path=xl/sharedStrings.xml><?xml version="1.0" encoding="utf-8"?>
<sst xmlns="http://schemas.openxmlformats.org/spreadsheetml/2006/main" count="5915" uniqueCount="1248">
  <si>
    <t>Units</t>
  </si>
  <si>
    <t>Measurement and Estimation</t>
  </si>
  <si>
    <t>Linear Kinematics</t>
  </si>
  <si>
    <t>Vectors</t>
  </si>
  <si>
    <t>Two Dimensional Motion</t>
  </si>
  <si>
    <t>Dynamics</t>
  </si>
  <si>
    <t>Impulse and Momentum</t>
  </si>
  <si>
    <t>Work, Power, and Energy</t>
  </si>
  <si>
    <t>General Waves</t>
  </si>
  <si>
    <t>Applications of Waves</t>
  </si>
  <si>
    <t>Electrostatics</t>
  </si>
  <si>
    <t>DC Circuits</t>
  </si>
  <si>
    <t>Magnetism</t>
  </si>
  <si>
    <t>Modern Physics</t>
  </si>
  <si>
    <t>Year</t>
  </si>
  <si>
    <t>Month</t>
  </si>
  <si>
    <t>Problem</t>
  </si>
  <si>
    <t>ID</t>
  </si>
  <si>
    <t>2002_06_007</t>
  </si>
  <si>
    <t>2002_06_008</t>
  </si>
  <si>
    <t>2002_06_009</t>
  </si>
  <si>
    <t>2002_06_010</t>
  </si>
  <si>
    <t>2002_06_011</t>
  </si>
  <si>
    <t>2002_06_012</t>
  </si>
  <si>
    <t>2002_06_013</t>
  </si>
  <si>
    <t>2002_06_014</t>
  </si>
  <si>
    <t>2002_06_015</t>
  </si>
  <si>
    <t>2002_06_016</t>
  </si>
  <si>
    <t>2002_06_017</t>
  </si>
  <si>
    <t>2002_06_018</t>
  </si>
  <si>
    <t>2002_06_019</t>
  </si>
  <si>
    <t>2002_06_020</t>
  </si>
  <si>
    <t>2002_06_021</t>
  </si>
  <si>
    <t>2002_06_022</t>
  </si>
  <si>
    <t>2002_06_023</t>
  </si>
  <si>
    <t>2002_06_024</t>
  </si>
  <si>
    <t>2002_06_025</t>
  </si>
  <si>
    <t>2002_06_026</t>
  </si>
  <si>
    <t>2002_06_027</t>
  </si>
  <si>
    <t>2002_06_028</t>
  </si>
  <si>
    <t>2002_06_029</t>
  </si>
  <si>
    <t>2002_06_030</t>
  </si>
  <si>
    <t>2002_06_031</t>
  </si>
  <si>
    <t>2002_06_032</t>
  </si>
  <si>
    <t>2002_06_033</t>
  </si>
  <si>
    <t>2002_06_034</t>
  </si>
  <si>
    <t>2002_06_035</t>
  </si>
  <si>
    <t>2002_08_001</t>
  </si>
  <si>
    <t>2002_08_002</t>
  </si>
  <si>
    <t>2002_08_003</t>
  </si>
  <si>
    <t>2002_08_004</t>
  </si>
  <si>
    <t>2002_08_005</t>
  </si>
  <si>
    <t>2002_08_006</t>
  </si>
  <si>
    <t>2002_08_007</t>
  </si>
  <si>
    <t>2002_08_008</t>
  </si>
  <si>
    <t>2002_08_009</t>
  </si>
  <si>
    <t>2002_08_010</t>
  </si>
  <si>
    <t>2002_08_011</t>
  </si>
  <si>
    <t>2002_08_012</t>
  </si>
  <si>
    <t>2002_08_013</t>
  </si>
  <si>
    <t>2002_08_014</t>
  </si>
  <si>
    <t>2002_08_015</t>
  </si>
  <si>
    <t>2002_08_016</t>
  </si>
  <si>
    <t>2002_08_017</t>
  </si>
  <si>
    <t>2002_08_018</t>
  </si>
  <si>
    <t>2002_08_019</t>
  </si>
  <si>
    <t>2002_08_020</t>
  </si>
  <si>
    <t>2002_08_021</t>
  </si>
  <si>
    <t>2002_08_022</t>
  </si>
  <si>
    <t>2002_08_023</t>
  </si>
  <si>
    <t>2002_08_024</t>
  </si>
  <si>
    <t>2002_08_025</t>
  </si>
  <si>
    <t>2002_08_026</t>
  </si>
  <si>
    <t>2002_08_027</t>
  </si>
  <si>
    <t>2002_08_028</t>
  </si>
  <si>
    <t>2002_08_029</t>
  </si>
  <si>
    <t>2002_08_030</t>
  </si>
  <si>
    <t>2002_08_031</t>
  </si>
  <si>
    <t>2002_08_032</t>
  </si>
  <si>
    <t>2002_08_033</t>
  </si>
  <si>
    <t>2002_08_034</t>
  </si>
  <si>
    <t>2002_08_035</t>
  </si>
  <si>
    <t>2003_01_001</t>
  </si>
  <si>
    <t>2003_01_002</t>
  </si>
  <si>
    <t>2003_01_003</t>
  </si>
  <si>
    <t>2003_01_004</t>
  </si>
  <si>
    <t>2003_01_005</t>
  </si>
  <si>
    <t>2003_01_006</t>
  </si>
  <si>
    <t>2003_01_007</t>
  </si>
  <si>
    <t>2003_01_008</t>
  </si>
  <si>
    <t>2003_01_009</t>
  </si>
  <si>
    <t>2003_01_010</t>
  </si>
  <si>
    <t>2003_01_011</t>
  </si>
  <si>
    <t>2003_01_012</t>
  </si>
  <si>
    <t>2003_01_013</t>
  </si>
  <si>
    <t>2003_01_014</t>
  </si>
  <si>
    <t>2003_01_015</t>
  </si>
  <si>
    <t>2003_01_016</t>
  </si>
  <si>
    <t>2003_01_017</t>
  </si>
  <si>
    <t>2003_01_018</t>
  </si>
  <si>
    <t>2003_01_019</t>
  </si>
  <si>
    <t>2003_01_020</t>
  </si>
  <si>
    <t>2003_01_021</t>
  </si>
  <si>
    <t>2003_01_022</t>
  </si>
  <si>
    <t>2003_01_023</t>
  </si>
  <si>
    <t>2003_01_024</t>
  </si>
  <si>
    <t>2003_01_025</t>
  </si>
  <si>
    <t>2003_01_026</t>
  </si>
  <si>
    <t>2003_01_027</t>
  </si>
  <si>
    <t>2003_01_028</t>
  </si>
  <si>
    <t>2003_01_029</t>
  </si>
  <si>
    <t>2003_01_030</t>
  </si>
  <si>
    <t>2003_01_031</t>
  </si>
  <si>
    <t>2003_01_032</t>
  </si>
  <si>
    <t>2003_01_033</t>
  </si>
  <si>
    <t>2003_01_034</t>
  </si>
  <si>
    <t>2003_01_035</t>
  </si>
  <si>
    <t>2003_06_001</t>
  </si>
  <si>
    <t>2003_06_002</t>
  </si>
  <si>
    <t>2003_06_003</t>
  </si>
  <si>
    <t>2003_06_004</t>
  </si>
  <si>
    <t>2003_06_005</t>
  </si>
  <si>
    <t>2003_06_006</t>
  </si>
  <si>
    <t>2003_06_007</t>
  </si>
  <si>
    <t>2003_06_008</t>
  </si>
  <si>
    <t>2003_06_009</t>
  </si>
  <si>
    <t>2003_06_010</t>
  </si>
  <si>
    <t>2003_06_011</t>
  </si>
  <si>
    <t>2003_06_012</t>
  </si>
  <si>
    <t>2003_06_013</t>
  </si>
  <si>
    <t>2003_06_014</t>
  </si>
  <si>
    <t>2003_06_015</t>
  </si>
  <si>
    <t>2003_06_016</t>
  </si>
  <si>
    <t>2003_06_017</t>
  </si>
  <si>
    <t>2003_06_018</t>
  </si>
  <si>
    <t>2003_06_019</t>
  </si>
  <si>
    <t>2003_06_020</t>
  </si>
  <si>
    <t>2003_06_021</t>
  </si>
  <si>
    <t>2003_06_022</t>
  </si>
  <si>
    <t>2003_06_023</t>
  </si>
  <si>
    <t>2003_06_024</t>
  </si>
  <si>
    <t>2003_06_025</t>
  </si>
  <si>
    <t>2003_06_026</t>
  </si>
  <si>
    <t>2003_06_027</t>
  </si>
  <si>
    <t>2003_06_028</t>
  </si>
  <si>
    <t>2003_06_029</t>
  </si>
  <si>
    <t>2003_06_030</t>
  </si>
  <si>
    <t>2003_06_031</t>
  </si>
  <si>
    <t>2003_06_032</t>
  </si>
  <si>
    <t>2003_06_033</t>
  </si>
  <si>
    <t>2003_06_034</t>
  </si>
  <si>
    <t>2003_06_035</t>
  </si>
  <si>
    <t>2004_01_001</t>
  </si>
  <si>
    <t>2004_01_002</t>
  </si>
  <si>
    <t>2004_01_003</t>
  </si>
  <si>
    <t>2004_01_004</t>
  </si>
  <si>
    <t>2004_01_005</t>
  </si>
  <si>
    <t>2004_01_006</t>
  </si>
  <si>
    <t>2004_01_007</t>
  </si>
  <si>
    <t>2004_01_008</t>
  </si>
  <si>
    <t>2004_01_009</t>
  </si>
  <si>
    <t>2004_01_010</t>
  </si>
  <si>
    <t>2004_01_011</t>
  </si>
  <si>
    <t>2004_01_012</t>
  </si>
  <si>
    <t>2004_01_013</t>
  </si>
  <si>
    <t>2004_01_014</t>
  </si>
  <si>
    <t>2004_01_015</t>
  </si>
  <si>
    <t>2004_01_016</t>
  </si>
  <si>
    <t>2004_01_017</t>
  </si>
  <si>
    <t>2004_01_018</t>
  </si>
  <si>
    <t>2004_01_019</t>
  </si>
  <si>
    <t>2004_01_020</t>
  </si>
  <si>
    <t>2004_01_021</t>
  </si>
  <si>
    <t>2004_01_022</t>
  </si>
  <si>
    <t>2004_01_023</t>
  </si>
  <si>
    <t>2004_01_024</t>
  </si>
  <si>
    <t>2004_01_025</t>
  </si>
  <si>
    <t>2004_01_026</t>
  </si>
  <si>
    <t>2004_01_027</t>
  </si>
  <si>
    <t>2004_01_028</t>
  </si>
  <si>
    <t>2004_01_029</t>
  </si>
  <si>
    <t>2004_01_030</t>
  </si>
  <si>
    <t>2004_01_031</t>
  </si>
  <si>
    <t>2004_01_032</t>
  </si>
  <si>
    <t>2004_01_033</t>
  </si>
  <si>
    <t>2004_01_034</t>
  </si>
  <si>
    <t>2004_01_035</t>
  </si>
  <si>
    <t>2004_06_001</t>
  </si>
  <si>
    <t>2004_06_002</t>
  </si>
  <si>
    <t>2004_06_003</t>
  </si>
  <si>
    <t>2004_06_004</t>
  </si>
  <si>
    <t>2004_06_005</t>
  </si>
  <si>
    <t>2004_06_006</t>
  </si>
  <si>
    <t>2004_06_007</t>
  </si>
  <si>
    <t>2004_06_008</t>
  </si>
  <si>
    <t>2004_06_009</t>
  </si>
  <si>
    <t>2004_06_010</t>
  </si>
  <si>
    <t>2004_06_011</t>
  </si>
  <si>
    <t>2004_06_012</t>
  </si>
  <si>
    <t>2004_06_013</t>
  </si>
  <si>
    <t>2004_06_014</t>
  </si>
  <si>
    <t>2004_06_015</t>
  </si>
  <si>
    <t>2004_06_016</t>
  </si>
  <si>
    <t>2004_06_017</t>
  </si>
  <si>
    <t>2004_06_018</t>
  </si>
  <si>
    <t>2004_06_019</t>
  </si>
  <si>
    <t>2004_06_020</t>
  </si>
  <si>
    <t>2004_06_021</t>
  </si>
  <si>
    <t>2004_06_022</t>
  </si>
  <si>
    <t>2004_06_023</t>
  </si>
  <si>
    <t>2004_06_024</t>
  </si>
  <si>
    <t>2004_06_025</t>
  </si>
  <si>
    <t>2004_06_026</t>
  </si>
  <si>
    <t>2004_06_027</t>
  </si>
  <si>
    <t>2004_06_028</t>
  </si>
  <si>
    <t>2004_06_029</t>
  </si>
  <si>
    <t>2004_06_030</t>
  </si>
  <si>
    <t>2004_06_031</t>
  </si>
  <si>
    <t>2004_06_032</t>
  </si>
  <si>
    <t>2004_06_033</t>
  </si>
  <si>
    <t>2004_06_034</t>
  </si>
  <si>
    <t>2004_06_035</t>
  </si>
  <si>
    <t>2005_01_001</t>
  </si>
  <si>
    <t>2005_01_002</t>
  </si>
  <si>
    <t>2005_01_003</t>
  </si>
  <si>
    <t>2005_01_004</t>
  </si>
  <si>
    <t>2005_01_005</t>
  </si>
  <si>
    <t>2005_01_006</t>
  </si>
  <si>
    <t>2005_01_007</t>
  </si>
  <si>
    <t>2005_01_008</t>
  </si>
  <si>
    <t>2005_01_009</t>
  </si>
  <si>
    <t>2005_01_010</t>
  </si>
  <si>
    <t>2005_01_011</t>
  </si>
  <si>
    <t>2005_01_012</t>
  </si>
  <si>
    <t>2005_01_013</t>
  </si>
  <si>
    <t>2005_01_014</t>
  </si>
  <si>
    <t>2005_01_015</t>
  </si>
  <si>
    <t>2005_01_016</t>
  </si>
  <si>
    <t>2005_01_017</t>
  </si>
  <si>
    <t>2005_01_018</t>
  </si>
  <si>
    <t>2005_01_019</t>
  </si>
  <si>
    <t>2005_01_020</t>
  </si>
  <si>
    <t>2005_01_021</t>
  </si>
  <si>
    <t>2005_01_022</t>
  </si>
  <si>
    <t>2005_01_023</t>
  </si>
  <si>
    <t>2005_01_024</t>
  </si>
  <si>
    <t>2005_01_025</t>
  </si>
  <si>
    <t>2005_01_026</t>
  </si>
  <si>
    <t>2005_01_027</t>
  </si>
  <si>
    <t>2005_01_028</t>
  </si>
  <si>
    <t>2005_01_029</t>
  </si>
  <si>
    <t>2005_01_030</t>
  </si>
  <si>
    <t>2005_01_031</t>
  </si>
  <si>
    <t>2005_01_032</t>
  </si>
  <si>
    <t>2005_01_033</t>
  </si>
  <si>
    <t>2005_01_034</t>
  </si>
  <si>
    <t>2005_01_035</t>
  </si>
  <si>
    <t>2005_06_001</t>
  </si>
  <si>
    <t>2005_06_002</t>
  </si>
  <si>
    <t>2005_06_003</t>
  </si>
  <si>
    <t>2005_06_004</t>
  </si>
  <si>
    <t>2005_06_005</t>
  </si>
  <si>
    <t>2005_06_006</t>
  </si>
  <si>
    <t>2005_06_007</t>
  </si>
  <si>
    <t>2005_06_008</t>
  </si>
  <si>
    <t>2005_06_009</t>
  </si>
  <si>
    <t>2005_06_010</t>
  </si>
  <si>
    <t>2005_06_011</t>
  </si>
  <si>
    <t>2005_06_012</t>
  </si>
  <si>
    <t>2005_06_013</t>
  </si>
  <si>
    <t>2005_06_014</t>
  </si>
  <si>
    <t>2005_06_015</t>
  </si>
  <si>
    <t>2005_06_016</t>
  </si>
  <si>
    <t>2005_06_017</t>
  </si>
  <si>
    <t>2005_06_018</t>
  </si>
  <si>
    <t>2005_06_019</t>
  </si>
  <si>
    <t>2005_06_020</t>
  </si>
  <si>
    <t>2005_06_021</t>
  </si>
  <si>
    <t>2005_06_022</t>
  </si>
  <si>
    <t>2005_06_023</t>
  </si>
  <si>
    <t>2005_06_024</t>
  </si>
  <si>
    <t>2005_06_025</t>
  </si>
  <si>
    <t>2005_06_026</t>
  </si>
  <si>
    <t>2005_06_027</t>
  </si>
  <si>
    <t>2005_06_028</t>
  </si>
  <si>
    <t>2005_06_029</t>
  </si>
  <si>
    <t>2005_06_030</t>
  </si>
  <si>
    <t>2005_06_031</t>
  </si>
  <si>
    <t>2005_06_032</t>
  </si>
  <si>
    <t>2005_06_033</t>
  </si>
  <si>
    <t>2005_06_034</t>
  </si>
  <si>
    <t>2005_06_035</t>
  </si>
  <si>
    <t>2006_01_001</t>
  </si>
  <si>
    <t>2006_01_002</t>
  </si>
  <si>
    <t>2006_01_003</t>
  </si>
  <si>
    <t>2006_01_004</t>
  </si>
  <si>
    <t>2006_01_005</t>
  </si>
  <si>
    <t>2006_01_006</t>
  </si>
  <si>
    <t>2006_01_007</t>
  </si>
  <si>
    <t>2006_01_008</t>
  </si>
  <si>
    <t>2006_01_009</t>
  </si>
  <si>
    <t>2006_01_010</t>
  </si>
  <si>
    <t>2006_01_011</t>
  </si>
  <si>
    <t>2006_01_012</t>
  </si>
  <si>
    <t>2006_01_013</t>
  </si>
  <si>
    <t>2006_01_014</t>
  </si>
  <si>
    <t>2006_01_015</t>
  </si>
  <si>
    <t>2006_01_016</t>
  </si>
  <si>
    <t>2006_01_017</t>
  </si>
  <si>
    <t>2006_01_018</t>
  </si>
  <si>
    <t>2006_01_019</t>
  </si>
  <si>
    <t>2006_01_020</t>
  </si>
  <si>
    <t>2006_01_021</t>
  </si>
  <si>
    <t>2006_01_022</t>
  </si>
  <si>
    <t>2006_01_023</t>
  </si>
  <si>
    <t>2006_01_024</t>
  </si>
  <si>
    <t>2006_01_025</t>
  </si>
  <si>
    <t>2006_01_026</t>
  </si>
  <si>
    <t>2006_01_027</t>
  </si>
  <si>
    <t>2006_01_028</t>
  </si>
  <si>
    <t>2006_01_029</t>
  </si>
  <si>
    <t>2006_01_030</t>
  </si>
  <si>
    <t>2006_01_031</t>
  </si>
  <si>
    <t>2006_01_032</t>
  </si>
  <si>
    <t>2006_01_033</t>
  </si>
  <si>
    <t>2006_01_034</t>
  </si>
  <si>
    <t>2006_01_035</t>
  </si>
  <si>
    <t>2006_06_001</t>
  </si>
  <si>
    <t>2006_06_002</t>
  </si>
  <si>
    <t>2006_06_003</t>
  </si>
  <si>
    <t>2006_06_004</t>
  </si>
  <si>
    <t>2006_06_005</t>
  </si>
  <si>
    <t>2006_06_006</t>
  </si>
  <si>
    <t>2006_06_007</t>
  </si>
  <si>
    <t>2006_06_008</t>
  </si>
  <si>
    <t>2006_06_009</t>
  </si>
  <si>
    <t>2006_06_010</t>
  </si>
  <si>
    <t>2006_06_011</t>
  </si>
  <si>
    <t>2006_06_012</t>
  </si>
  <si>
    <t>2006_06_013</t>
  </si>
  <si>
    <t>2006_06_014</t>
  </si>
  <si>
    <t>2006_06_015</t>
  </si>
  <si>
    <t>2006_06_016</t>
  </si>
  <si>
    <t>2006_06_017</t>
  </si>
  <si>
    <t>2006_06_018</t>
  </si>
  <si>
    <t>2006_06_019</t>
  </si>
  <si>
    <t>2006_06_020</t>
  </si>
  <si>
    <t>2006_06_021</t>
  </si>
  <si>
    <t>2006_06_022</t>
  </si>
  <si>
    <t>2006_06_023</t>
  </si>
  <si>
    <t>2006_06_024</t>
  </si>
  <si>
    <t>2006_06_025</t>
  </si>
  <si>
    <t>2006_06_026</t>
  </si>
  <si>
    <t>2006_06_027</t>
  </si>
  <si>
    <t>2006_06_028</t>
  </si>
  <si>
    <t>2006_06_029</t>
  </si>
  <si>
    <t>2006_06_030</t>
  </si>
  <si>
    <t>2006_06_031</t>
  </si>
  <si>
    <t>2006_06_032</t>
  </si>
  <si>
    <t>2006_06_033</t>
  </si>
  <si>
    <t>2006_06_034</t>
  </si>
  <si>
    <t>2006_06_035</t>
  </si>
  <si>
    <t>2007_01_001</t>
  </si>
  <si>
    <t>2007_01_002</t>
  </si>
  <si>
    <t>2007_01_003</t>
  </si>
  <si>
    <t>2007_01_004</t>
  </si>
  <si>
    <t>2007_01_005</t>
  </si>
  <si>
    <t>2007_01_006</t>
  </si>
  <si>
    <t>2007_01_007</t>
  </si>
  <si>
    <t>2007_01_008</t>
  </si>
  <si>
    <t>2007_01_009</t>
  </si>
  <si>
    <t>2007_01_010</t>
  </si>
  <si>
    <t>2007_01_011</t>
  </si>
  <si>
    <t>2007_01_012</t>
  </si>
  <si>
    <t>2007_01_013</t>
  </si>
  <si>
    <t>2007_01_014</t>
  </si>
  <si>
    <t>2007_01_015</t>
  </si>
  <si>
    <t>2007_01_016</t>
  </si>
  <si>
    <t>2007_01_017</t>
  </si>
  <si>
    <t>2007_01_018</t>
  </si>
  <si>
    <t>2007_01_019</t>
  </si>
  <si>
    <t>2007_01_020</t>
  </si>
  <si>
    <t>2007_01_021</t>
  </si>
  <si>
    <t>2007_01_022</t>
  </si>
  <si>
    <t>2007_01_023</t>
  </si>
  <si>
    <t>2007_01_024</t>
  </si>
  <si>
    <t>2007_01_025</t>
  </si>
  <si>
    <t>2007_01_026</t>
  </si>
  <si>
    <t>2007_01_027</t>
  </si>
  <si>
    <t>2007_01_028</t>
  </si>
  <si>
    <t>2007_01_029</t>
  </si>
  <si>
    <t>2007_01_030</t>
  </si>
  <si>
    <t>2007_01_031</t>
  </si>
  <si>
    <t>2007_01_032</t>
  </si>
  <si>
    <t>2007_01_033</t>
  </si>
  <si>
    <t>2007_01_034</t>
  </si>
  <si>
    <t>2007_01_035</t>
  </si>
  <si>
    <t>2007_06_001</t>
  </si>
  <si>
    <t>2007_06_002</t>
  </si>
  <si>
    <t>2007_06_003</t>
  </si>
  <si>
    <t>2007_06_004</t>
  </si>
  <si>
    <t>2007_06_005</t>
  </si>
  <si>
    <t>2007_06_006</t>
  </si>
  <si>
    <t>2007_06_007</t>
  </si>
  <si>
    <t>2007_06_008</t>
  </si>
  <si>
    <t>2007_06_009</t>
  </si>
  <si>
    <t>2007_06_010</t>
  </si>
  <si>
    <t>2007_06_011</t>
  </si>
  <si>
    <t>2007_06_012</t>
  </si>
  <si>
    <t>2007_06_013</t>
  </si>
  <si>
    <t>2007_06_014</t>
  </si>
  <si>
    <t>2007_06_015</t>
  </si>
  <si>
    <t>2007_06_016</t>
  </si>
  <si>
    <t>2007_06_017</t>
  </si>
  <si>
    <t>2007_06_018</t>
  </si>
  <si>
    <t>2007_06_019</t>
  </si>
  <si>
    <t>2007_06_020</t>
  </si>
  <si>
    <t>2007_06_021</t>
  </si>
  <si>
    <t>2007_06_022</t>
  </si>
  <si>
    <t>2007_06_023</t>
  </si>
  <si>
    <t>2007_06_024</t>
  </si>
  <si>
    <t>2007_06_025</t>
  </si>
  <si>
    <t>2007_06_026</t>
  </si>
  <si>
    <t>2007_06_027</t>
  </si>
  <si>
    <t>2007_06_028</t>
  </si>
  <si>
    <t>2007_06_029</t>
  </si>
  <si>
    <t>2007_06_030</t>
  </si>
  <si>
    <t>2007_06_031</t>
  </si>
  <si>
    <t>2007_06_032</t>
  </si>
  <si>
    <t>2007_06_033</t>
  </si>
  <si>
    <t>2007_06_034</t>
  </si>
  <si>
    <t>2007_06_035</t>
  </si>
  <si>
    <t>2008_01_001</t>
  </si>
  <si>
    <t>2008_01_002</t>
  </si>
  <si>
    <t>2008_01_003</t>
  </si>
  <si>
    <t>2008_01_004</t>
  </si>
  <si>
    <t>2008_01_005</t>
  </si>
  <si>
    <t>2008_01_006</t>
  </si>
  <si>
    <t>2008_01_007</t>
  </si>
  <si>
    <t>2008_01_008</t>
  </si>
  <si>
    <t>2008_01_009</t>
  </si>
  <si>
    <t>2008_01_010</t>
  </si>
  <si>
    <t>2008_01_011</t>
  </si>
  <si>
    <t>2008_01_012</t>
  </si>
  <si>
    <t>2008_01_013</t>
  </si>
  <si>
    <t>2008_01_014</t>
  </si>
  <si>
    <t>2008_01_015</t>
  </si>
  <si>
    <t>2008_01_016</t>
  </si>
  <si>
    <t>2008_01_017</t>
  </si>
  <si>
    <t>2008_01_018</t>
  </si>
  <si>
    <t>2008_01_019</t>
  </si>
  <si>
    <t>2008_01_020</t>
  </si>
  <si>
    <t>2008_01_021</t>
  </si>
  <si>
    <t>2008_01_022</t>
  </si>
  <si>
    <t>2008_01_023</t>
  </si>
  <si>
    <t>2008_01_024</t>
  </si>
  <si>
    <t>2008_01_025</t>
  </si>
  <si>
    <t>2008_01_026</t>
  </si>
  <si>
    <t>2008_01_027</t>
  </si>
  <si>
    <t>2008_01_028</t>
  </si>
  <si>
    <t>2008_01_029</t>
  </si>
  <si>
    <t>2008_01_030</t>
  </si>
  <si>
    <t>2008_01_031</t>
  </si>
  <si>
    <t>2008_01_032</t>
  </si>
  <si>
    <t>2008_01_033</t>
  </si>
  <si>
    <t>2008_01_034</t>
  </si>
  <si>
    <t>2008_01_035</t>
  </si>
  <si>
    <t>2008_06_001</t>
  </si>
  <si>
    <t>2008_06_002</t>
  </si>
  <si>
    <t>2008_06_003</t>
  </si>
  <si>
    <t>2008_06_004</t>
  </si>
  <si>
    <t>2008_06_005</t>
  </si>
  <si>
    <t>2008_06_006</t>
  </si>
  <si>
    <t>2008_06_007</t>
  </si>
  <si>
    <t>2008_06_008</t>
  </si>
  <si>
    <t>2008_06_009</t>
  </si>
  <si>
    <t>2008_06_010</t>
  </si>
  <si>
    <t>2008_06_011</t>
  </si>
  <si>
    <t>2008_06_012</t>
  </si>
  <si>
    <t>2008_06_013</t>
  </si>
  <si>
    <t>2008_06_014</t>
  </si>
  <si>
    <t>2008_06_015</t>
  </si>
  <si>
    <t>2008_06_016</t>
  </si>
  <si>
    <t>2008_06_017</t>
  </si>
  <si>
    <t>2008_06_018</t>
  </si>
  <si>
    <t>2008_06_019</t>
  </si>
  <si>
    <t>2008_06_020</t>
  </si>
  <si>
    <t>2008_06_021</t>
  </si>
  <si>
    <t>2008_06_022</t>
  </si>
  <si>
    <t>2008_06_023</t>
  </si>
  <si>
    <t>2008_06_024</t>
  </si>
  <si>
    <t>2008_06_025</t>
  </si>
  <si>
    <t>2008_06_026</t>
  </si>
  <si>
    <t>2008_06_027</t>
  </si>
  <si>
    <t>2008_06_028</t>
  </si>
  <si>
    <t>2008_06_029</t>
  </si>
  <si>
    <t>2008_06_030</t>
  </si>
  <si>
    <t>2008_06_031</t>
  </si>
  <si>
    <t>2008_06_032</t>
  </si>
  <si>
    <t>2008_06_033</t>
  </si>
  <si>
    <t>2008_06_034</t>
  </si>
  <si>
    <t>2008_06_035</t>
  </si>
  <si>
    <t>2009_01_001</t>
  </si>
  <si>
    <t>2009_01_002</t>
  </si>
  <si>
    <t>2009_01_003</t>
  </si>
  <si>
    <t>2009_01_004</t>
  </si>
  <si>
    <t>2009_01_005</t>
  </si>
  <si>
    <t>2009_01_006</t>
  </si>
  <si>
    <t>2009_01_007</t>
  </si>
  <si>
    <t>2009_01_008</t>
  </si>
  <si>
    <t>2009_01_009</t>
  </si>
  <si>
    <t>2009_01_010</t>
  </si>
  <si>
    <t>2009_01_011</t>
  </si>
  <si>
    <t>2009_01_012</t>
  </si>
  <si>
    <t>2009_01_013</t>
  </si>
  <si>
    <t>2009_01_014</t>
  </si>
  <si>
    <t>2009_01_015</t>
  </si>
  <si>
    <t>2009_01_016</t>
  </si>
  <si>
    <t>2009_01_017</t>
  </si>
  <si>
    <t>2009_01_018</t>
  </si>
  <si>
    <t>2009_01_019</t>
  </si>
  <si>
    <t>2009_01_020</t>
  </si>
  <si>
    <t>2009_01_021</t>
  </si>
  <si>
    <t>2009_01_022</t>
  </si>
  <si>
    <t>2009_01_023</t>
  </si>
  <si>
    <t>2009_01_024</t>
  </si>
  <si>
    <t>2009_01_025</t>
  </si>
  <si>
    <t>2009_01_026</t>
  </si>
  <si>
    <t>2009_01_027</t>
  </si>
  <si>
    <t>2009_01_028</t>
  </si>
  <si>
    <t>2009_01_029</t>
  </si>
  <si>
    <t>2009_01_030</t>
  </si>
  <si>
    <t>2009_01_031</t>
  </si>
  <si>
    <t>2009_01_032</t>
  </si>
  <si>
    <t>2009_01_033</t>
  </si>
  <si>
    <t>2009_01_034</t>
  </si>
  <si>
    <t>2009_01_035</t>
  </si>
  <si>
    <t>2002_06_001</t>
  </si>
  <si>
    <t>2002_06_002</t>
  </si>
  <si>
    <t>2002_06_003</t>
  </si>
  <si>
    <t>2002_06_004</t>
  </si>
  <si>
    <t>2002_06_005</t>
  </si>
  <si>
    <t>2002_06_006</t>
  </si>
  <si>
    <t>Tag</t>
  </si>
  <si>
    <t>Primary Unit</t>
  </si>
  <si>
    <t>Secondary Unit</t>
  </si>
  <si>
    <t>Vector vs. Scalar</t>
  </si>
  <si>
    <t>Estimation</t>
  </si>
  <si>
    <t>Math Skills</t>
  </si>
  <si>
    <t>Adding Vectors</t>
  </si>
  <si>
    <t>Vector Components</t>
  </si>
  <si>
    <t>Horizontal Constant Acceleration Problems</t>
  </si>
  <si>
    <t>Vertical Constant Acceleration Problems</t>
  </si>
  <si>
    <t>DT/VT Graphs</t>
  </si>
  <si>
    <t>Acceleration of Projectile</t>
  </si>
  <si>
    <t>Horizontal Projectile Time of Flight</t>
  </si>
  <si>
    <t>Weight and Mass</t>
  </si>
  <si>
    <t>Friction</t>
  </si>
  <si>
    <t>Impulse</t>
  </si>
  <si>
    <t>Kinetic Energy</t>
  </si>
  <si>
    <t>PE of Spring</t>
  </si>
  <si>
    <t>Induction, Conduction, Polarization</t>
  </si>
  <si>
    <t>Electrical Definitions</t>
  </si>
  <si>
    <t>Coulomb's Law</t>
  </si>
  <si>
    <t>Resistance of Wire</t>
  </si>
  <si>
    <t>Series and Parallel</t>
  </si>
  <si>
    <t>Energy/Frequency of Photon</t>
  </si>
  <si>
    <t>Energy/Mass Equivalency</t>
  </si>
  <si>
    <t>Wave Vocabulary</t>
  </si>
  <si>
    <t>Light and Sound</t>
  </si>
  <si>
    <t>V=FxLamda</t>
  </si>
  <si>
    <t>Resonance</t>
  </si>
  <si>
    <t>Diffraction</t>
  </si>
  <si>
    <t>Doppler Effect</t>
  </si>
  <si>
    <t>Superposition and Standing Waves</t>
  </si>
  <si>
    <t>Horizontal Projectile Range</t>
  </si>
  <si>
    <t>Max Height of Projectile</t>
  </si>
  <si>
    <t>Hooke's Law</t>
  </si>
  <si>
    <t>Law of Gravity</t>
  </si>
  <si>
    <t>Conservation of Energy</t>
  </si>
  <si>
    <t>Conservation of Momentum</t>
  </si>
  <si>
    <t>Gravitational PE</t>
  </si>
  <si>
    <t>Ohm's Law</t>
  </si>
  <si>
    <t>Refraction and Snell's Law</t>
  </si>
  <si>
    <t>Conservation of Charge</t>
  </si>
  <si>
    <t>Particle Physics</t>
  </si>
  <si>
    <t>Electrical Power</t>
  </si>
  <si>
    <t>Work/Power</t>
  </si>
  <si>
    <t>Miscellaneous</t>
  </si>
  <si>
    <t>Graph Interpretation</t>
  </si>
  <si>
    <t>Mathematical Relationships (Numberless Problems)</t>
  </si>
  <si>
    <t>Unit</t>
  </si>
  <si>
    <t>Centripetal Motion - Direction F,A,V</t>
  </si>
  <si>
    <t>Centripetal Motion - Calculation</t>
  </si>
  <si>
    <t>Basic Motion Concepts</t>
  </si>
  <si>
    <t>Newton's 2nd Law (F=MA)</t>
  </si>
  <si>
    <t>Newton's 1st Law (Inertia)</t>
  </si>
  <si>
    <t>Newton's 3rd Law (Equal But Opposite)</t>
  </si>
  <si>
    <t>Inclined Plane</t>
  </si>
  <si>
    <t>Answer</t>
  </si>
  <si>
    <t>Projectiles at an Angle</t>
  </si>
  <si>
    <t>A</t>
  </si>
  <si>
    <t>Parents</t>
  </si>
  <si>
    <t>Children</t>
  </si>
  <si>
    <t>QID</t>
  </si>
  <si>
    <t>DateTime</t>
  </si>
  <si>
    <t>Correct</t>
  </si>
  <si>
    <t>SessionID</t>
  </si>
  <si>
    <t>AttemptEver</t>
  </si>
  <si>
    <t>AttemptThisSession</t>
  </si>
  <si>
    <t>Notes</t>
  </si>
  <si>
    <t>Book Bag</t>
  </si>
  <si>
    <t>Difficulty</t>
  </si>
  <si>
    <t>Qtype</t>
  </si>
  <si>
    <t>Electric Fields and Potential</t>
  </si>
  <si>
    <t>Right</t>
  </si>
  <si>
    <t>Wrong</t>
  </si>
  <si>
    <t>Hot</t>
  </si>
  <si>
    <t>Include Previously Used Questions</t>
  </si>
  <si>
    <t>Start New Session</t>
  </si>
  <si>
    <t>Include Only Hot Topics</t>
  </si>
  <si>
    <t>Number of Questions in Exam</t>
  </si>
  <si>
    <t>2009_06_001</t>
  </si>
  <si>
    <t>2009_06_002</t>
  </si>
  <si>
    <t>2009_06_003</t>
  </si>
  <si>
    <t>2009_06_004</t>
  </si>
  <si>
    <t>2009_06_005</t>
  </si>
  <si>
    <t>2009_06_006</t>
  </si>
  <si>
    <t>2009_06_007</t>
  </si>
  <si>
    <t>2009_06_008</t>
  </si>
  <si>
    <t>2009_06_009</t>
  </si>
  <si>
    <t>2009_06_010</t>
  </si>
  <si>
    <t>2009_06_011</t>
  </si>
  <si>
    <t>2009_06_012</t>
  </si>
  <si>
    <t>2009_06_013</t>
  </si>
  <si>
    <t>2009_06_014</t>
  </si>
  <si>
    <t>2009_06_015</t>
  </si>
  <si>
    <t>2009_06_016</t>
  </si>
  <si>
    <t>2009_06_017</t>
  </si>
  <si>
    <t>2009_06_018</t>
  </si>
  <si>
    <t>2009_06_019</t>
  </si>
  <si>
    <t>2009_06_020</t>
  </si>
  <si>
    <t>2009_06_021</t>
  </si>
  <si>
    <t>2009_06_022</t>
  </si>
  <si>
    <t>2009_06_023</t>
  </si>
  <si>
    <t>2009_06_024</t>
  </si>
  <si>
    <t>2009_06_025</t>
  </si>
  <si>
    <t>2009_06_026</t>
  </si>
  <si>
    <t>2009_06_027</t>
  </si>
  <si>
    <t>2009_06_028</t>
  </si>
  <si>
    <t>2009_06_029</t>
  </si>
  <si>
    <t>2009_06_030</t>
  </si>
  <si>
    <t>2009_06_031</t>
  </si>
  <si>
    <t>2009_06_032</t>
  </si>
  <si>
    <t>2009_06_033</t>
  </si>
  <si>
    <t>2009_06_034</t>
  </si>
  <si>
    <t>2009_06_035</t>
  </si>
  <si>
    <t>B1</t>
  </si>
  <si>
    <t>Show Questions Full Screen</t>
  </si>
  <si>
    <t>Close Questions Automatically</t>
  </si>
  <si>
    <t>Show Answers Automatically</t>
  </si>
  <si>
    <t>Q Question Top</t>
  </si>
  <si>
    <t>Q Question Left</t>
  </si>
  <si>
    <t>Electrical Meters</t>
  </si>
  <si>
    <t>Tag Summary</t>
  </si>
  <si>
    <t>Basic Motion Concepts,Vector vs. Scalar</t>
  </si>
  <si>
    <t>Estimation,Horizontal Constant Acceleration Problems</t>
  </si>
  <si>
    <t>Vector Components,Max Height of Projectile</t>
  </si>
  <si>
    <t>Newton's 2nd Law (F=MA),Weight and Mass</t>
  </si>
  <si>
    <t>Impulse,Newton's 3rd Law (Equal But Opposite)</t>
  </si>
  <si>
    <t>Conservation of Energy,Gravitational PE</t>
  </si>
  <si>
    <t>Conservation of Energy,Gravitational PE,Work/Power</t>
  </si>
  <si>
    <t>Units,Impulse</t>
  </si>
  <si>
    <t>Newton's 1st Law (Inertia),Newton's 2nd Law (F=MA)</t>
  </si>
  <si>
    <t>Vector Components,Friction</t>
  </si>
  <si>
    <t>Inclined Plane,Work/Power</t>
  </si>
  <si>
    <t>Vector Components,Projectiles at an Angle</t>
  </si>
  <si>
    <t>Conservation of Energy,Gravitational PE,PE of Spring</t>
  </si>
  <si>
    <t>Newton's 1st Law (Inertia),Weight and Mass</t>
  </si>
  <si>
    <t>Gravitational PE,Work/Power</t>
  </si>
  <si>
    <t>Conservation of Energy,Work/Power</t>
  </si>
  <si>
    <t>Kinetic Energy,PE of Spring</t>
  </si>
  <si>
    <t>Friction,Newton's 2nd Law (F=MA)</t>
  </si>
  <si>
    <t>Vector Components,Horizontal Projectile Range</t>
  </si>
  <si>
    <t>Vector Components,Work/Power</t>
  </si>
  <si>
    <t>Inclined Plane,Newton's 2nd Law (F=MA)</t>
  </si>
  <si>
    <t>Conservation of Energy,PE of Spring</t>
  </si>
  <si>
    <t>Moodle Picture Folder Location</t>
  </si>
  <si>
    <t>Moodle Questions Parent Category</t>
  </si>
  <si>
    <t>2010_06_001</t>
  </si>
  <si>
    <t>2010_06_002</t>
  </si>
  <si>
    <t>2010_06_003</t>
  </si>
  <si>
    <t>2010_06_004</t>
  </si>
  <si>
    <t>2010_06_005</t>
  </si>
  <si>
    <t>2010_06_006</t>
  </si>
  <si>
    <t>2010_06_007</t>
  </si>
  <si>
    <t>2010_06_008</t>
  </si>
  <si>
    <t>2010_06_009</t>
  </si>
  <si>
    <t>2010_06_010</t>
  </si>
  <si>
    <t>2010_06_011</t>
  </si>
  <si>
    <t>2010_06_012</t>
  </si>
  <si>
    <t>2010_06_013</t>
  </si>
  <si>
    <t>2010_06_014</t>
  </si>
  <si>
    <t>2010_06_015</t>
  </si>
  <si>
    <t>2010_06_016</t>
  </si>
  <si>
    <t>2010_06_017</t>
  </si>
  <si>
    <t>2010_06_018</t>
  </si>
  <si>
    <t>2010_06_019</t>
  </si>
  <si>
    <t>2010_06_020</t>
  </si>
  <si>
    <t>2010_06_021</t>
  </si>
  <si>
    <t>2010_06_022</t>
  </si>
  <si>
    <t>2010_06_023</t>
  </si>
  <si>
    <t>2010_06_024</t>
  </si>
  <si>
    <t>2010_06_025</t>
  </si>
  <si>
    <t>2010_06_026</t>
  </si>
  <si>
    <t>2010_06_027</t>
  </si>
  <si>
    <t>2010_06_028</t>
  </si>
  <si>
    <t>2010_06_029</t>
  </si>
  <si>
    <t>2010_06_030</t>
  </si>
  <si>
    <t>2010_06_031</t>
  </si>
  <si>
    <t>2010_06_032</t>
  </si>
  <si>
    <t>2010_06_033</t>
  </si>
  <si>
    <t>2010_06_034</t>
  </si>
  <si>
    <t>2010_06_035</t>
  </si>
  <si>
    <t>2010_06_036</t>
  </si>
  <si>
    <t>2010_06_037</t>
  </si>
  <si>
    <t>2010_06_038</t>
  </si>
  <si>
    <t>2010_06_039</t>
  </si>
  <si>
    <t>2010_06_040</t>
  </si>
  <si>
    <t>2010_06_041</t>
  </si>
  <si>
    <t>2010_06_042</t>
  </si>
  <si>
    <t>2010_06_043</t>
  </si>
  <si>
    <t>2010_06_044</t>
  </si>
  <si>
    <t>2010_06_045</t>
  </si>
  <si>
    <t>2010_06_046</t>
  </si>
  <si>
    <t>2010_06_047</t>
  </si>
  <si>
    <t>2010_06_048</t>
  </si>
  <si>
    <t>2010_06_049</t>
  </si>
  <si>
    <t>2010_06_050</t>
  </si>
  <si>
    <t>MT</t>
  </si>
  <si>
    <t>MT or Not Yet</t>
  </si>
  <si>
    <t>Not Yet</t>
  </si>
  <si>
    <t>Number</t>
  </si>
  <si>
    <t>.</t>
  </si>
  <si>
    <r>
      <t xml:space="preserve">1. Make Sure the Physics Folder is </t>
    </r>
    <r>
      <rPr>
        <b/>
        <u/>
        <sz val="14"/>
        <color rgb="FFFF0000"/>
        <rFont val="Arial"/>
        <family val="2"/>
      </rPr>
      <t xml:space="preserve">Unzipped </t>
    </r>
    <r>
      <rPr>
        <sz val="10"/>
        <color rgb="FF000000"/>
        <rFont val="Arial"/>
        <family val="2"/>
      </rPr>
      <t>First.</t>
    </r>
  </si>
  <si>
    <t>Instructions!A1</t>
  </si>
  <si>
    <t>Well Done</t>
  </si>
  <si>
    <t>Nice Job</t>
  </si>
  <si>
    <t>Good Thinking</t>
  </si>
  <si>
    <t>Not Bad</t>
  </si>
  <si>
    <t>Sorry</t>
  </si>
  <si>
    <t>Try Again</t>
  </si>
  <si>
    <t>Incorrect</t>
  </si>
  <si>
    <t>Nope</t>
  </si>
  <si>
    <t>Not so much</t>
  </si>
  <si>
    <t>WN</t>
  </si>
  <si>
    <t>My Ideas</t>
  </si>
  <si>
    <t>www.mrhosey.com/RPhys/</t>
  </si>
  <si>
    <t>s</t>
  </si>
  <si>
    <t>t</t>
  </si>
  <si>
    <t>YYYY_MM</t>
  </si>
  <si>
    <t>User Name</t>
  </si>
  <si>
    <t>Row Labels</t>
  </si>
  <si>
    <t>Grand Total</t>
  </si>
  <si>
    <t>2005_01_038</t>
  </si>
  <si>
    <t>2009_01_041</t>
  </si>
  <si>
    <t>2011_06_021</t>
  </si>
  <si>
    <t>2011_06_040</t>
  </si>
  <si>
    <t>2011_06_041</t>
  </si>
  <si>
    <t>2011_06_043</t>
  </si>
  <si>
    <t>2012_06_047</t>
  </si>
  <si>
    <t>2012_06_049</t>
  </si>
  <si>
    <t>2013_06_043</t>
  </si>
  <si>
    <t>2013_06_045</t>
  </si>
  <si>
    <t>2013_06_047</t>
  </si>
  <si>
    <t>2013_06_050</t>
  </si>
  <si>
    <t>2014_06_048</t>
  </si>
  <si>
    <t>2009_06</t>
  </si>
  <si>
    <t>2010_06</t>
  </si>
  <si>
    <t>2011_06</t>
  </si>
  <si>
    <t>2012_06</t>
  </si>
  <si>
    <t>2013_06</t>
  </si>
  <si>
    <t>Link to Prob</t>
  </si>
  <si>
    <t>Moodle Gift Format Text File Name</t>
  </si>
  <si>
    <t>Friend</t>
  </si>
  <si>
    <t>2002_06</t>
  </si>
  <si>
    <t>2002_06_045</t>
  </si>
  <si>
    <t>2002_08</t>
  </si>
  <si>
    <t>2002_08_042</t>
  </si>
  <si>
    <t>2003_01</t>
  </si>
  <si>
    <t>2003_01_040</t>
  </si>
  <si>
    <t>2003_01_048</t>
  </si>
  <si>
    <t>2003_01_049</t>
  </si>
  <si>
    <t>2003_06</t>
  </si>
  <si>
    <t>2003_06_039</t>
  </si>
  <si>
    <t>2004_01</t>
  </si>
  <si>
    <t>2004_01_043</t>
  </si>
  <si>
    <t>2004_06</t>
  </si>
  <si>
    <t>2004_06_039</t>
  </si>
  <si>
    <t>2005_01</t>
  </si>
  <si>
    <t>2005_01_041</t>
  </si>
  <si>
    <t>2005_06</t>
  </si>
  <si>
    <t>2006_01</t>
  </si>
  <si>
    <t>2006_06</t>
  </si>
  <si>
    <t>2006_06_049</t>
  </si>
  <si>
    <t>2007_01</t>
  </si>
  <si>
    <t>2007_01_048</t>
  </si>
  <si>
    <t>2007_06</t>
  </si>
  <si>
    <t>2008_01</t>
  </si>
  <si>
    <t>2008_01_049</t>
  </si>
  <si>
    <t>2008_06</t>
  </si>
  <si>
    <t>2009_01</t>
  </si>
  <si>
    <t>2009_01_046</t>
  </si>
  <si>
    <t>2011_06_016</t>
  </si>
  <si>
    <t>2011_06_031</t>
  </si>
  <si>
    <t>2011_06_033</t>
  </si>
  <si>
    <t>2011_06_047</t>
  </si>
  <si>
    <t>2012_06_024</t>
  </si>
  <si>
    <t>2012_06_029</t>
  </si>
  <si>
    <t>2012_06_033</t>
  </si>
  <si>
    <t>2012_06_035</t>
  </si>
  <si>
    <t>2013_06_018</t>
  </si>
  <si>
    <t>2013_06_019</t>
  </si>
  <si>
    <t>2013_06_020</t>
  </si>
  <si>
    <t>2013_06_026</t>
  </si>
  <si>
    <t>2013_06_049</t>
  </si>
  <si>
    <t>2014_06</t>
  </si>
  <si>
    <t>2014_06_018</t>
  </si>
  <si>
    <t>2014_06_026</t>
  </si>
  <si>
    <t>2014_06_041</t>
  </si>
  <si>
    <t>2014_06_049</t>
  </si>
  <si>
    <t>2002_06_038</t>
  </si>
  <si>
    <t>2002_06_041</t>
  </si>
  <si>
    <t>2002_08_041</t>
  </si>
  <si>
    <t>2002_08_043</t>
  </si>
  <si>
    <t>2002_08_045</t>
  </si>
  <si>
    <t>2002_08_046</t>
  </si>
  <si>
    <t>2003_01_042</t>
  </si>
  <si>
    <t>2003_01_043</t>
  </si>
  <si>
    <t>2003_01_047</t>
  </si>
  <si>
    <t>2003_06_040</t>
  </si>
  <si>
    <t>2003_06_043</t>
  </si>
  <si>
    <t>2003_06_044</t>
  </si>
  <si>
    <t>2004_01_044</t>
  </si>
  <si>
    <t>2004_01_045</t>
  </si>
  <si>
    <t>2004_01_046</t>
  </si>
  <si>
    <t>2004_06_042</t>
  </si>
  <si>
    <t>2004_06_043</t>
  </si>
  <si>
    <t>2004_06_044</t>
  </si>
  <si>
    <t>2004_06_046</t>
  </si>
  <si>
    <t>2005_01_042</t>
  </si>
  <si>
    <t>2005_01_047</t>
  </si>
  <si>
    <t>2005_06_040</t>
  </si>
  <si>
    <t>2005_06_041</t>
  </si>
  <si>
    <t>2005_06_044</t>
  </si>
  <si>
    <t>2006_01_041</t>
  </si>
  <si>
    <t>2006_06_043</t>
  </si>
  <si>
    <t>2007_01_041</t>
  </si>
  <si>
    <t>2007_01_042</t>
  </si>
  <si>
    <t>2007_01_043</t>
  </si>
  <si>
    <t>2008_01_046</t>
  </si>
  <si>
    <t>2008_06_046</t>
  </si>
  <si>
    <t>2008_06_047</t>
  </si>
  <si>
    <t>2009_01_042</t>
  </si>
  <si>
    <t>2009_01_043</t>
  </si>
  <si>
    <t>2009_01_044</t>
  </si>
  <si>
    <t>2009_01_045</t>
  </si>
  <si>
    <t>2009_06_045</t>
  </si>
  <si>
    <t>2009_06_046</t>
  </si>
  <si>
    <t>2009_06_047</t>
  </si>
  <si>
    <t>2011_06_019</t>
  </si>
  <si>
    <t>2011_06_020</t>
  </si>
  <si>
    <t>2011_06_022</t>
  </si>
  <si>
    <t>2011_06_023</t>
  </si>
  <si>
    <t>2011_06_024</t>
  </si>
  <si>
    <t>2011_06_044</t>
  </si>
  <si>
    <t>2012_06_015</t>
  </si>
  <si>
    <t>2012_06_020</t>
  </si>
  <si>
    <t>2012_06_025</t>
  </si>
  <si>
    <t>2012_06_026</t>
  </si>
  <si>
    <t>2012_06_041</t>
  </si>
  <si>
    <t>2012_06_043</t>
  </si>
  <si>
    <t>2013_06_030</t>
  </si>
  <si>
    <t>2013_06_031</t>
  </si>
  <si>
    <t>2013_06_032</t>
  </si>
  <si>
    <t>2013_06_042</t>
  </si>
  <si>
    <t>2014_06_014</t>
  </si>
  <si>
    <t>2014_06_022</t>
  </si>
  <si>
    <t>2014_06_050</t>
  </si>
  <si>
    <t>2002_08_037</t>
  </si>
  <si>
    <t>2003_01_046</t>
  </si>
  <si>
    <t>2003_06_047</t>
  </si>
  <si>
    <t>2004_01_036</t>
  </si>
  <si>
    <t>2004_01_037</t>
  </si>
  <si>
    <t>2004_06_036</t>
  </si>
  <si>
    <t>2005_01_046</t>
  </si>
  <si>
    <t>2005_06_045</t>
  </si>
  <si>
    <t>2006_01_043</t>
  </si>
  <si>
    <t>2006_06_037</t>
  </si>
  <si>
    <t>2006_06_039</t>
  </si>
  <si>
    <t>2007_01_038</t>
  </si>
  <si>
    <t>2007_01_039</t>
  </si>
  <si>
    <t>2008_01_040</t>
  </si>
  <si>
    <t>2008_06_038</t>
  </si>
  <si>
    <t>2008_06_039</t>
  </si>
  <si>
    <t>2008_06_040</t>
  </si>
  <si>
    <t>2009_01_037</t>
  </si>
  <si>
    <t>2009_06_039</t>
  </si>
  <si>
    <t>2011_06_012</t>
  </si>
  <si>
    <t>2011_06_013</t>
  </si>
  <si>
    <t>2012_06_005</t>
  </si>
  <si>
    <t>2012_06_007</t>
  </si>
  <si>
    <t>2012_06_011</t>
  </si>
  <si>
    <t>2012_06_012</t>
  </si>
  <si>
    <t>2012_06_013</t>
  </si>
  <si>
    <t>2012_06_048</t>
  </si>
  <si>
    <t>2013_06_007</t>
  </si>
  <si>
    <t>2013_06_008</t>
  </si>
  <si>
    <t>2013_06_009</t>
  </si>
  <si>
    <t>2013_06_010</t>
  </si>
  <si>
    <t>2013_06_012</t>
  </si>
  <si>
    <t>2013_06_013</t>
  </si>
  <si>
    <t>2013_06_038</t>
  </si>
  <si>
    <t>2013_06_040</t>
  </si>
  <si>
    <t>2014_06_006</t>
  </si>
  <si>
    <t>2014_06_008</t>
  </si>
  <si>
    <t>2014_06_016</t>
  </si>
  <si>
    <t>2014_06_044</t>
  </si>
  <si>
    <t>2003_06_037</t>
  </si>
  <si>
    <t>2004_06_045</t>
  </si>
  <si>
    <t>2005_01_040</t>
  </si>
  <si>
    <t>2005_06_047</t>
  </si>
  <si>
    <t>2006_06_042</t>
  </si>
  <si>
    <t>2006_06_047</t>
  </si>
  <si>
    <t>2008_01_043</t>
  </si>
  <si>
    <t>2008_01_044</t>
  </si>
  <si>
    <t>2011_06_015</t>
  </si>
  <si>
    <t>2011_06_018</t>
  </si>
  <si>
    <t>2012_06_004</t>
  </si>
  <si>
    <t>2012_06_019</t>
  </si>
  <si>
    <t>2012_06_028</t>
  </si>
  <si>
    <t>2013_06_023</t>
  </si>
  <si>
    <t>2013_06_033</t>
  </si>
  <si>
    <t>2013_06_041</t>
  </si>
  <si>
    <t>2013_06_046</t>
  </si>
  <si>
    <t>2014_06_012</t>
  </si>
  <si>
    <t>2014_06_013</t>
  </si>
  <si>
    <t>2014_06_032</t>
  </si>
  <si>
    <t>2014_06_033</t>
  </si>
  <si>
    <t>2014_06_037</t>
  </si>
  <si>
    <t>2002_06_037</t>
  </si>
  <si>
    <t>2003_01_050</t>
  </si>
  <si>
    <t>2003_06_045</t>
  </si>
  <si>
    <t>2004_01_041</t>
  </si>
  <si>
    <t>2004_01_042</t>
  </si>
  <si>
    <t>2005_01_048</t>
  </si>
  <si>
    <t>2005_06_042</t>
  </si>
  <si>
    <t>2006_06_046</t>
  </si>
  <si>
    <t>2006_06_048</t>
  </si>
  <si>
    <t>2007_01_049</t>
  </si>
  <si>
    <t>2007_01_050</t>
  </si>
  <si>
    <t>2008_01_047</t>
  </si>
  <si>
    <t>2008_06_048</t>
  </si>
  <si>
    <t>2011_06_025</t>
  </si>
  <si>
    <t>2011_06_026</t>
  </si>
  <si>
    <t>2011_06_027</t>
  </si>
  <si>
    <t>2011_06_028</t>
  </si>
  <si>
    <t>2011_06_029</t>
  </si>
  <si>
    <t>2011_06_032</t>
  </si>
  <si>
    <t>2011_06_046</t>
  </si>
  <si>
    <t>2011_06_048</t>
  </si>
  <si>
    <t>2011_06_050</t>
  </si>
  <si>
    <t>2012_06_021</t>
  </si>
  <si>
    <t>2012_06_031</t>
  </si>
  <si>
    <t>2012_06_032</t>
  </si>
  <si>
    <t>2012_06_034</t>
  </si>
  <si>
    <t>2012_06_046</t>
  </si>
  <si>
    <t>2013_06_016</t>
  </si>
  <si>
    <t>2013_06_017</t>
  </si>
  <si>
    <t>2013_06_022</t>
  </si>
  <si>
    <t>2013_06_024</t>
  </si>
  <si>
    <t>2013_06_025</t>
  </si>
  <si>
    <t>2013_06_029</t>
  </si>
  <si>
    <t>2013_06_048</t>
  </si>
  <si>
    <t>2014_06_017</t>
  </si>
  <si>
    <t>2014_06_020</t>
  </si>
  <si>
    <t>2014_06_021</t>
  </si>
  <si>
    <t>2014_06_023</t>
  </si>
  <si>
    <t>2014_06_024</t>
  </si>
  <si>
    <t>2014_06_025</t>
  </si>
  <si>
    <t>2014_06_027</t>
  </si>
  <si>
    <t>2014_06_034</t>
  </si>
  <si>
    <t>2014_06_035</t>
  </si>
  <si>
    <t>2002_08_036</t>
  </si>
  <si>
    <t>2006_01_045</t>
  </si>
  <si>
    <t>2006_06_038</t>
  </si>
  <si>
    <t>2006_06_040</t>
  </si>
  <si>
    <t>2007_06_042</t>
  </si>
  <si>
    <t>2008_01_039</t>
  </si>
  <si>
    <t>2008_01_042</t>
  </si>
  <si>
    <t>2008_06_043</t>
  </si>
  <si>
    <t>2009_06_040</t>
  </si>
  <si>
    <t>2011_06_006</t>
  </si>
  <si>
    <t>2011_06_017</t>
  </si>
  <si>
    <t>2011_06_038</t>
  </si>
  <si>
    <t>2012_06_010</t>
  </si>
  <si>
    <t>2012_06_018</t>
  </si>
  <si>
    <t>2012_06_038</t>
  </si>
  <si>
    <t>2013_06_011</t>
  </si>
  <si>
    <t>2013_06_037</t>
  </si>
  <si>
    <t>2014_06_005</t>
  </si>
  <si>
    <t>2014_06_009</t>
  </si>
  <si>
    <t>2014_06_010</t>
  </si>
  <si>
    <t>2002_06_036</t>
  </si>
  <si>
    <t>2002_08_039</t>
  </si>
  <si>
    <t>2002_08_040</t>
  </si>
  <si>
    <t>2003_01_045</t>
  </si>
  <si>
    <t>2003_06_046</t>
  </si>
  <si>
    <t>2005_01_036</t>
  </si>
  <si>
    <t>2006_01_038</t>
  </si>
  <si>
    <t>2006_06_041</t>
  </si>
  <si>
    <t>2007_01_036</t>
  </si>
  <si>
    <t>2007_01_037</t>
  </si>
  <si>
    <t>2007_06_039</t>
  </si>
  <si>
    <t>2007_06_040</t>
  </si>
  <si>
    <t>2007_06_041</t>
  </si>
  <si>
    <t>2008_06_037</t>
  </si>
  <si>
    <t>2009_01_038</t>
  </si>
  <si>
    <t>2009_06_037</t>
  </si>
  <si>
    <t>2009_06_038</t>
  </si>
  <si>
    <t>2011_06_002</t>
  </si>
  <si>
    <t>2011_06_003</t>
  </si>
  <si>
    <t>2011_06_004</t>
  </si>
  <si>
    <t>2011_06_037</t>
  </si>
  <si>
    <t>2012_06_001</t>
  </si>
  <si>
    <t>2012_06_002</t>
  </si>
  <si>
    <t>2012_06_006</t>
  </si>
  <si>
    <t>2013_06_003</t>
  </si>
  <si>
    <t>2013_06_004</t>
  </si>
  <si>
    <t>2014_06_002</t>
  </si>
  <si>
    <t>2014_06_004</t>
  </si>
  <si>
    <t>2014_06_007</t>
  </si>
  <si>
    <t>2003_01_044</t>
  </si>
  <si>
    <t>2011_06_045</t>
  </si>
  <si>
    <t>2012_06_030</t>
  </si>
  <si>
    <t>2013_06_028</t>
  </si>
  <si>
    <t>2014_06_011</t>
  </si>
  <si>
    <t>2002_06_039</t>
  </si>
  <si>
    <t>2003_01_038</t>
  </si>
  <si>
    <t>2003_06_038</t>
  </si>
  <si>
    <t>2004_01_038</t>
  </si>
  <si>
    <t>2004_06_038</t>
  </si>
  <si>
    <t>2005_01_039</t>
  </si>
  <si>
    <t>2005_06_036</t>
  </si>
  <si>
    <t>2005_06_037</t>
  </si>
  <si>
    <t>2006_01_036</t>
  </si>
  <si>
    <t>2006_01_037</t>
  </si>
  <si>
    <t>2006_06_036</t>
  </si>
  <si>
    <t>2007_01_047</t>
  </si>
  <si>
    <t>2007_06_036</t>
  </si>
  <si>
    <t>2007_06_037</t>
  </si>
  <si>
    <t>2008_01_036</t>
  </si>
  <si>
    <t>2008_01_037</t>
  </si>
  <si>
    <t>2008_06_036</t>
  </si>
  <si>
    <t>2008_06_044</t>
  </si>
  <si>
    <t>2009_01_036</t>
  </si>
  <si>
    <t>2009_06_036</t>
  </si>
  <si>
    <t>2009_06_043</t>
  </si>
  <si>
    <t>2011_06_036</t>
  </si>
  <si>
    <t>2012_06_022</t>
  </si>
  <si>
    <t>2012_06_036</t>
  </si>
  <si>
    <t>2013_06_027</t>
  </si>
  <si>
    <t>2013_06_036</t>
  </si>
  <si>
    <t>2014_06_036</t>
  </si>
  <si>
    <t>2014_06_039</t>
  </si>
  <si>
    <t>2002_06_040</t>
  </si>
  <si>
    <t>2002_08_044</t>
  </si>
  <si>
    <t>2002_08_047</t>
  </si>
  <si>
    <t>2004_01_047</t>
  </si>
  <si>
    <t>2004_01_048</t>
  </si>
  <si>
    <t>2004_06_040</t>
  </si>
  <si>
    <t>2004_06_041</t>
  </si>
  <si>
    <t>2005_01_043</t>
  </si>
  <si>
    <t>2005_01_044</t>
  </si>
  <si>
    <t>2005_01_045</t>
  </si>
  <si>
    <t>2005_06_043</t>
  </si>
  <si>
    <t>2006_01_042</t>
  </si>
  <si>
    <t>2006_01_047</t>
  </si>
  <si>
    <t>2006_06_050</t>
  </si>
  <si>
    <t>2006_06_051</t>
  </si>
  <si>
    <t>2007_01_051</t>
  </si>
  <si>
    <t>2007_06_045</t>
  </si>
  <si>
    <t>2007_06_046</t>
  </si>
  <si>
    <t>2008_01_045</t>
  </si>
  <si>
    <t>2008_01_048</t>
  </si>
  <si>
    <t>2008_06_049</t>
  </si>
  <si>
    <t>2008_06_050</t>
  </si>
  <si>
    <t>2008_06_051</t>
  </si>
  <si>
    <t>2009_06_044</t>
  </si>
  <si>
    <t>2011_06_030</t>
  </si>
  <si>
    <t>2011_06_034</t>
  </si>
  <si>
    <t>2011_06_035</t>
  </si>
  <si>
    <t>2011_06_049</t>
  </si>
  <si>
    <t>2012_06_027</t>
  </si>
  <si>
    <t>2012_06_044</t>
  </si>
  <si>
    <t>2013_06_034</t>
  </si>
  <si>
    <t>2013_06_035</t>
  </si>
  <si>
    <t>2013_06_044</t>
  </si>
  <si>
    <t>2014_06_028</t>
  </si>
  <si>
    <t>2014_06_029</t>
  </si>
  <si>
    <t>2014_06_030</t>
  </si>
  <si>
    <t>2014_06_043</t>
  </si>
  <si>
    <t>2014_06_046</t>
  </si>
  <si>
    <t>2002_08_038</t>
  </si>
  <si>
    <t>2005_06_038</t>
  </si>
  <si>
    <t>2005_06_046</t>
  </si>
  <si>
    <t>2006_01_040</t>
  </si>
  <si>
    <t>2006_06_044</t>
  </si>
  <si>
    <t>2008_06_042</t>
  </si>
  <si>
    <t>2011_06_005</t>
  </si>
  <si>
    <t>2011_06_007</t>
  </si>
  <si>
    <t>2011_06_008</t>
  </si>
  <si>
    <t>2011_06_011</t>
  </si>
  <si>
    <t>2012_06_003</t>
  </si>
  <si>
    <t>2012_06_008</t>
  </si>
  <si>
    <t>2012_06_009</t>
  </si>
  <si>
    <t>2012_06_016</t>
  </si>
  <si>
    <t>2012_06_037</t>
  </si>
  <si>
    <t>2012_06_045</t>
  </si>
  <si>
    <t>2013_06_005</t>
  </si>
  <si>
    <t>2013_06_006</t>
  </si>
  <si>
    <t>2014_06_038</t>
  </si>
  <si>
    <t>2014_06_045</t>
  </si>
  <si>
    <t>2014_06_047</t>
  </si>
  <si>
    <t>2002_06_044</t>
  </si>
  <si>
    <t>2003_01_036</t>
  </si>
  <si>
    <t>2003_01_037</t>
  </si>
  <si>
    <t>2003_06_036</t>
  </si>
  <si>
    <t>2004_01_039</t>
  </si>
  <si>
    <t>2005_01_037</t>
  </si>
  <si>
    <t>2006_01_046</t>
  </si>
  <si>
    <t>2007_01_045</t>
  </si>
  <si>
    <t>2007_06_038</t>
  </si>
  <si>
    <t>2008_01_038</t>
  </si>
  <si>
    <t>2008_06_041</t>
  </si>
  <si>
    <t>2011_06_001</t>
  </si>
  <si>
    <t>2011_06_039</t>
  </si>
  <si>
    <t>2012_06_023</t>
  </si>
  <si>
    <t>2013_06_001</t>
  </si>
  <si>
    <t>2013_06_002</t>
  </si>
  <si>
    <t>2014_06_001</t>
  </si>
  <si>
    <t>2014_06_003</t>
  </si>
  <si>
    <t>2002_06_042</t>
  </si>
  <si>
    <t>2002_06_043</t>
  </si>
  <si>
    <t>2003_01_039</t>
  </si>
  <si>
    <t>2003_01_041</t>
  </si>
  <si>
    <t>2003_06_041</t>
  </si>
  <si>
    <t>2003_06_042</t>
  </si>
  <si>
    <t>2004_01_040</t>
  </si>
  <si>
    <t>2004_06_037</t>
  </si>
  <si>
    <t>2005_06_039</t>
  </si>
  <si>
    <t>2006_01_039</t>
  </si>
  <si>
    <t>2006_01_044</t>
  </si>
  <si>
    <t>2006_06_045</t>
  </si>
  <si>
    <t>2007_01_040</t>
  </si>
  <si>
    <t>2007_01_044</t>
  </si>
  <si>
    <t>2007_01_046</t>
  </si>
  <si>
    <t>2007_06_043</t>
  </si>
  <si>
    <t>2007_06_044</t>
  </si>
  <si>
    <t>2008_01_041</t>
  </si>
  <si>
    <t>2008_06_045</t>
  </si>
  <si>
    <t>2009_01_039</t>
  </si>
  <si>
    <t>2009_01_040</t>
  </si>
  <si>
    <t>2009_06_041</t>
  </si>
  <si>
    <t>2009_06_042</t>
  </si>
  <si>
    <t>2011_06_009</t>
  </si>
  <si>
    <t>2011_06_010</t>
  </si>
  <si>
    <t>2011_06_014</t>
  </si>
  <si>
    <t>2011_06_042</t>
  </si>
  <si>
    <t>2012_06_014</t>
  </si>
  <si>
    <t>2012_06_017</t>
  </si>
  <si>
    <t>2012_06_039</t>
  </si>
  <si>
    <t>2012_06_040</t>
  </si>
  <si>
    <t>2012_06_042</t>
  </si>
  <si>
    <t>2012_06_050</t>
  </si>
  <si>
    <t>2013_06_014</t>
  </si>
  <si>
    <t>2013_06_015</t>
  </si>
  <si>
    <t>2013_06_021</t>
  </si>
  <si>
    <t>2013_06_039</t>
  </si>
  <si>
    <t>2014_06_015</t>
  </si>
  <si>
    <t>2014_06_019</t>
  </si>
  <si>
    <t>2014_06_031</t>
  </si>
  <si>
    <t>2014_06_040</t>
  </si>
  <si>
    <t>2014_06_042</t>
  </si>
  <si>
    <t>(blank)</t>
  </si>
  <si>
    <t>2015_06</t>
  </si>
  <si>
    <t>2015_06_008</t>
  </si>
  <si>
    <t>2015_06_020</t>
  </si>
  <si>
    <t>2015_06_023</t>
  </si>
  <si>
    <t>2015_06_028</t>
  </si>
  <si>
    <t>2015_06_032</t>
  </si>
  <si>
    <t>2015_06_034</t>
  </si>
  <si>
    <t>2015_06_046</t>
  </si>
  <si>
    <t>2015_06_013</t>
  </si>
  <si>
    <t>2015_06_016</t>
  </si>
  <si>
    <t>2015_06_017</t>
  </si>
  <si>
    <t>2015_06_018</t>
  </si>
  <si>
    <t>2015_06_019</t>
  </si>
  <si>
    <t>2015_06_004</t>
  </si>
  <si>
    <t>2015_06_006</t>
  </si>
  <si>
    <t>2015_06_011</t>
  </si>
  <si>
    <t>2015_06_033</t>
  </si>
  <si>
    <t>2015_06_041</t>
  </si>
  <si>
    <t>2015_06_012</t>
  </si>
  <si>
    <t>2015_06_030</t>
  </si>
  <si>
    <t>2015_06_031</t>
  </si>
  <si>
    <t>2015_06_021</t>
  </si>
  <si>
    <t>2015_06_024</t>
  </si>
  <si>
    <t>2015_06_025</t>
  </si>
  <si>
    <t>2015_06_026</t>
  </si>
  <si>
    <t>2015_06_027</t>
  </si>
  <si>
    <t>2015_06_035</t>
  </si>
  <si>
    <t>2015_06_049</t>
  </si>
  <si>
    <t>2015_06_007</t>
  </si>
  <si>
    <t>2015_06_009</t>
  </si>
  <si>
    <t>2015_06_010</t>
  </si>
  <si>
    <t>2015_06_002</t>
  </si>
  <si>
    <t>2015_06_005</t>
  </si>
  <si>
    <t>2015_06_022</t>
  </si>
  <si>
    <t>2015_06_039</t>
  </si>
  <si>
    <t>2015_06_040</t>
  </si>
  <si>
    <t>2015_06_048</t>
  </si>
  <si>
    <t>2015_06_036</t>
  </si>
  <si>
    <t>2015_06_042</t>
  </si>
  <si>
    <t>2015_06_029</t>
  </si>
  <si>
    <t>2015_06_047</t>
  </si>
  <si>
    <t>2015_06_050</t>
  </si>
  <si>
    <t>2015_06_038</t>
  </si>
  <si>
    <t>2015_06_001</t>
  </si>
  <si>
    <t>2015_06_003</t>
  </si>
  <si>
    <t>2015_06_037</t>
  </si>
  <si>
    <t>2015_06_014</t>
  </si>
  <si>
    <t>2015_06_015</t>
  </si>
  <si>
    <t>2015_06_043</t>
  </si>
  <si>
    <t>2015_06_044</t>
  </si>
  <si>
    <t>2015_06_045</t>
  </si>
  <si>
    <t>RegPhyThru_2015</t>
  </si>
  <si>
    <t>00RegQuestions2015</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</si>
</sst>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d/yyyy\ h:mm:ss\ AM/PM"/>
  </numFmts>
  <fonts count="9" x14ac:knownFonts="1">
    <font>
      <sz val="10"/>
      <name val="Arial"/>
    </font>
    <font>
      <sz val="9"/>
      <color indexed="81"/>
      <name val="Tahoma"/>
      <family val="2"/>
    </font>
    <font>
      <b/>
      <sz val="9"/>
      <color indexed="81"/>
      <name val="Tahoma"/>
      <family val="2"/>
    </font>
    <font>
      <u/>
      <sz val="10"/>
      <color indexed="12"/>
      <name val="Arial"/>
      <family val="2"/>
    </font>
    <font>
      <sz val="18"/>
      <name val="Arial"/>
      <family val="2"/>
    </font>
    <font>
      <sz val="10"/>
      <name val="Arial"/>
      <family val="2"/>
    </font>
    <font>
      <sz val="10"/>
      <color rgb="FF000000"/>
      <name val="Arial"/>
      <family val="2"/>
    </font>
    <font>
      <b/>
      <u/>
      <sz val="14"/>
      <color rgb="FFFF0000"/>
      <name val="Arial"/>
      <family val="2"/>
    </font>
    <font>
      <u/>
      <sz val="11"/>
      <color indexed="12"/>
      <name val="Arial"/>
      <family val="2"/>
    </font>
  </fonts>
  <fills count="4">
    <fill>
      <patternFill patternType="none"/>
    </fill>
    <fill>
      <patternFill patternType="gray125"/>
    </fill>
    <fill>
      <patternFill patternType="solid">
        <fgColor indexed="41"/>
        <bgColor indexed="64"/>
      </patternFill>
    </fill>
    <fill>
      <patternFill patternType="solid">
        <fgColor rgb="FFFFFF00"/>
        <bgColor indexed="64"/>
      </patternFill>
    </fill>
  </fills>
  <borders count="10">
    <border>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3" fillId="0" borderId="0" applyNumberFormat="0" applyFill="0" applyBorder="0" applyAlignment="0" applyProtection="0">
      <alignment vertical="top"/>
      <protection locked="0"/>
    </xf>
  </cellStyleXfs>
  <cellXfs count="31">
    <xf numFmtId="0" fontId="0" fillId="0" borderId="0" xfId="0"/>
    <xf numFmtId="0" fontId="0" fillId="0" borderId="0" xfId="0" applyAlignment="1">
      <alignment horizontal="center"/>
    </xf>
    <xf numFmtId="0" fontId="0" fillId="0" borderId="1" xfId="0"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0" fillId="2" borderId="0" xfId="0" applyFill="1" applyAlignment="1">
      <alignment horizontal="center" textRotation="90" wrapText="1"/>
    </xf>
    <xf numFmtId="0" fontId="3" fillId="0" borderId="0" xfId="1" applyAlignment="1" applyProtection="1">
      <alignment horizontal="left"/>
    </xf>
    <xf numFmtId="0" fontId="0" fillId="0" borderId="0" xfId="0" applyAlignment="1">
      <alignment horizontal="left"/>
    </xf>
    <xf numFmtId="0" fontId="4" fillId="2" borderId="0" xfId="0" applyFont="1" applyFill="1" applyAlignment="1">
      <alignment horizontal="center" vertical="center" wrapText="1"/>
    </xf>
    <xf numFmtId="164" fontId="0" fillId="0" borderId="0" xfId="0" applyNumberFormat="1"/>
    <xf numFmtId="0" fontId="0" fillId="0" borderId="0" xfId="0" applyFill="1" applyAlignment="1">
      <alignment horizontal="center" textRotation="90" wrapText="1"/>
    </xf>
    <xf numFmtId="0" fontId="0" fillId="0" borderId="0" xfId="0" applyFill="1"/>
    <xf numFmtId="0" fontId="3" fillId="0" borderId="0" xfId="1" applyAlignment="1" applyProtection="1"/>
    <xf numFmtId="0" fontId="0" fillId="0" borderId="0" xfId="0" applyAlignment="1" applyProtection="1">
      <alignment horizontal="center"/>
      <protection locked="0"/>
    </xf>
    <xf numFmtId="0" fontId="5" fillId="0" borderId="0" xfId="0" applyFont="1"/>
    <xf numFmtId="0" fontId="4" fillId="2" borderId="0" xfId="0" applyFont="1" applyFill="1" applyAlignment="1">
      <alignment horizontal="center" textRotation="90" wrapText="1"/>
    </xf>
    <xf numFmtId="0" fontId="4" fillId="2" borderId="0" xfId="0" applyFont="1" applyFill="1" applyAlignment="1">
      <alignment horizontal="left" textRotation="90" wrapText="1"/>
    </xf>
    <xf numFmtId="0" fontId="6" fillId="0" borderId="0" xfId="0" applyFont="1" applyAlignment="1">
      <alignment horizontal="left" readingOrder="1"/>
    </xf>
    <xf numFmtId="0" fontId="3" fillId="2" borderId="0" xfId="1" applyFont="1" applyFill="1" applyAlignment="1" applyProtection="1">
      <alignment horizontal="left" wrapText="1"/>
    </xf>
    <xf numFmtId="0" fontId="8" fillId="3" borderId="9" xfId="1" applyFont="1" applyFill="1" applyBorder="1" applyAlignment="1" applyProtection="1">
      <alignment horizontal="center" vertical="center" wrapText="1"/>
    </xf>
    <xf numFmtId="22" fontId="0" fillId="0" borderId="0" xfId="0" applyNumberFormat="1"/>
    <xf numFmtId="0" fontId="5" fillId="0" borderId="0" xfId="0" applyFont="1" applyAlignment="1">
      <alignment horizontal="center"/>
    </xf>
    <xf numFmtId="0" fontId="0" fillId="0" borderId="0" xfId="0" pivotButton="1"/>
    <xf numFmtId="0" fontId="4" fillId="2" borderId="0" xfId="0" applyFont="1" applyFill="1" applyAlignment="1">
      <alignment horizontal="left" vertical="center" wrapText="1"/>
    </xf>
    <xf numFmtId="0" fontId="0" fillId="0" borderId="0" xfId="0" applyAlignment="1">
      <alignment horizontal="left" indent="1"/>
    </xf>
    <xf numFmtId="0" fontId="0" fillId="0" borderId="0" xfId="0" applyAlignment="1">
      <alignment horizontal="left" indent="2"/>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4.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3.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openxmlformats.org/officeDocument/2006/relationships/theme" Target="theme/theme1.xml"/><Relationship Id="rId10" Type="http://schemas.microsoft.com/office/2007/relationships/slicerCache" Target="slicerCaches/slicerCache1.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7/relationships/slicerCache" Target="slicerCaches/slicerCache5.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0</xdr:col>
      <xdr:colOff>466724</xdr:colOff>
      <xdr:row>6</xdr:row>
      <xdr:rowOff>38100</xdr:rowOff>
    </xdr:from>
    <xdr:to>
      <xdr:col>9</xdr:col>
      <xdr:colOff>219075</xdr:colOff>
      <xdr:row>30</xdr:row>
      <xdr:rowOff>76201</xdr:rowOff>
    </xdr:to>
    <xdr:sp macro="" textlink="">
      <xdr:nvSpPr>
        <xdr:cNvPr id="2" name="TextBox 1"/>
        <xdr:cNvSpPr txBox="1"/>
      </xdr:nvSpPr>
      <xdr:spPr>
        <a:xfrm>
          <a:off x="466724" y="1076325"/>
          <a:ext cx="5238751" cy="3924301"/>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a:t>Instructions:</a:t>
          </a:r>
        </a:p>
        <a:p>
          <a:r>
            <a:rPr lang="en-US" sz="1100"/>
            <a:t>1.  Make Sure</a:t>
          </a:r>
          <a:r>
            <a:rPr lang="en-US" sz="1100" baseline="0"/>
            <a:t> This File is in the Folder with all of the Question Images.</a:t>
          </a:r>
        </a:p>
        <a:p>
          <a:r>
            <a:rPr lang="en-US" sz="1100" baseline="0"/>
            <a:t>2.  Make  Sure that folder is </a:t>
          </a:r>
          <a:r>
            <a:rPr lang="en-US" sz="1100" b="1" u="sng" baseline="0">
              <a:solidFill>
                <a:srgbClr val="FF0000"/>
              </a:solidFill>
            </a:rPr>
            <a:t>UNZIPPED.</a:t>
          </a:r>
        </a:p>
        <a:p>
          <a:r>
            <a:rPr lang="en-US" sz="1100" baseline="0"/>
            <a:t>3.  When you open the file, make sure you </a:t>
          </a:r>
        </a:p>
        <a:p>
          <a:r>
            <a:rPr lang="en-US" sz="1100" baseline="0"/>
            <a:t>   (Excel 2007+: Press Options, and Enable Macros)</a:t>
          </a:r>
        </a:p>
        <a:p>
          <a:r>
            <a:rPr lang="en-US" sz="1100" baseline="0"/>
            <a:t>   (Excel 2000-2003: </a:t>
          </a:r>
        </a:p>
        <a:p>
          <a:r>
            <a:rPr lang="en-US" sz="1100" baseline="0"/>
            <a:t>   Go To Tools, Macros, Security</a:t>
          </a:r>
        </a:p>
        <a:p>
          <a:r>
            <a:rPr lang="en-US" sz="1100" baseline="0"/>
            <a:t>    Set to Medium,  Close this File,  Reopen file,  Select Enable.</a:t>
          </a:r>
        </a:p>
        <a:p>
          <a:endParaRPr lang="en-US" sz="1100" baseline="0"/>
        </a:p>
        <a:p>
          <a:r>
            <a:rPr lang="en-US" sz="1100" b="1" baseline="0"/>
            <a:t>Suggestions:</a:t>
          </a:r>
        </a:p>
        <a:p>
          <a:r>
            <a:rPr lang="en-US" sz="1100" b="0" baseline="0"/>
            <a:t>Keep this File and Folder on a Jump Drive.</a:t>
          </a:r>
          <a:br>
            <a:rPr lang="en-US" sz="1100" b="0" baseline="0"/>
          </a:br>
          <a:r>
            <a:rPr lang="en-US" sz="1100" b="0" baseline="0"/>
            <a:t>Always work from the Jump Drive. (or any writable location, like a dropbox folder)</a:t>
          </a:r>
        </a:p>
        <a:p>
          <a:endParaRPr lang="en-US" sz="1100" b="0" baseline="0"/>
        </a:p>
        <a:p>
          <a:pPr marL="0" marR="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dk1"/>
              </a:solidFill>
              <a:latin typeface="+mn-lt"/>
              <a:ea typeface="+mn-ea"/>
              <a:cs typeface="+mn-cs"/>
            </a:rPr>
            <a:t>What if you have a Mac, or the Program won't work:</a:t>
          </a:r>
          <a:endParaRPr lang="en-US"/>
        </a:p>
        <a:p>
          <a:r>
            <a:rPr lang="en-US" sz="1100" b="0"/>
            <a:t>1.  You</a:t>
          </a:r>
          <a:r>
            <a:rPr lang="en-US" sz="1100" b="0" baseline="0"/>
            <a:t> can still access each question by clicking the hyperlink in column H.</a:t>
          </a:r>
        </a:p>
        <a:p>
          <a:r>
            <a:rPr lang="en-US" sz="1100" b="0" baseline="0"/>
            <a:t>2.  The answers are in Column G.</a:t>
          </a:r>
        </a:p>
        <a:p>
          <a:r>
            <a:rPr lang="en-US" sz="1100" b="0" baseline="0"/>
            <a:t>3.  You can filter for specific topics by clicking on Row  1, and going to Data,  Filter in the excel menu.  Use the Arrow above any column to filter by that column.</a:t>
          </a:r>
        </a:p>
        <a:p>
          <a:r>
            <a:rPr lang="en-US" sz="1100" b="0" baseline="0"/>
            <a:t>4.  You can still add questions to your 'Book Bag' by changing column L to TRUE.</a:t>
          </a:r>
        </a:p>
        <a:p>
          <a:endParaRPr lang="en-US" sz="1100" b="0" baseline="0"/>
        </a:p>
        <a:p>
          <a:pPr marL="0" marR="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dk1"/>
              </a:solidFill>
              <a:latin typeface="+mn-lt"/>
              <a:ea typeface="+mn-ea"/>
              <a:cs typeface="+mn-cs"/>
            </a:rPr>
            <a:t>Still have questions?</a:t>
          </a:r>
        </a:p>
        <a:p>
          <a:pPr marL="0" marR="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dk1"/>
              </a:solidFill>
              <a:latin typeface="+mn-lt"/>
              <a:ea typeface="+mn-ea"/>
              <a:cs typeface="+mn-cs"/>
            </a:rPr>
            <a:t>email: daniel_hosey@pittsford.monroe.edu</a:t>
          </a:r>
          <a:endParaRPr lang="en-US" sz="1100">
            <a:solidFill>
              <a:schemeClr val="dk1"/>
            </a:solidFill>
            <a:latin typeface="+mn-lt"/>
            <a:ea typeface="+mn-ea"/>
            <a:cs typeface="+mn-cs"/>
          </a:endParaRPr>
        </a:p>
        <a:p>
          <a:endParaRPr lang="en-US" sz="1100" b="0"/>
        </a:p>
      </xdr:txBody>
    </xdr:sp>
    <xdr:clientData/>
  </xdr:twoCellAnchor>
  <xdr:twoCellAnchor>
    <xdr:from>
      <xdr:col>0</xdr:col>
      <xdr:colOff>571499</xdr:colOff>
      <xdr:row>0</xdr:row>
      <xdr:rowOff>219075</xdr:rowOff>
    </xdr:from>
    <xdr:to>
      <xdr:col>5</xdr:col>
      <xdr:colOff>504824</xdr:colOff>
      <xdr:row>1</xdr:row>
      <xdr:rowOff>638175</xdr:rowOff>
    </xdr:to>
    <xdr:sp macro="" textlink="">
      <xdr:nvSpPr>
        <xdr:cNvPr id="3" name="Left Arrow 2"/>
        <xdr:cNvSpPr/>
      </xdr:nvSpPr>
      <xdr:spPr bwMode="auto">
        <a:xfrm flipH="1">
          <a:off x="571499" y="219075"/>
          <a:ext cx="2981325" cy="657225"/>
        </a:xfrm>
        <a:prstGeom prst="leftArrow">
          <a:avLst/>
        </a:prstGeom>
        <a:solidFill>
          <a:schemeClr val="tx2"/>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76200</xdr:colOff>
          <xdr:row>2</xdr:row>
          <xdr:rowOff>38100</xdr:rowOff>
        </xdr:from>
        <xdr:to>
          <xdr:col>10</xdr:col>
          <xdr:colOff>295275</xdr:colOff>
          <xdr:row>5</xdr:row>
          <xdr:rowOff>123825</xdr:rowOff>
        </xdr:to>
        <xdr:sp macro="" textlink="">
          <xdr:nvSpPr>
            <xdr:cNvPr id="10241" name="CommandButton1"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xdr:col>
      <xdr:colOff>142875</xdr:colOff>
      <xdr:row>0</xdr:row>
      <xdr:rowOff>76199</xdr:rowOff>
    </xdr:from>
    <xdr:to>
      <xdr:col>6</xdr:col>
      <xdr:colOff>276225</xdr:colOff>
      <xdr:row>25</xdr:row>
      <xdr:rowOff>66675</xdr:rowOff>
    </xdr:to>
    <mc:AlternateContent xmlns:mc="http://schemas.openxmlformats.org/markup-compatibility/2006" xmlns:a14="http://schemas.microsoft.com/office/drawing/2010/main">
      <mc:Choice Requires="a14">
        <xdr:graphicFrame macro="">
          <xdr:nvGraphicFramePr>
            <xdr:cNvPr id="2" name="Primary Unit"/>
            <xdr:cNvGraphicFramePr/>
          </xdr:nvGraphicFramePr>
          <xdr:xfrm>
            <a:off x="0" y="0"/>
            <a:ext cx="0" cy="0"/>
          </xdr:xfrm>
          <a:graphic>
            <a:graphicData uri="http://schemas.microsoft.com/office/drawing/2010/slicer">
              <sle:slicer xmlns:sle="http://schemas.microsoft.com/office/drawing/2010/slicer" name="Primary Unit"/>
            </a:graphicData>
          </a:graphic>
        </xdr:graphicFrame>
      </mc:Choice>
      <mc:Fallback xmlns="">
        <xdr:sp macro="" textlink="">
          <xdr:nvSpPr>
            <xdr:cNvPr id="0" name=""/>
            <xdr:cNvSpPr>
              <a:spLocks noTextEdit="1"/>
            </xdr:cNvSpPr>
          </xdr:nvSpPr>
          <xdr:spPr>
            <a:xfrm>
              <a:off x="3257550" y="76199"/>
              <a:ext cx="1828800" cy="403860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323850</xdr:colOff>
      <xdr:row>0</xdr:row>
      <xdr:rowOff>85725</xdr:rowOff>
    </xdr:from>
    <xdr:to>
      <xdr:col>10</xdr:col>
      <xdr:colOff>19050</xdr:colOff>
      <xdr:row>6</xdr:row>
      <xdr:rowOff>9525</xdr:rowOff>
    </xdr:to>
    <mc:AlternateContent xmlns:mc="http://schemas.openxmlformats.org/markup-compatibility/2006" xmlns:a14="http://schemas.microsoft.com/office/drawing/2010/main">
      <mc:Choice Requires="a14">
        <xdr:graphicFrame macro="">
          <xdr:nvGraphicFramePr>
            <xdr:cNvPr id="3" name="Qtype"/>
            <xdr:cNvGraphicFramePr/>
          </xdr:nvGraphicFramePr>
          <xdr:xfrm>
            <a:off x="0" y="0"/>
            <a:ext cx="0" cy="0"/>
          </xdr:xfrm>
          <a:graphic>
            <a:graphicData uri="http://schemas.microsoft.com/office/drawing/2010/slicer">
              <sle:slicer xmlns:sle="http://schemas.microsoft.com/office/drawing/2010/slicer" name="Qtype"/>
            </a:graphicData>
          </a:graphic>
        </xdr:graphicFrame>
      </mc:Choice>
      <mc:Fallback xmlns="">
        <xdr:sp macro="" textlink="">
          <xdr:nvSpPr>
            <xdr:cNvPr id="0" name=""/>
            <xdr:cNvSpPr>
              <a:spLocks noTextEdit="1"/>
            </xdr:cNvSpPr>
          </xdr:nvSpPr>
          <xdr:spPr>
            <a:xfrm>
              <a:off x="5133975" y="85725"/>
              <a:ext cx="1828800" cy="8953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342900</xdr:colOff>
      <xdr:row>6</xdr:row>
      <xdr:rowOff>28574</xdr:rowOff>
    </xdr:from>
    <xdr:to>
      <xdr:col>10</xdr:col>
      <xdr:colOff>38100</xdr:colOff>
      <xdr:row>25</xdr:row>
      <xdr:rowOff>9524</xdr:rowOff>
    </xdr:to>
    <mc:AlternateContent xmlns:mc="http://schemas.openxmlformats.org/markup-compatibility/2006" xmlns:a14="http://schemas.microsoft.com/office/drawing/2010/main">
      <mc:Choice Requires="a14">
        <xdr:graphicFrame macro="">
          <xdr:nvGraphicFramePr>
            <xdr:cNvPr id="5" name="YYYY_MM"/>
            <xdr:cNvGraphicFramePr/>
          </xdr:nvGraphicFramePr>
          <xdr:xfrm>
            <a:off x="0" y="0"/>
            <a:ext cx="0" cy="0"/>
          </xdr:xfrm>
          <a:graphic>
            <a:graphicData uri="http://schemas.microsoft.com/office/drawing/2010/slicer">
              <sle:slicer xmlns:sle="http://schemas.microsoft.com/office/drawing/2010/slicer" name="YYYY_MM"/>
            </a:graphicData>
          </a:graphic>
        </xdr:graphicFrame>
      </mc:Choice>
      <mc:Fallback xmlns="">
        <xdr:sp macro="" textlink="">
          <xdr:nvSpPr>
            <xdr:cNvPr id="0" name=""/>
            <xdr:cNvSpPr>
              <a:spLocks noTextEdit="1"/>
            </xdr:cNvSpPr>
          </xdr:nvSpPr>
          <xdr:spPr>
            <a:xfrm>
              <a:off x="5153025" y="1000124"/>
              <a:ext cx="1828800" cy="30575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66675</xdr:colOff>
      <xdr:row>0</xdr:row>
      <xdr:rowOff>76200</xdr:rowOff>
    </xdr:from>
    <xdr:to>
      <xdr:col>13</xdr:col>
      <xdr:colOff>295275</xdr:colOff>
      <xdr:row>15</xdr:row>
      <xdr:rowOff>28575</xdr:rowOff>
    </xdr:to>
    <mc:AlternateContent xmlns:mc="http://schemas.openxmlformats.org/markup-compatibility/2006" xmlns:a14="http://schemas.microsoft.com/office/drawing/2010/main">
      <mc:Choice Requires="a14">
        <xdr:graphicFrame macro="">
          <xdr:nvGraphicFramePr>
            <xdr:cNvPr id="6" name="Problem"/>
            <xdr:cNvGraphicFramePr/>
          </xdr:nvGraphicFramePr>
          <xdr:xfrm>
            <a:off x="0" y="0"/>
            <a:ext cx="0" cy="0"/>
          </xdr:xfrm>
          <a:graphic>
            <a:graphicData uri="http://schemas.microsoft.com/office/drawing/2010/slicer">
              <sle:slicer xmlns:sle="http://schemas.microsoft.com/office/drawing/2010/slicer" name="Problem"/>
            </a:graphicData>
          </a:graphic>
        </xdr:graphicFrame>
      </mc:Choice>
      <mc:Fallback xmlns="">
        <xdr:sp macro="" textlink="">
          <xdr:nvSpPr>
            <xdr:cNvPr id="0" name=""/>
            <xdr:cNvSpPr>
              <a:spLocks noTextEdit="1"/>
            </xdr:cNvSpPr>
          </xdr:nvSpPr>
          <xdr:spPr>
            <a:xfrm>
              <a:off x="7010400" y="76200"/>
              <a:ext cx="1828800" cy="23812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114300</xdr:colOff>
      <xdr:row>15</xdr:row>
      <xdr:rowOff>76199</xdr:rowOff>
    </xdr:from>
    <xdr:to>
      <xdr:col>13</xdr:col>
      <xdr:colOff>342900</xdr:colOff>
      <xdr:row>38</xdr:row>
      <xdr:rowOff>76200</xdr:rowOff>
    </xdr:to>
    <mc:AlternateContent xmlns:mc="http://schemas.openxmlformats.org/markup-compatibility/2006" xmlns:a14="http://schemas.microsoft.com/office/drawing/2010/main">
      <mc:Choice Requires="a14">
        <xdr:graphicFrame macro="">
          <xdr:nvGraphicFramePr>
            <xdr:cNvPr id="7" name="Secondary Unit"/>
            <xdr:cNvGraphicFramePr/>
          </xdr:nvGraphicFramePr>
          <xdr:xfrm>
            <a:off x="0" y="0"/>
            <a:ext cx="0" cy="0"/>
          </xdr:xfrm>
          <a:graphic>
            <a:graphicData uri="http://schemas.microsoft.com/office/drawing/2010/slicer">
              <sle:slicer xmlns:sle="http://schemas.microsoft.com/office/drawing/2010/slicer" name="Secondary Unit"/>
            </a:graphicData>
          </a:graphic>
        </xdr:graphicFrame>
      </mc:Choice>
      <mc:Fallback xmlns="">
        <xdr:sp macro="" textlink="">
          <xdr:nvSpPr>
            <xdr:cNvPr id="0" name=""/>
            <xdr:cNvSpPr>
              <a:spLocks noTextEdit="1"/>
            </xdr:cNvSpPr>
          </xdr:nvSpPr>
          <xdr:spPr>
            <a:xfrm>
              <a:off x="7058025" y="2505074"/>
              <a:ext cx="1828800" cy="372427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8</xdr:col>
      <xdr:colOff>76200</xdr:colOff>
      <xdr:row>1</xdr:row>
      <xdr:rowOff>76200</xdr:rowOff>
    </xdr:from>
    <xdr:to>
      <xdr:col>8</xdr:col>
      <xdr:colOff>733425</xdr:colOff>
      <xdr:row>11</xdr:row>
      <xdr:rowOff>0</xdr:rowOff>
    </xdr:to>
    <xdr:sp macro="" textlink="">
      <xdr:nvSpPr>
        <xdr:cNvPr id="2" name="Up Arrow 1"/>
        <xdr:cNvSpPr/>
      </xdr:nvSpPr>
      <xdr:spPr bwMode="auto">
        <a:xfrm>
          <a:off x="4200525" y="981075"/>
          <a:ext cx="657225" cy="1543050"/>
        </a:xfrm>
        <a:prstGeom prst="upArrow">
          <a:avLst/>
        </a:prstGeom>
        <a:solidFill>
          <a:srgbClr val="FF000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endParaRPr lang="en-US" sz="1100"/>
        </a:p>
      </xdr:txBody>
    </xdr:sp>
    <xdr:clientData/>
  </xdr:twoCellAnchor>
  <xdr:twoCellAnchor>
    <xdr:from>
      <xdr:col>10</xdr:col>
      <xdr:colOff>57150</xdr:colOff>
      <xdr:row>0</xdr:row>
      <xdr:rowOff>28575</xdr:rowOff>
    </xdr:from>
    <xdr:to>
      <xdr:col>11</xdr:col>
      <xdr:colOff>419100</xdr:colOff>
      <xdr:row>0</xdr:row>
      <xdr:rowOff>285750</xdr:rowOff>
    </xdr:to>
    <xdr:sp macro="" textlink="">
      <xdr:nvSpPr>
        <xdr:cNvPr id="3" name="Left Arrow 2"/>
        <xdr:cNvSpPr/>
      </xdr:nvSpPr>
      <xdr:spPr bwMode="auto">
        <a:xfrm>
          <a:off x="4991100" y="28575"/>
          <a:ext cx="1285875" cy="257175"/>
        </a:xfrm>
        <a:prstGeom prst="leftArrow">
          <a:avLst/>
        </a:prstGeom>
        <a:solidFill>
          <a:schemeClr val="tx2"/>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endParaRPr lang="en-US" sz="1100"/>
        </a:p>
      </xdr:txBody>
    </xdr:sp>
    <xdr:clientData/>
  </xdr:twoCellAnchor>
  <xdr:twoCellAnchor>
    <xdr:from>
      <xdr:col>6</xdr:col>
      <xdr:colOff>209550</xdr:colOff>
      <xdr:row>0</xdr:row>
      <xdr:rowOff>523875</xdr:rowOff>
    </xdr:from>
    <xdr:to>
      <xdr:col>7</xdr:col>
      <xdr:colOff>866775</xdr:colOff>
      <xdr:row>0</xdr:row>
      <xdr:rowOff>790575</xdr:rowOff>
    </xdr:to>
    <xdr:sp macro="" textlink="">
      <xdr:nvSpPr>
        <xdr:cNvPr id="4" name="Right Arrow 3"/>
        <xdr:cNvSpPr/>
      </xdr:nvSpPr>
      <xdr:spPr bwMode="auto">
        <a:xfrm>
          <a:off x="3171825" y="523875"/>
          <a:ext cx="895350" cy="266700"/>
        </a:xfrm>
        <a:prstGeom prst="rightArrow">
          <a:avLst/>
        </a:prstGeom>
        <a:solidFill>
          <a:srgbClr val="FFC00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66675</xdr:colOff>
          <xdr:row>0</xdr:row>
          <xdr:rowOff>85725</xdr:rowOff>
        </xdr:from>
        <xdr:to>
          <xdr:col>6</xdr:col>
          <xdr:colOff>152400</xdr:colOff>
          <xdr:row>0</xdr:row>
          <xdr:rowOff>533400</xdr:rowOff>
        </xdr:to>
        <xdr:sp macro="" textlink="">
          <xdr:nvSpPr>
            <xdr:cNvPr id="8193" name="CommandButton1" hidden="1">
              <a:extLst>
                <a:ext uri="{63B3BB69-23CF-44E3-9099-C40C66FF867C}">
                  <a14:compatExt spid="_x0000_s8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66675</xdr:colOff>
          <xdr:row>0</xdr:row>
          <xdr:rowOff>85725</xdr:rowOff>
        </xdr:from>
        <xdr:to>
          <xdr:col>4</xdr:col>
          <xdr:colOff>123825</xdr:colOff>
          <xdr:row>0</xdr:row>
          <xdr:rowOff>466725</xdr:rowOff>
        </xdr:to>
        <xdr:sp macro="" textlink="">
          <xdr:nvSpPr>
            <xdr:cNvPr id="3081" name="CommandButton1" hidden="1">
              <a:extLst>
                <a:ext uri="{63B3BB69-23CF-44E3-9099-C40C66FF867C}">
                  <a14:compatExt spid="_x0000_s30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2513.344074884262" createdVersion="5" refreshedVersion="5" minRefreshableVersion="3" recordCount="1067">
  <cacheSource type="worksheet">
    <worksheetSource ref="A1:BZ1048576" sheet="Questions"/>
  </cacheSource>
  <cacheFields count="78">
    <cacheField name="Instructions!A1" numFmtId="0">
      <sharedItems containsBlank="1" count="1067">
        <s v="2002_06_001"/>
        <s v="2002_06_002"/>
        <s v="2002_06_003"/>
        <s v="2002_06_004"/>
        <s v="2002_06_005"/>
        <s v="2002_06_006"/>
        <s v="2002_06_007"/>
        <s v="2002_06_008"/>
        <s v="2002_06_009"/>
        <s v="2002_06_010"/>
        <s v="2002_06_011"/>
        <s v="2002_06_012"/>
        <s v="2002_06_013"/>
        <s v="2002_06_014"/>
        <s v="2002_06_015"/>
        <s v="2002_06_016"/>
        <s v="2002_06_017"/>
        <s v="2002_06_018"/>
        <s v="2002_06_019"/>
        <s v="2002_06_020"/>
        <s v="2002_06_021"/>
        <s v="2002_06_022"/>
        <s v="2002_06_023"/>
        <s v="2002_06_024"/>
        <s v="2002_06_025"/>
        <s v="2002_06_026"/>
        <s v="2002_06_027"/>
        <s v="2002_06_028"/>
        <s v="2002_06_029"/>
        <s v="2002_06_030"/>
        <s v="2002_06_031"/>
        <s v="2002_06_032"/>
        <s v="2002_06_033"/>
        <s v="2002_06_034"/>
        <s v="2002_06_035"/>
        <s v="2002_06_036"/>
        <s v="2002_06_037"/>
        <s v="2002_06_038"/>
        <s v="2002_06_039"/>
        <s v="2002_06_040"/>
        <s v="2002_06_041"/>
        <s v="2002_06_042"/>
        <s v="2002_06_043"/>
        <s v="2002_06_044"/>
        <s v="2002_06_045"/>
        <s v="2002_08_001"/>
        <s v="2002_08_002"/>
        <s v="2002_08_003"/>
        <s v="2002_08_004"/>
        <s v="2002_08_005"/>
        <s v="2002_08_006"/>
        <s v="2002_08_007"/>
        <s v="2002_08_008"/>
        <s v="2002_08_009"/>
        <s v="2002_08_010"/>
        <s v="2002_08_011"/>
        <s v="2002_08_012"/>
        <s v="2002_08_013"/>
        <s v="2002_08_014"/>
        <s v="2002_08_015"/>
        <s v="2002_08_016"/>
        <s v="2002_08_017"/>
        <s v="2002_08_018"/>
        <s v="2002_08_019"/>
        <s v="2002_08_020"/>
        <s v="2002_08_021"/>
        <s v="2002_08_022"/>
        <s v="2002_08_023"/>
        <s v="2002_08_024"/>
        <s v="2002_08_025"/>
        <s v="2002_08_026"/>
        <s v="2002_08_027"/>
        <s v="2002_08_028"/>
        <s v="2002_08_029"/>
        <s v="2002_08_030"/>
        <s v="2002_08_031"/>
        <s v="2002_08_032"/>
        <s v="2002_08_033"/>
        <s v="2002_08_034"/>
        <s v="2002_08_035"/>
        <s v="2002_08_036"/>
        <s v="2002_08_037"/>
        <s v="2002_08_038"/>
        <s v="2002_08_039"/>
        <s v="2002_08_040"/>
        <s v="2002_08_041"/>
        <s v="2002_08_042"/>
        <s v="2002_08_043"/>
        <s v="2002_08_044"/>
        <s v="2002_08_045"/>
        <s v="2002_08_046"/>
        <s v="2002_08_047"/>
        <s v="2003_01_001"/>
        <s v="2003_01_002"/>
        <s v="2003_01_003"/>
        <s v="2003_01_004"/>
        <s v="2003_01_005"/>
        <s v="2003_01_006"/>
        <s v="2003_01_007"/>
        <s v="2003_01_008"/>
        <s v="2003_01_009"/>
        <s v="2003_01_010"/>
        <s v="2003_01_011"/>
        <s v="2003_01_012"/>
        <s v="2003_01_013"/>
        <s v="2003_01_014"/>
        <s v="2003_01_015"/>
        <s v="2003_01_016"/>
        <s v="2003_01_017"/>
        <s v="2003_01_018"/>
        <s v="2003_01_019"/>
        <s v="2003_01_020"/>
        <s v="2003_01_021"/>
        <s v="2003_01_022"/>
        <s v="2003_01_023"/>
        <s v="2003_01_024"/>
        <s v="2003_01_025"/>
        <s v="2003_01_026"/>
        <s v="2003_01_027"/>
        <s v="2003_01_028"/>
        <s v="2003_01_029"/>
        <s v="2003_01_030"/>
        <s v="2003_01_031"/>
        <s v="2003_01_032"/>
        <s v="2003_01_033"/>
        <s v="2003_01_034"/>
        <s v="2003_01_035"/>
        <s v="2003_01_036"/>
        <s v="2003_01_037"/>
        <s v="2003_01_038"/>
        <s v="2003_01_039"/>
        <s v="2003_01_040"/>
        <s v="2003_01_041"/>
        <s v="2003_01_042"/>
        <s v="2003_01_043"/>
        <s v="2003_01_044"/>
        <s v="2003_01_045"/>
        <s v="2003_01_046"/>
        <s v="2003_01_047"/>
        <s v="2003_01_048"/>
        <s v="2003_01_049"/>
        <s v="2003_01_050"/>
        <s v="2003_06_001"/>
        <s v="2003_06_002"/>
        <s v="2003_06_003"/>
        <s v="2003_06_004"/>
        <s v="2003_06_005"/>
        <s v="2003_06_006"/>
        <s v="2003_06_007"/>
        <s v="2003_06_008"/>
        <s v="2003_06_009"/>
        <s v="2003_06_010"/>
        <s v="2003_06_011"/>
        <s v="2003_06_012"/>
        <s v="2003_06_013"/>
        <s v="2003_06_014"/>
        <s v="2003_06_015"/>
        <s v="2003_06_016"/>
        <s v="2003_06_017"/>
        <s v="2003_06_018"/>
        <s v="2003_06_019"/>
        <s v="2003_06_020"/>
        <s v="2003_06_021"/>
        <s v="2003_06_022"/>
        <s v="2003_06_023"/>
        <s v="2003_06_024"/>
        <s v="2003_06_025"/>
        <s v="2003_06_026"/>
        <s v="2003_06_027"/>
        <s v="2003_06_028"/>
        <s v="2003_06_029"/>
        <s v="2003_06_030"/>
        <s v="2003_06_031"/>
        <s v="2003_06_032"/>
        <s v="2003_06_033"/>
        <s v="2003_06_034"/>
        <s v="2003_06_035"/>
        <s v="2003_06_036"/>
        <s v="2003_06_037"/>
        <s v="2003_06_038"/>
        <s v="2003_06_039"/>
        <s v="2003_06_040"/>
        <s v="2003_06_041"/>
        <s v="2003_06_042"/>
        <s v="2003_06_043"/>
        <s v="2003_06_044"/>
        <s v="2003_06_045"/>
        <s v="2003_06_046"/>
        <s v="2003_06_047"/>
        <s v="2004_01_001"/>
        <s v="2004_01_002"/>
        <s v="2004_01_003"/>
        <s v="2004_01_004"/>
        <s v="2004_01_005"/>
        <s v="2004_01_006"/>
        <s v="2004_01_007"/>
        <s v="2004_01_008"/>
        <s v="2004_01_009"/>
        <s v="2004_01_010"/>
        <s v="2004_01_011"/>
        <s v="2004_01_012"/>
        <s v="2004_01_013"/>
        <s v="2004_01_014"/>
        <s v="2004_01_015"/>
        <s v="2004_01_016"/>
        <s v="2004_01_017"/>
        <s v="2004_01_018"/>
        <s v="2004_01_019"/>
        <s v="2004_01_020"/>
        <s v="2004_01_021"/>
        <s v="2004_01_022"/>
        <s v="2004_01_023"/>
        <s v="2004_01_024"/>
        <s v="2004_01_025"/>
        <s v="2004_01_026"/>
        <s v="2004_01_027"/>
        <s v="2004_01_028"/>
        <s v="2004_01_029"/>
        <s v="2004_01_030"/>
        <s v="2004_01_031"/>
        <s v="2004_01_032"/>
        <s v="2004_01_033"/>
        <s v="2004_01_034"/>
        <s v="2004_01_035"/>
        <s v="2004_01_036"/>
        <s v="2004_01_037"/>
        <s v="2004_01_038"/>
        <s v="2004_01_039"/>
        <s v="2004_01_040"/>
        <s v="2004_01_041"/>
        <s v="2004_01_042"/>
        <s v="2004_01_043"/>
        <s v="2004_01_044"/>
        <s v="2004_01_045"/>
        <s v="2004_01_046"/>
        <s v="2004_01_047"/>
        <s v="2004_01_048"/>
        <s v="2004_06_001"/>
        <s v="2004_06_002"/>
        <s v="2004_06_003"/>
        <s v="2004_06_004"/>
        <s v="2004_06_005"/>
        <s v="2004_06_006"/>
        <s v="2004_06_007"/>
        <s v="2004_06_008"/>
        <s v="2004_06_009"/>
        <s v="2004_06_010"/>
        <s v="2004_06_011"/>
        <s v="2004_06_012"/>
        <s v="2004_06_013"/>
        <s v="2004_06_014"/>
        <s v="2004_06_015"/>
        <s v="2004_06_016"/>
        <s v="2004_06_017"/>
        <s v="2004_06_018"/>
        <s v="2004_06_019"/>
        <s v="2004_06_020"/>
        <s v="2004_06_021"/>
        <s v="2004_06_022"/>
        <s v="2004_06_023"/>
        <s v="2004_06_024"/>
        <s v="2004_06_025"/>
        <s v="2004_06_026"/>
        <s v="2004_06_027"/>
        <s v="2004_06_028"/>
        <s v="2004_06_029"/>
        <s v="2004_06_030"/>
        <s v="2004_06_031"/>
        <s v="2004_06_032"/>
        <s v="2004_06_033"/>
        <s v="2004_06_034"/>
        <s v="2004_06_035"/>
        <s v="2004_06_036"/>
        <s v="2004_06_037"/>
        <s v="2004_06_038"/>
        <s v="2004_06_039"/>
        <s v="2004_06_040"/>
        <s v="2004_06_041"/>
        <s v="2004_06_042"/>
        <s v="2004_06_043"/>
        <s v="2004_06_044"/>
        <s v="2004_06_045"/>
        <s v="2004_06_046"/>
        <s v="2005_01_001"/>
        <s v="2005_01_002"/>
        <s v="2005_01_003"/>
        <s v="2005_01_004"/>
        <s v="2005_01_005"/>
        <s v="2005_01_006"/>
        <s v="2005_01_007"/>
        <s v="2005_01_008"/>
        <s v="2005_01_009"/>
        <s v="2005_01_010"/>
        <s v="2005_01_011"/>
        <s v="2005_01_012"/>
        <s v="2005_01_013"/>
        <s v="2005_01_014"/>
        <s v="2005_01_015"/>
        <s v="2005_01_016"/>
        <s v="2005_01_017"/>
        <s v="2005_01_018"/>
        <s v="2005_01_019"/>
        <s v="2005_01_020"/>
        <s v="2005_01_021"/>
        <s v="2005_01_022"/>
        <s v="2005_01_023"/>
        <s v="2005_01_024"/>
        <s v="2005_01_025"/>
        <s v="2005_01_026"/>
        <s v="2005_01_027"/>
        <s v="2005_01_028"/>
        <s v="2005_01_029"/>
        <s v="2005_01_030"/>
        <s v="2005_01_031"/>
        <s v="2005_01_032"/>
        <s v="2005_01_033"/>
        <s v="2005_01_034"/>
        <s v="2005_01_035"/>
        <s v="2005_01_036"/>
        <s v="2005_01_037"/>
        <s v="2005_01_038"/>
        <s v="2005_01_039"/>
        <s v="2005_01_040"/>
        <s v="2005_01_041"/>
        <s v="2005_01_042"/>
        <s v="2005_01_043"/>
        <s v="2005_01_044"/>
        <s v="2005_01_045"/>
        <s v="2005_01_046"/>
        <s v="2005_01_047"/>
        <s v="2005_01_048"/>
        <s v="2005_06_001"/>
        <s v="2005_06_002"/>
        <s v="2005_06_003"/>
        <s v="2005_06_004"/>
        <s v="2005_06_005"/>
        <s v="2005_06_006"/>
        <s v="2005_06_007"/>
        <s v="2005_06_008"/>
        <s v="2005_06_009"/>
        <s v="2005_06_010"/>
        <s v="2005_06_011"/>
        <s v="2005_06_012"/>
        <s v="2005_06_013"/>
        <s v="2005_06_014"/>
        <s v="2005_06_015"/>
        <s v="2005_06_016"/>
        <s v="2005_06_017"/>
        <s v="2005_06_018"/>
        <s v="2005_06_019"/>
        <s v="2005_06_020"/>
        <s v="2005_06_021"/>
        <s v="2005_06_022"/>
        <s v="2005_06_023"/>
        <s v="2005_06_024"/>
        <s v="2005_06_025"/>
        <s v="2005_06_026"/>
        <s v="2005_06_027"/>
        <s v="2005_06_028"/>
        <s v="2005_06_029"/>
        <s v="2005_06_030"/>
        <s v="2005_06_031"/>
        <s v="2005_06_032"/>
        <s v="2005_06_033"/>
        <s v="2005_06_034"/>
        <s v="2005_06_035"/>
        <s v="2005_06_036"/>
        <s v="2005_06_037"/>
        <s v="2005_06_038"/>
        <s v="2005_06_039"/>
        <s v="2005_06_040"/>
        <s v="2005_06_041"/>
        <s v="2005_06_042"/>
        <s v="2005_06_043"/>
        <s v="2005_06_044"/>
        <s v="2005_06_045"/>
        <s v="2005_06_046"/>
        <s v="2005_06_047"/>
        <s v="2006_01_001"/>
        <s v="2006_01_002"/>
        <s v="2006_01_003"/>
        <s v="2006_01_004"/>
        <s v="2006_01_005"/>
        <s v="2006_01_006"/>
        <s v="2006_01_007"/>
        <s v="2006_01_008"/>
        <s v="2006_01_009"/>
        <s v="2006_01_010"/>
        <s v="2006_01_011"/>
        <s v="2006_01_012"/>
        <s v="2006_01_013"/>
        <s v="2006_01_014"/>
        <s v="2006_01_015"/>
        <s v="2006_01_016"/>
        <s v="2006_01_017"/>
        <s v="2006_01_018"/>
        <s v="2006_01_019"/>
        <s v="2006_01_020"/>
        <s v="2006_01_021"/>
        <s v="2006_01_022"/>
        <s v="2006_01_023"/>
        <s v="2006_01_024"/>
        <s v="2006_01_025"/>
        <s v="2006_01_026"/>
        <s v="2006_01_027"/>
        <s v="2006_01_028"/>
        <s v="2006_01_029"/>
        <s v="2006_01_030"/>
        <s v="2006_01_031"/>
        <s v="2006_01_032"/>
        <s v="2006_01_033"/>
        <s v="2006_01_034"/>
        <s v="2006_01_035"/>
        <s v="2006_01_036"/>
        <s v="2006_01_037"/>
        <s v="2006_01_038"/>
        <s v="2006_01_039"/>
        <s v="2006_01_040"/>
        <s v="2006_01_041"/>
        <s v="2006_01_042"/>
        <s v="2006_01_043"/>
        <s v="2006_01_044"/>
        <s v="2006_01_045"/>
        <s v="2006_01_046"/>
        <s v="2006_01_047"/>
        <s v="2006_06_001"/>
        <s v="2006_06_002"/>
        <s v="2006_06_003"/>
        <s v="2006_06_004"/>
        <s v="2006_06_005"/>
        <s v="2006_06_006"/>
        <s v="2006_06_007"/>
        <s v="2006_06_008"/>
        <s v="2006_06_009"/>
        <s v="2006_06_010"/>
        <s v="2006_06_011"/>
        <s v="2006_06_012"/>
        <s v="2006_06_013"/>
        <s v="2006_06_014"/>
        <s v="2006_06_015"/>
        <s v="2006_06_016"/>
        <s v="2006_06_017"/>
        <s v="2006_06_018"/>
        <s v="2006_06_019"/>
        <s v="2006_06_020"/>
        <s v="2006_06_021"/>
        <s v="2006_06_022"/>
        <s v="2006_06_023"/>
        <s v="2006_06_024"/>
        <s v="2006_06_025"/>
        <s v="2006_06_026"/>
        <s v="2006_06_027"/>
        <s v="2006_06_028"/>
        <s v="2006_06_029"/>
        <s v="2006_06_030"/>
        <s v="2006_06_031"/>
        <s v="2006_06_032"/>
        <s v="2006_06_033"/>
        <s v="2006_06_034"/>
        <s v="2006_06_035"/>
        <s v="2006_06_036"/>
        <s v="2006_06_037"/>
        <s v="2006_06_038"/>
        <s v="2006_06_039"/>
        <s v="2006_06_040"/>
        <s v="2006_06_041"/>
        <s v="2006_06_042"/>
        <s v="2006_06_043"/>
        <s v="2006_06_044"/>
        <s v="2006_06_045"/>
        <s v="2006_06_046"/>
        <s v="2006_06_047"/>
        <s v="2006_06_048"/>
        <s v="2006_06_049"/>
        <s v="2006_06_050"/>
        <s v="2006_06_051"/>
        <s v="2007_01_001"/>
        <s v="2007_01_002"/>
        <s v="2007_01_003"/>
        <s v="2007_01_004"/>
        <s v="2007_01_005"/>
        <s v="2007_01_006"/>
        <s v="2007_01_007"/>
        <s v="2007_01_008"/>
        <s v="2007_01_009"/>
        <s v="2007_01_010"/>
        <s v="2007_01_011"/>
        <s v="2007_01_012"/>
        <s v="2007_01_013"/>
        <s v="2007_01_014"/>
        <s v="2007_01_015"/>
        <s v="2007_01_016"/>
        <s v="2007_01_017"/>
        <s v="2007_01_018"/>
        <s v="2007_01_019"/>
        <s v="2007_01_020"/>
        <s v="2007_01_021"/>
        <s v="2007_01_022"/>
        <s v="2007_01_023"/>
        <s v="2007_01_024"/>
        <s v="2007_01_025"/>
        <s v="2007_01_026"/>
        <s v="2007_01_027"/>
        <s v="2007_01_028"/>
        <s v="2007_01_029"/>
        <s v="2007_01_030"/>
        <s v="2007_01_031"/>
        <s v="2007_01_032"/>
        <s v="2007_01_033"/>
        <s v="2007_01_034"/>
        <s v="2007_01_035"/>
        <s v="2007_01_036"/>
        <s v="2007_01_037"/>
        <s v="2007_01_038"/>
        <s v="2007_01_039"/>
        <s v="2007_01_040"/>
        <s v="2007_01_041"/>
        <s v="2007_01_042"/>
        <s v="2007_01_043"/>
        <s v="2007_01_044"/>
        <s v="2007_01_045"/>
        <s v="2007_01_046"/>
        <s v="2007_01_047"/>
        <s v="2007_01_048"/>
        <s v="2007_01_049"/>
        <s v="2007_01_050"/>
        <s v="2007_01_051"/>
        <s v="2007_06_001"/>
        <s v="2007_06_002"/>
        <s v="2007_06_003"/>
        <s v="2007_06_004"/>
        <s v="2007_06_005"/>
        <s v="2007_06_006"/>
        <s v="2007_06_007"/>
        <s v="2007_06_008"/>
        <s v="2007_06_009"/>
        <s v="2007_06_010"/>
        <s v="2007_06_011"/>
        <s v="2007_06_012"/>
        <s v="2007_06_013"/>
        <s v="2007_06_014"/>
        <s v="2007_06_015"/>
        <s v="2007_06_016"/>
        <s v="2007_06_017"/>
        <s v="2007_06_018"/>
        <s v="2007_06_019"/>
        <s v="2007_06_020"/>
        <s v="2007_06_021"/>
        <s v="2007_06_022"/>
        <s v="2007_06_023"/>
        <s v="2007_06_024"/>
        <s v="2007_06_025"/>
        <s v="2007_06_026"/>
        <s v="2007_06_027"/>
        <s v="2007_06_028"/>
        <s v="2007_06_029"/>
        <s v="2007_06_030"/>
        <s v="2007_06_031"/>
        <s v="2007_06_032"/>
        <s v="2007_06_033"/>
        <s v="2007_06_034"/>
        <s v="2007_06_035"/>
        <s v="2007_06_036"/>
        <s v="2007_06_037"/>
        <s v="2007_06_038"/>
        <s v="2007_06_039"/>
        <s v="2007_06_040"/>
        <s v="2007_06_041"/>
        <s v="2007_06_042"/>
        <s v="2007_06_043"/>
        <s v="2007_06_044"/>
        <s v="2007_06_045"/>
        <s v="2007_06_046"/>
        <s v="2008_01_001"/>
        <s v="2008_01_002"/>
        <s v="2008_01_003"/>
        <s v="2008_01_004"/>
        <s v="2008_01_005"/>
        <s v="2008_01_006"/>
        <s v="2008_01_007"/>
        <s v="2008_01_008"/>
        <s v="2008_01_009"/>
        <s v="2008_01_010"/>
        <s v="2008_01_011"/>
        <s v="2008_01_012"/>
        <s v="2008_01_013"/>
        <s v="2008_01_014"/>
        <s v="2008_01_015"/>
        <s v="2008_01_016"/>
        <s v="2008_01_017"/>
        <s v="2008_01_018"/>
        <s v="2008_01_019"/>
        <s v="2008_01_020"/>
        <s v="2008_01_021"/>
        <s v="2008_01_022"/>
        <s v="2008_01_023"/>
        <s v="2008_01_024"/>
        <s v="2008_01_025"/>
        <s v="2008_01_026"/>
        <s v="2008_01_027"/>
        <s v="2008_01_028"/>
        <s v="2008_01_029"/>
        <s v="2008_01_030"/>
        <s v="2008_01_031"/>
        <s v="2008_01_032"/>
        <s v="2008_01_033"/>
        <s v="2008_01_034"/>
        <s v="2008_01_035"/>
        <s v="2008_01_036"/>
        <s v="2008_01_037"/>
        <s v="2008_01_038"/>
        <s v="2008_01_039"/>
        <s v="2008_01_040"/>
        <s v="2008_01_041"/>
        <s v="2008_01_042"/>
        <s v="2008_01_043"/>
        <s v="2008_01_044"/>
        <s v="2008_01_045"/>
        <s v="2008_01_046"/>
        <s v="2008_01_047"/>
        <s v="2008_01_048"/>
        <s v="2008_01_049"/>
        <s v="2008_06_001"/>
        <s v="2008_06_002"/>
        <s v="2008_06_003"/>
        <s v="2008_06_004"/>
        <s v="2008_06_005"/>
        <s v="2008_06_006"/>
        <s v="2008_06_007"/>
        <s v="2008_06_008"/>
        <s v="2008_06_009"/>
        <s v="2008_06_010"/>
        <s v="2008_06_011"/>
        <s v="2008_06_012"/>
        <s v="2008_06_013"/>
        <s v="2008_06_014"/>
        <s v="2008_06_015"/>
        <s v="2008_06_016"/>
        <s v="2008_06_017"/>
        <s v="2008_06_018"/>
        <s v="2008_06_019"/>
        <s v="2008_06_020"/>
        <s v="2008_06_021"/>
        <s v="2008_06_022"/>
        <s v="2008_06_023"/>
        <s v="2008_06_024"/>
        <s v="2008_06_025"/>
        <s v="2008_06_026"/>
        <s v="2008_06_027"/>
        <s v="2008_06_028"/>
        <s v="2008_06_029"/>
        <s v="2008_06_030"/>
        <s v="2008_06_031"/>
        <s v="2008_06_032"/>
        <s v="2008_06_033"/>
        <s v="2008_06_034"/>
        <s v="2008_06_035"/>
        <s v="2008_06_036"/>
        <s v="2008_06_037"/>
        <s v="2008_06_038"/>
        <s v="2008_06_039"/>
        <s v="2008_06_040"/>
        <s v="2008_06_041"/>
        <s v="2008_06_042"/>
        <s v="2008_06_043"/>
        <s v="2008_06_044"/>
        <s v="2008_06_045"/>
        <s v="2008_06_046"/>
        <s v="2008_06_047"/>
        <s v="2008_06_048"/>
        <s v="2008_06_049"/>
        <s v="2008_06_050"/>
        <s v="2008_06_051"/>
        <s v="2009_01_001"/>
        <s v="2009_01_002"/>
        <s v="2009_01_003"/>
        <s v="2009_01_004"/>
        <s v="2009_01_005"/>
        <s v="2009_01_006"/>
        <s v="2009_01_007"/>
        <s v="2009_01_008"/>
        <s v="2009_01_009"/>
        <s v="2009_01_010"/>
        <s v="2009_01_011"/>
        <s v="2009_01_012"/>
        <s v="2009_01_013"/>
        <s v="2009_01_014"/>
        <s v="2009_01_015"/>
        <s v="2009_01_016"/>
        <s v="2009_01_017"/>
        <s v="2009_01_018"/>
        <s v="2009_01_019"/>
        <s v="2009_01_020"/>
        <s v="2009_01_021"/>
        <s v="2009_01_022"/>
        <s v="2009_01_023"/>
        <s v="2009_01_024"/>
        <s v="2009_01_025"/>
        <s v="2009_01_026"/>
        <s v="2009_01_027"/>
        <s v="2009_01_028"/>
        <s v="2009_01_029"/>
        <s v="2009_01_030"/>
        <s v="2009_01_031"/>
        <s v="2009_01_032"/>
        <s v="2009_01_033"/>
        <s v="2009_01_034"/>
        <s v="2009_01_035"/>
        <s v="2009_01_036"/>
        <s v="2009_01_037"/>
        <s v="2009_01_038"/>
        <s v="2009_01_039"/>
        <s v="2009_01_040"/>
        <s v="2009_01_041"/>
        <s v="2009_01_042"/>
        <s v="2009_01_043"/>
        <s v="2009_01_044"/>
        <s v="2009_01_045"/>
        <s v="2009_01_046"/>
        <s v="2009_06_001"/>
        <s v="2009_06_002"/>
        <s v="2009_06_003"/>
        <s v="2009_06_004"/>
        <s v="2009_06_005"/>
        <s v="2009_06_006"/>
        <s v="2009_06_007"/>
        <s v="2009_06_008"/>
        <s v="2009_06_009"/>
        <s v="2009_06_010"/>
        <s v="2009_06_011"/>
        <s v="2009_06_012"/>
        <s v="2009_06_013"/>
        <s v="2009_06_014"/>
        <s v="2009_06_015"/>
        <s v="2009_06_016"/>
        <s v="2009_06_017"/>
        <s v="2009_06_018"/>
        <s v="2009_06_019"/>
        <s v="2009_06_020"/>
        <s v="2009_06_021"/>
        <s v="2009_06_022"/>
        <s v="2009_06_023"/>
        <s v="2009_06_024"/>
        <s v="2009_06_025"/>
        <s v="2009_06_026"/>
        <s v="2009_06_027"/>
        <s v="2009_06_028"/>
        <s v="2009_06_029"/>
        <s v="2009_06_030"/>
        <s v="2009_06_031"/>
        <s v="2009_06_032"/>
        <s v="2009_06_033"/>
        <s v="2009_06_034"/>
        <s v="2009_06_035"/>
        <s v="2009_06_036"/>
        <s v="2009_06_037"/>
        <s v="2009_06_038"/>
        <s v="2009_06_039"/>
        <s v="2009_06_040"/>
        <s v="2009_06_041"/>
        <s v="2009_06_042"/>
        <s v="2009_06_043"/>
        <s v="2009_06_044"/>
        <s v="2009_06_045"/>
        <s v="2009_06_046"/>
        <s v="2009_06_047"/>
        <s v="2010_06_001"/>
        <s v="2010_06_002"/>
        <s v="2010_06_003"/>
        <s v="2010_06_004"/>
        <s v="2010_06_005"/>
        <s v="2010_06_006"/>
        <s v="2010_06_007"/>
        <s v="2010_06_008"/>
        <s v="2010_06_009"/>
        <s v="2010_06_010"/>
        <s v="2010_06_011"/>
        <s v="2010_06_012"/>
        <s v="2010_06_013"/>
        <s v="2010_06_014"/>
        <s v="2010_06_015"/>
        <s v="2010_06_016"/>
        <s v="2010_06_017"/>
        <s v="2010_06_018"/>
        <s v="2010_06_019"/>
        <s v="2010_06_020"/>
        <s v="2010_06_021"/>
        <s v="2010_06_022"/>
        <s v="2010_06_023"/>
        <s v="2010_06_024"/>
        <s v="2010_06_025"/>
        <s v="2010_06_026"/>
        <s v="2010_06_027"/>
        <s v="2010_06_028"/>
        <s v="2010_06_029"/>
        <s v="2010_06_030"/>
        <s v="2010_06_031"/>
        <s v="2010_06_032"/>
        <s v="2010_06_033"/>
        <s v="2010_06_034"/>
        <s v="2010_06_035"/>
        <s v="2010_06_036"/>
        <s v="2010_06_037"/>
        <s v="2010_06_038"/>
        <s v="2010_06_039"/>
        <s v="2010_06_040"/>
        <s v="2010_06_041"/>
        <s v="2010_06_042"/>
        <s v="2010_06_043"/>
        <s v="2010_06_044"/>
        <s v="2010_06_045"/>
        <s v="2010_06_046"/>
        <s v="2010_06_047"/>
        <s v="2010_06_048"/>
        <s v="2010_06_049"/>
        <s v="2010_06_050"/>
        <s v="2011_06_001"/>
        <s v="2011_06_002"/>
        <s v="2011_06_003"/>
        <s v="2011_06_004"/>
        <s v="2011_06_005"/>
        <s v="2011_06_006"/>
        <s v="2011_06_007"/>
        <s v="2011_06_008"/>
        <s v="2011_06_009"/>
        <s v="2011_06_010"/>
        <s v="2011_06_011"/>
        <s v="2011_06_012"/>
        <s v="2011_06_013"/>
        <s v="2011_06_014"/>
        <s v="2011_06_015"/>
        <s v="2011_06_016"/>
        <s v="2011_06_017"/>
        <s v="2011_06_018"/>
        <s v="2011_06_019"/>
        <s v="2011_06_020"/>
        <s v="2011_06_021"/>
        <s v="2011_06_022"/>
        <s v="2011_06_023"/>
        <s v="2011_06_024"/>
        <s v="2011_06_025"/>
        <s v="2011_06_026"/>
        <s v="2011_06_027"/>
        <s v="2011_06_028"/>
        <s v="2011_06_029"/>
        <s v="2011_06_030"/>
        <s v="2011_06_031"/>
        <s v="2011_06_032"/>
        <s v="2011_06_033"/>
        <s v="2011_06_034"/>
        <s v="2011_06_035"/>
        <s v="2011_06_036"/>
        <s v="2011_06_037"/>
        <s v="2011_06_038"/>
        <s v="2011_06_039"/>
        <s v="2011_06_040"/>
        <s v="2011_06_041"/>
        <s v="2011_06_042"/>
        <s v="2011_06_043"/>
        <s v="2011_06_044"/>
        <s v="2011_06_045"/>
        <s v="2011_06_046"/>
        <s v="2011_06_047"/>
        <s v="2011_06_048"/>
        <s v="2011_06_049"/>
        <s v="2011_06_050"/>
        <s v="2012_06_001"/>
        <s v="2012_06_002"/>
        <s v="2012_06_003"/>
        <s v="2012_06_004"/>
        <s v="2012_06_005"/>
        <s v="2012_06_006"/>
        <s v="2012_06_007"/>
        <s v="2012_06_008"/>
        <s v="2012_06_009"/>
        <s v="2012_06_010"/>
        <s v="2012_06_011"/>
        <s v="2012_06_012"/>
        <s v="2012_06_013"/>
        <s v="2012_06_014"/>
        <s v="2012_06_015"/>
        <s v="2012_06_016"/>
        <s v="2012_06_017"/>
        <s v="2012_06_018"/>
        <s v="2012_06_019"/>
        <s v="2012_06_020"/>
        <s v="2012_06_021"/>
        <s v="2012_06_022"/>
        <s v="2012_06_023"/>
        <s v="2012_06_024"/>
        <s v="2012_06_025"/>
        <s v="2012_06_026"/>
        <s v="2012_06_027"/>
        <s v="2012_06_028"/>
        <s v="2012_06_029"/>
        <s v="2012_06_030"/>
        <s v="2012_06_031"/>
        <s v="2012_06_032"/>
        <s v="2012_06_033"/>
        <s v="2012_06_034"/>
        <s v="2012_06_035"/>
        <s v="2012_06_036"/>
        <s v="2012_06_037"/>
        <s v="2012_06_038"/>
        <s v="2012_06_039"/>
        <s v="2012_06_040"/>
        <s v="2012_06_041"/>
        <s v="2012_06_042"/>
        <s v="2012_06_043"/>
        <s v="2012_06_044"/>
        <s v="2012_06_045"/>
        <s v="2012_06_046"/>
        <s v="2012_06_047"/>
        <s v="2012_06_048"/>
        <s v="2012_06_049"/>
        <s v="2012_06_050"/>
        <s v="2013_06_001"/>
        <s v="2013_06_002"/>
        <s v="2013_06_003"/>
        <s v="2013_06_004"/>
        <s v="2013_06_005"/>
        <s v="2013_06_006"/>
        <s v="2013_06_007"/>
        <s v="2013_06_008"/>
        <s v="2013_06_009"/>
        <s v="2013_06_010"/>
        <s v="2013_06_011"/>
        <s v="2013_06_012"/>
        <s v="2013_06_013"/>
        <s v="2013_06_014"/>
        <s v="2013_06_015"/>
        <s v="2013_06_016"/>
        <s v="2013_06_017"/>
        <s v="2013_06_018"/>
        <s v="2013_06_019"/>
        <s v="2013_06_020"/>
        <s v="2013_06_021"/>
        <s v="2013_06_022"/>
        <s v="2013_06_023"/>
        <s v="2013_06_024"/>
        <s v="2013_06_025"/>
        <s v="2013_06_026"/>
        <s v="2013_06_027"/>
        <s v="2013_06_028"/>
        <s v="2013_06_029"/>
        <s v="2013_06_030"/>
        <s v="2013_06_031"/>
        <s v="2013_06_032"/>
        <s v="2013_06_033"/>
        <s v="2013_06_034"/>
        <s v="2013_06_035"/>
        <s v="2013_06_036"/>
        <s v="2013_06_037"/>
        <s v="2013_06_038"/>
        <s v="2013_06_039"/>
        <s v="2013_06_040"/>
        <s v="2013_06_041"/>
        <s v="2013_06_042"/>
        <s v="2013_06_043"/>
        <s v="2013_06_044"/>
        <s v="2013_06_045"/>
        <s v="2013_06_046"/>
        <s v="2013_06_047"/>
        <s v="2013_06_048"/>
        <s v="2013_06_049"/>
        <s v="2013_06_050"/>
        <s v="2014_06_001"/>
        <s v="2014_06_002"/>
        <s v="2014_06_003"/>
        <s v="2014_06_004"/>
        <s v="2014_06_005"/>
        <s v="2014_06_006"/>
        <s v="2014_06_007"/>
        <s v="2014_06_008"/>
        <s v="2014_06_009"/>
        <s v="2014_06_010"/>
        <s v="2014_06_011"/>
        <s v="2014_06_012"/>
        <s v="2014_06_013"/>
        <s v="2014_06_014"/>
        <s v="2014_06_015"/>
        <s v="2014_06_016"/>
        <s v="2014_06_017"/>
        <s v="2014_06_018"/>
        <s v="2014_06_019"/>
        <s v="2014_06_020"/>
        <s v="2014_06_021"/>
        <s v="2014_06_022"/>
        <s v="2014_06_023"/>
        <s v="2014_06_024"/>
        <s v="2014_06_025"/>
        <s v="2014_06_026"/>
        <s v="2014_06_027"/>
        <s v="2014_06_028"/>
        <s v="2014_06_029"/>
        <s v="2014_06_030"/>
        <s v="2014_06_031"/>
        <s v="2014_06_032"/>
        <s v="2014_06_033"/>
        <s v="2014_06_034"/>
        <s v="2014_06_035"/>
        <s v="2014_06_036"/>
        <s v="2014_06_037"/>
        <s v="2014_06_038"/>
        <s v="2014_06_039"/>
        <s v="2014_06_040"/>
        <s v="2014_06_041"/>
        <s v="2014_06_042"/>
        <s v="2014_06_043"/>
        <s v="2014_06_044"/>
        <s v="2014_06_045"/>
        <s v="2014_06_046"/>
        <s v="2014_06_047"/>
        <s v="2014_06_048"/>
        <s v="2014_06_049"/>
        <s v="2014_06_050"/>
        <s v="2015_06_001"/>
        <s v="2015_06_002"/>
        <s v="2015_06_003"/>
        <s v="2015_06_004"/>
        <s v="2015_06_005"/>
        <s v="2015_06_006"/>
        <s v="2015_06_007"/>
        <s v="2015_06_008"/>
        <s v="2015_06_009"/>
        <s v="2015_06_010"/>
        <s v="2015_06_011"/>
        <s v="2015_06_012"/>
        <s v="2015_06_013"/>
        <s v="2015_06_014"/>
        <s v="2015_06_015"/>
        <s v="2015_06_016"/>
        <s v="2015_06_017"/>
        <s v="2015_06_018"/>
        <s v="2015_06_019"/>
        <s v="2015_06_020"/>
        <s v="2015_06_021"/>
        <s v="2015_06_022"/>
        <s v="2015_06_023"/>
        <s v="2015_06_024"/>
        <s v="2015_06_025"/>
        <s v="2015_06_026"/>
        <s v="2015_06_027"/>
        <s v="2015_06_028"/>
        <s v="2015_06_029"/>
        <s v="2015_06_030"/>
        <s v="2015_06_031"/>
        <s v="2015_06_032"/>
        <s v="2015_06_033"/>
        <s v="2015_06_034"/>
        <s v="2015_06_035"/>
        <s v="2015_06_036"/>
        <s v="2015_06_037"/>
        <s v="2015_06_038"/>
        <s v="2015_06_039"/>
        <s v="2015_06_040"/>
        <s v="2015_06_041"/>
        <s v="2015_06_042"/>
        <s v="2015_06_043"/>
        <s v="2015_06_044"/>
        <s v="2015_06_045"/>
        <s v="2015_06_046"/>
        <s v="2015_06_047"/>
        <s v="2015_06_048"/>
        <s v="2015_06_049"/>
        <s v="2015_06_050"/>
        <m/>
      </sharedItems>
    </cacheField>
    <cacheField name="Year" numFmtId="0">
      <sharedItems containsString="0" containsBlank="1" containsNumber="1" containsInteger="1" minValue="2002" maxValue="2015"/>
    </cacheField>
    <cacheField name="Month" numFmtId="0">
      <sharedItems containsString="0" containsBlank="1" containsNumber="1" containsInteger="1" minValue="1" maxValue="8"/>
    </cacheField>
    <cacheField name="Problem" numFmtId="0">
      <sharedItems containsString="0" containsBlank="1" containsNumber="1" containsInteger="1" minValue="1" maxValue="51" count="52">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m/>
      </sharedItems>
    </cacheField>
    <cacheField name="Primary Unit" numFmtId="0">
      <sharedItems containsBlank="1" count="16">
        <s v="Vectors"/>
        <s v="Dynamics"/>
        <s v="Linear Kinematics"/>
        <s v="Two Dimensional Motion"/>
        <s v="Impulse and Momentum"/>
        <s v="Work, Power, and Energy"/>
        <s v="Electrostatics"/>
        <s v="General Waves"/>
        <s v="DC Circuits"/>
        <s v="Applications of Waves"/>
        <s v="Modern Physics"/>
        <s v="Measurement and Estimation"/>
        <s v="Miscellaneous"/>
        <s v="Magnetism"/>
        <s v="Math Skills"/>
        <m/>
      </sharedItems>
    </cacheField>
    <cacheField name="Secondary Unit" numFmtId="0">
      <sharedItems containsBlank="1" count="17">
        <m/>
        <s v="Vectors"/>
        <s v="Math Skills"/>
        <s v="Impulse and Momentum"/>
        <s v="Magnetism"/>
        <s v="General Waves"/>
        <s v="Dynamics"/>
        <s v="DC Circuits"/>
        <s v="Modern Physics"/>
        <s v="Two Dimensional Motion"/>
        <s v="Miscellaneous"/>
        <s v="Linear Kinematics"/>
        <s v="Applications of Waves"/>
        <s v="Electrostatics"/>
        <s v="Measurement and Estimation"/>
        <s v="Work, Power, and Energy"/>
        <s v="My Ideas"/>
      </sharedItems>
    </cacheField>
    <cacheField name="Answer" numFmtId="0">
      <sharedItems containsString="0" containsBlank="1" containsNumber="1" containsInteger="1" minValue="1" maxValue="4"/>
    </cacheField>
    <cacheField name="1066" numFmtId="0">
      <sharedItems containsBlank="1"/>
    </cacheField>
    <cacheField name="VIDEO_x000a_HELP HERE, And Updates" numFmtId="0">
      <sharedItems containsNonDate="0" containsString="0" containsBlank="1"/>
    </cacheField>
    <cacheField name="Children" numFmtId="0">
      <sharedItems containsNonDate="0" containsString="0" containsBlank="1"/>
    </cacheField>
    <cacheField name="Notes" numFmtId="0">
      <sharedItems containsNonDate="0" containsString="0" containsBlank="1"/>
    </cacheField>
    <cacheField name="Book Bag" numFmtId="0">
      <sharedItems containsBlank="1"/>
    </cacheField>
    <cacheField name="Difficulty" numFmtId="0">
      <sharedItems containsString="0" containsBlank="1" containsNumber="1" containsInteger="1" minValue="0" maxValue="3"/>
    </cacheField>
    <cacheField name="Qtype" numFmtId="0">
      <sharedItems containsBlank="1" count="3">
        <s v="A"/>
        <s v="B1"/>
        <m/>
      </sharedItems>
    </cacheField>
    <cacheField name="Number" numFmtId="0">
      <sharedItems containsString="0" containsBlank="1" containsNumber="1" containsInteger="1" minValue="1" maxValue="1066"/>
    </cacheField>
    <cacheField name="Tag Summary" numFmtId="0">
      <sharedItems containsBlank="1"/>
    </cacheField>
    <cacheField name="WN" numFmtId="0">
      <sharedItems containsString="0" containsBlank="1" containsNumber="1" containsInteger="1" minValue="10" maxValue="5697"/>
    </cacheField>
    <cacheField name="YYYY_MM" numFmtId="0">
      <sharedItems containsBlank="1" count="23">
        <s v="2002_06"/>
        <s v="2002_08"/>
        <s v="2003_01"/>
        <s v="2003_06"/>
        <s v="2004_01"/>
        <s v="2004_06"/>
        <s v="2005_01"/>
        <s v="2005_06"/>
        <s v="2006_01"/>
        <s v="2006_06"/>
        <s v="2007_01"/>
        <s v="2007_06"/>
        <s v="2008_01"/>
        <s v="2008_06"/>
        <s v="2009_01"/>
        <s v="2009_06"/>
        <s v="2010_06"/>
        <s v="2011_06"/>
        <s v="2012_06"/>
        <s v="2013_06"/>
        <s v="2014_06"/>
        <s v="2015_06"/>
        <m/>
      </sharedItems>
    </cacheField>
    <cacheField name="s" numFmtId="0">
      <sharedItems containsNonDate="0" containsString="0" containsBlank="1"/>
    </cacheField>
    <cacheField name="t" numFmtId="0">
      <sharedItems containsNonDate="0" containsString="0" containsBlank="1"/>
    </cacheField>
    <cacheField name="Estimation" numFmtId="0">
      <sharedItems containsString="0" containsBlank="1" containsNumber="1" containsInteger="1" minValue="1" maxValue="1"/>
    </cacheField>
    <cacheField name="Units" numFmtId="0">
      <sharedItems containsString="0" containsBlank="1" containsNumber="1" containsInteger="1" minValue="1" maxValue="1"/>
    </cacheField>
    <cacheField name="DT/VT Graphs" numFmtId="0">
      <sharedItems containsString="0" containsBlank="1" containsNumber="1" containsInteger="1" minValue="1" maxValue="1"/>
    </cacheField>
    <cacheField name="Estimation2" numFmtId="0">
      <sharedItems containsNonDate="0" containsString="0" containsBlank="1"/>
    </cacheField>
    <cacheField name="Units2" numFmtId="0">
      <sharedItems containsNonDate="0" containsString="0" containsBlank="1"/>
    </cacheField>
    <cacheField name="Basic Motion Concepts" numFmtId="0">
      <sharedItems containsString="0" containsBlank="1" containsNumber="1" containsInteger="1" minValue="1" maxValue="1"/>
    </cacheField>
    <cacheField name="DT/VT Graphs2" numFmtId="0">
      <sharedItems containsNonDate="0" containsString="0" containsBlank="1"/>
    </cacheField>
    <cacheField name="Horizontal Constant Acceleration Problems" numFmtId="0">
      <sharedItems containsString="0" containsBlank="1" containsNumber="1" containsInteger="1" minValue="1" maxValue="1"/>
    </cacheField>
    <cacheField name="Vertical Constant Acceleration Problems" numFmtId="0">
      <sharedItems containsString="0" containsBlank="1" containsNumber="1" containsInteger="1" minValue="1" maxValue="1"/>
    </cacheField>
    <cacheField name="Adding Vectors" numFmtId="0">
      <sharedItems containsString="0" containsBlank="1" containsNumber="1" containsInteger="1" minValue="1" maxValue="1"/>
    </cacheField>
    <cacheField name="Vector Components" numFmtId="0">
      <sharedItems containsString="0" containsBlank="1" containsNumber="1" containsInteger="1" minValue="1" maxValue="1"/>
    </cacheField>
    <cacheField name="Vector vs. Scalar" numFmtId="0">
      <sharedItems containsString="0" containsBlank="1" containsNumber="1" containsInteger="1" minValue="1" maxValue="1"/>
    </cacheField>
    <cacheField name="Acceleration of Projectile" numFmtId="0">
      <sharedItems containsString="0" containsBlank="1" containsNumber="1" containsInteger="1" minValue="1" maxValue="1"/>
    </cacheField>
    <cacheField name="Projectiles at an Angle" numFmtId="0">
      <sharedItems containsString="0" containsBlank="1" containsNumber="1" containsInteger="1" minValue="1" maxValue="1"/>
    </cacheField>
    <cacheField name="Horizontal Projectile Range" numFmtId="0">
      <sharedItems containsString="0" containsBlank="1" containsNumber="1" containsInteger="1" minValue="1" maxValue="1"/>
    </cacheField>
    <cacheField name="Horizontal Projectile Time of Flight" numFmtId="0">
      <sharedItems containsString="0" containsBlank="1" containsNumber="1" containsInteger="1" minValue="1" maxValue="1"/>
    </cacheField>
    <cacheField name="Max Height of Projectile" numFmtId="0">
      <sharedItems containsString="0" containsBlank="1" containsNumber="1" containsInteger="1" minValue="1" maxValue="1"/>
    </cacheField>
    <cacheField name="Centripetal Motion - Direction F,A,V" numFmtId="0">
      <sharedItems containsString="0" containsBlank="1" containsNumber="1" containsInteger="1" minValue="1" maxValue="1"/>
    </cacheField>
    <cacheField name="Centripetal Motion - Calculation" numFmtId="0">
      <sharedItems containsString="0" containsBlank="1" containsNumber="1" containsInteger="1" minValue="1" maxValue="1"/>
    </cacheField>
    <cacheField name="Friction" numFmtId="0">
      <sharedItems containsString="0" containsBlank="1" containsNumber="1" containsInteger="1" minValue="1" maxValue="1"/>
    </cacheField>
    <cacheField name="Inclined Plane" numFmtId="0">
      <sharedItems containsString="0" containsBlank="1" containsNumber="1" containsInteger="1" minValue="1" maxValue="1"/>
    </cacheField>
    <cacheField name="Hooke's Law" numFmtId="0">
      <sharedItems containsString="0" containsBlank="1" containsNumber="1" containsInteger="1" minValue="1" maxValue="1"/>
    </cacheField>
    <cacheField name="Law of Gravity" numFmtId="0">
      <sharedItems containsString="0" containsBlank="1" containsNumber="1" containsInteger="1" minValue="1" maxValue="1"/>
    </cacheField>
    <cacheField name="Newton's 1st Law (Inertia)" numFmtId="0">
      <sharedItems containsString="0" containsBlank="1" containsNumber="1" containsInteger="1" minValue="1" maxValue="1"/>
    </cacheField>
    <cacheField name="Newton's 2nd Law (F=MA)" numFmtId="0">
      <sharedItems containsString="0" containsBlank="1" containsNumber="1" containsInteger="1" minValue="1" maxValue="1"/>
    </cacheField>
    <cacheField name="Weight and Mass" numFmtId="0">
      <sharedItems containsString="0" containsBlank="1" containsNumber="1" containsInteger="1" minValue="1" maxValue="1"/>
    </cacheField>
    <cacheField name="Conservation of Momentum" numFmtId="0">
      <sharedItems containsString="0" containsBlank="1" containsNumber="1" containsInteger="1" minValue="1" maxValue="1"/>
    </cacheField>
    <cacheField name="Impulse" numFmtId="0">
      <sharedItems containsString="0" containsBlank="1" containsNumber="1" containsInteger="1" minValue="1" maxValue="1"/>
    </cacheField>
    <cacheField name="Newton's 3rd Law (Equal But Opposite)" numFmtId="0">
      <sharedItems containsString="0" containsBlank="1" containsNumber="1" containsInteger="1" minValue="1" maxValue="1"/>
    </cacheField>
    <cacheField name="Conservation of Energy" numFmtId="0">
      <sharedItems containsString="0" containsBlank="1" containsNumber="1" containsInteger="1" minValue="1" maxValue="1"/>
    </cacheField>
    <cacheField name="Gravitational PE" numFmtId="0">
      <sharedItems containsString="0" containsBlank="1" containsNumber="1" containsInteger="1" minValue="1" maxValue="1"/>
    </cacheField>
    <cacheField name="Kinetic Energy" numFmtId="0">
      <sharedItems containsString="0" containsBlank="1" containsNumber="1" containsInteger="1" minValue="1" maxValue="1"/>
    </cacheField>
    <cacheField name="PE of Spring" numFmtId="0">
      <sharedItems containsString="0" containsBlank="1" containsNumber="1" containsInteger="1" minValue="1" maxValue="1"/>
    </cacheField>
    <cacheField name="Work/Power" numFmtId="0">
      <sharedItems containsString="0" containsBlank="1" containsNumber="1" containsInteger="1" minValue="1" maxValue="1"/>
    </cacheField>
    <cacheField name="Resonance" numFmtId="0">
      <sharedItems containsString="0" containsBlank="1" containsNumber="1" containsInteger="1" minValue="1" maxValue="1"/>
    </cacheField>
    <cacheField name="Superposition and Standing Waves" numFmtId="0">
      <sharedItems containsString="0" containsBlank="1" containsNumber="1" containsInteger="1" minValue="1" maxValue="1"/>
    </cacheField>
    <cacheField name="V=FxLamda" numFmtId="0">
      <sharedItems containsString="0" containsBlank="1" containsNumber="1" containsInteger="1" minValue="1" maxValue="1"/>
    </cacheField>
    <cacheField name="Wave Vocabulary" numFmtId="0">
      <sharedItems containsString="0" containsBlank="1" containsNumber="1" containsInteger="1" minValue="1" maxValue="1"/>
    </cacheField>
    <cacheField name="Diffraction" numFmtId="0">
      <sharedItems containsString="0" containsBlank="1" containsNumber="1" containsInteger="1" minValue="1" maxValue="1"/>
    </cacheField>
    <cacheField name="Doppler Effect" numFmtId="0">
      <sharedItems containsString="0" containsBlank="1" containsNumber="1" containsInteger="1" minValue="1" maxValue="1"/>
    </cacheField>
    <cacheField name="Light and Sound" numFmtId="0">
      <sharedItems containsString="0" containsBlank="1" containsNumber="1" containsInteger="1" minValue="1" maxValue="1"/>
    </cacheField>
    <cacheField name="Refraction and Snell's Law" numFmtId="0">
      <sharedItems containsString="0" containsBlank="1" containsNumber="1" containsInteger="1" minValue="1" maxValue="1"/>
    </cacheField>
    <cacheField name="Conservation of Charge" numFmtId="0">
      <sharedItems containsString="0" containsBlank="1" containsNumber="1" containsInteger="1" minValue="1" maxValue="1"/>
    </cacheField>
    <cacheField name="Coulomb's Law" numFmtId="0">
      <sharedItems containsString="0" containsBlank="1" containsNumber="1" containsInteger="1" minValue="1" maxValue="1"/>
    </cacheField>
    <cacheField name="Induction, Conduction, Polarization" numFmtId="0">
      <sharedItems containsString="0" containsBlank="1" containsNumber="1" containsInteger="1" minValue="1" maxValue="1"/>
    </cacheField>
    <cacheField name="Electric Fields and Potential" numFmtId="0">
      <sharedItems containsString="0" containsBlank="1" containsNumber="1" containsInteger="1" minValue="1" maxValue="1"/>
    </cacheField>
    <cacheField name="Electrical Definitions" numFmtId="0">
      <sharedItems containsString="0" containsBlank="1" containsNumber="1" containsInteger="1" minValue="1" maxValue="1"/>
    </cacheField>
    <cacheField name="Electrical Power" numFmtId="0">
      <sharedItems containsString="0" containsBlank="1" containsNumber="1" containsInteger="1" minValue="1" maxValue="1"/>
    </cacheField>
    <cacheField name="Ohm's Law" numFmtId="0">
      <sharedItems containsString="0" containsBlank="1" containsNumber="1" containsInteger="1" minValue="1" maxValue="1"/>
    </cacheField>
    <cacheField name="Resistance of Wire" numFmtId="0">
      <sharedItems containsString="0" containsBlank="1" containsNumber="1" containsInteger="1" minValue="1" maxValue="1"/>
    </cacheField>
    <cacheField name="Series and Parallel" numFmtId="0">
      <sharedItems containsString="0" containsBlank="1" containsNumber="1" containsInteger="1" minValue="1" maxValue="1"/>
    </cacheField>
    <cacheField name="Electrical Meters" numFmtId="0">
      <sharedItems containsString="0" containsBlank="1" containsNumber="1" containsInteger="1" minValue="1" maxValue="1"/>
    </cacheField>
    <cacheField name="Energy/Frequency of Photon" numFmtId="0">
      <sharedItems containsString="0" containsBlank="1" containsNumber="1" containsInteger="1" minValue="1" maxValue="1"/>
    </cacheField>
    <cacheField name="Energy/Mass Equivalency" numFmtId="0">
      <sharedItems containsString="0" containsBlank="1" containsNumber="1" containsInteger="1" minValue="1" maxValue="1"/>
    </cacheField>
    <cacheField name="Particle Physics" numFmtId="0">
      <sharedItems containsString="0" containsBlank="1" containsNumber="1" containsInteger="1" minValue="1" maxValue="1"/>
    </cacheField>
    <cacheField name="Graph Interpretation" numFmtId="0">
      <sharedItems containsString="0" containsBlank="1" containsNumber="1" containsInteger="1" minValue="1" maxValue="1"/>
    </cacheField>
    <cacheField name="Mathematical Relationships (Numberless Problems)" numFmtId="0">
      <sharedItems containsString="0" containsBlank="1" containsNumber="1" containsInteger="1" minValue="1" maxValue="1"/>
    </cacheField>
    <cacheField name="Magnetism" numFmtId="0">
      <sharedItems containsString="0" containsBlank="1" containsNumber="1" containsInteger="1" minValue="1" maxValue="1"/>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1067">
  <r>
    <x v="0"/>
    <n v="2002"/>
    <n v="6"/>
    <x v="0"/>
    <x v="0"/>
    <x v="0"/>
    <n v="4"/>
    <s v="2002_06_001.gif"/>
    <m/>
    <m/>
    <m/>
    <b v="0"/>
    <n v="0"/>
    <x v="0"/>
    <n v="1"/>
    <s v="Basic Motion Concepts,Vector vs. Scalar"/>
    <n v="4170"/>
    <x v="0"/>
    <m/>
    <m/>
    <m/>
    <m/>
    <m/>
    <m/>
    <m/>
    <n v="1"/>
    <m/>
    <m/>
    <m/>
    <m/>
    <m/>
    <n v="1"/>
    <m/>
    <m/>
    <m/>
    <m/>
    <m/>
    <m/>
    <m/>
    <m/>
    <m/>
    <m/>
    <m/>
    <m/>
    <m/>
    <m/>
    <m/>
    <m/>
    <m/>
    <m/>
    <m/>
    <m/>
    <m/>
    <m/>
    <m/>
    <m/>
    <m/>
    <m/>
    <m/>
    <m/>
    <m/>
    <m/>
    <m/>
    <m/>
    <m/>
    <m/>
    <m/>
    <m/>
    <m/>
    <m/>
    <m/>
    <m/>
    <m/>
    <m/>
    <m/>
    <m/>
    <m/>
    <m/>
  </r>
  <r>
    <x v="1"/>
    <n v="2002"/>
    <n v="6"/>
    <x v="1"/>
    <x v="1"/>
    <x v="0"/>
    <n v="4"/>
    <s v="2002_06_002.gif"/>
    <m/>
    <m/>
    <m/>
    <b v="0"/>
    <n v="0"/>
    <x v="0"/>
    <n v="2"/>
    <s v="Friction"/>
    <n v="4171"/>
    <x v="0"/>
    <m/>
    <m/>
    <m/>
    <m/>
    <m/>
    <m/>
    <m/>
    <m/>
    <m/>
    <m/>
    <m/>
    <m/>
    <m/>
    <m/>
    <m/>
    <m/>
    <m/>
    <m/>
    <m/>
    <m/>
    <m/>
    <n v="1"/>
    <m/>
    <m/>
    <m/>
    <m/>
    <m/>
    <m/>
    <m/>
    <m/>
    <m/>
    <m/>
    <m/>
    <m/>
    <m/>
    <m/>
    <m/>
    <m/>
    <m/>
    <m/>
    <m/>
    <m/>
    <m/>
    <m/>
    <m/>
    <m/>
    <m/>
    <m/>
    <m/>
    <m/>
    <m/>
    <m/>
    <m/>
    <m/>
    <m/>
    <m/>
    <m/>
    <m/>
    <m/>
    <m/>
  </r>
  <r>
    <x v="2"/>
    <n v="2002"/>
    <n v="6"/>
    <x v="2"/>
    <x v="2"/>
    <x v="0"/>
    <n v="1"/>
    <s v="2002_06_003.gif"/>
    <m/>
    <m/>
    <m/>
    <b v="0"/>
    <n v="0"/>
    <x v="0"/>
    <n v="3"/>
    <s v="Estimation,Horizontal Constant Acceleration Problems"/>
    <n v="4172"/>
    <x v="0"/>
    <m/>
    <m/>
    <n v="1"/>
    <m/>
    <m/>
    <m/>
    <m/>
    <m/>
    <m/>
    <n v="1"/>
    <m/>
    <m/>
    <m/>
    <m/>
    <m/>
    <m/>
    <m/>
    <m/>
    <m/>
    <m/>
    <m/>
    <m/>
    <m/>
    <m/>
    <m/>
    <m/>
    <m/>
    <m/>
    <m/>
    <m/>
    <m/>
    <m/>
    <m/>
    <m/>
    <m/>
    <m/>
    <m/>
    <m/>
    <m/>
    <m/>
    <m/>
    <m/>
    <m/>
    <m/>
    <m/>
    <m/>
    <m/>
    <m/>
    <m/>
    <m/>
    <m/>
    <m/>
    <m/>
    <m/>
    <m/>
    <m/>
    <m/>
    <m/>
    <m/>
    <m/>
  </r>
  <r>
    <x v="3"/>
    <n v="2002"/>
    <n v="6"/>
    <x v="3"/>
    <x v="2"/>
    <x v="0"/>
    <n v="3"/>
    <s v="2002_06_004.gif"/>
    <m/>
    <m/>
    <m/>
    <b v="0"/>
    <n v="0"/>
    <x v="0"/>
    <n v="4"/>
    <s v="Vertical Constant Acceleration Problems"/>
    <n v="4173"/>
    <x v="0"/>
    <m/>
    <m/>
    <m/>
    <m/>
    <m/>
    <m/>
    <m/>
    <m/>
    <m/>
    <m/>
    <n v="1"/>
    <m/>
    <m/>
    <m/>
    <m/>
    <m/>
    <m/>
    <m/>
    <m/>
    <m/>
    <m/>
    <m/>
    <m/>
    <m/>
    <m/>
    <m/>
    <m/>
    <m/>
    <m/>
    <m/>
    <m/>
    <m/>
    <m/>
    <m/>
    <m/>
    <m/>
    <m/>
    <m/>
    <m/>
    <m/>
    <m/>
    <m/>
    <m/>
    <m/>
    <m/>
    <m/>
    <m/>
    <m/>
    <m/>
    <m/>
    <m/>
    <m/>
    <m/>
    <m/>
    <m/>
    <m/>
    <m/>
    <m/>
    <m/>
    <m/>
  </r>
  <r>
    <x v="4"/>
    <n v="2002"/>
    <n v="6"/>
    <x v="4"/>
    <x v="3"/>
    <x v="0"/>
    <n v="2"/>
    <s v="2002_06_005.gif"/>
    <m/>
    <m/>
    <m/>
    <b v="0"/>
    <n v="0"/>
    <x v="0"/>
    <n v="5"/>
    <s v="Horizontal Projectile Range"/>
    <n v="4174"/>
    <x v="0"/>
    <m/>
    <m/>
    <m/>
    <m/>
    <m/>
    <m/>
    <m/>
    <m/>
    <m/>
    <m/>
    <m/>
    <m/>
    <m/>
    <m/>
    <m/>
    <m/>
    <n v="1"/>
    <m/>
    <m/>
    <m/>
    <m/>
    <m/>
    <m/>
    <m/>
    <m/>
    <m/>
    <m/>
    <m/>
    <m/>
    <m/>
    <m/>
    <m/>
    <m/>
    <m/>
    <m/>
    <m/>
    <m/>
    <m/>
    <m/>
    <m/>
    <m/>
    <m/>
    <m/>
    <m/>
    <m/>
    <m/>
    <m/>
    <m/>
    <m/>
    <m/>
    <m/>
    <m/>
    <m/>
    <m/>
    <m/>
    <m/>
    <m/>
    <m/>
    <m/>
    <m/>
  </r>
  <r>
    <x v="5"/>
    <n v="2002"/>
    <n v="6"/>
    <x v="5"/>
    <x v="3"/>
    <x v="1"/>
    <n v="2"/>
    <s v="2002_06_006.gif"/>
    <m/>
    <m/>
    <m/>
    <b v="0"/>
    <n v="0"/>
    <x v="0"/>
    <n v="6"/>
    <s v="Vector Components,Max Height of Projectile"/>
    <n v="4175"/>
    <x v="0"/>
    <m/>
    <m/>
    <m/>
    <m/>
    <m/>
    <m/>
    <m/>
    <m/>
    <m/>
    <m/>
    <m/>
    <m/>
    <n v="1"/>
    <m/>
    <m/>
    <m/>
    <m/>
    <m/>
    <n v="1"/>
    <m/>
    <m/>
    <m/>
    <m/>
    <m/>
    <m/>
    <m/>
    <m/>
    <m/>
    <m/>
    <m/>
    <m/>
    <m/>
    <m/>
    <m/>
    <m/>
    <m/>
    <m/>
    <m/>
    <m/>
    <m/>
    <m/>
    <m/>
    <m/>
    <m/>
    <m/>
    <m/>
    <m/>
    <m/>
    <m/>
    <m/>
    <m/>
    <m/>
    <m/>
    <m/>
    <m/>
    <m/>
    <m/>
    <m/>
    <m/>
    <m/>
  </r>
  <r>
    <x v="6"/>
    <n v="2002"/>
    <n v="6"/>
    <x v="6"/>
    <x v="1"/>
    <x v="0"/>
    <n v="2"/>
    <s v="2002_06_007.gif"/>
    <m/>
    <m/>
    <m/>
    <b v="0"/>
    <n v="0"/>
    <x v="0"/>
    <n v="7"/>
    <s v="Newton's 2nd Law (F=MA),Weight and Mass"/>
    <n v="4176"/>
    <x v="0"/>
    <m/>
    <m/>
    <m/>
    <m/>
    <m/>
    <m/>
    <m/>
    <m/>
    <m/>
    <m/>
    <m/>
    <m/>
    <m/>
    <m/>
    <m/>
    <m/>
    <m/>
    <m/>
    <m/>
    <m/>
    <m/>
    <m/>
    <m/>
    <m/>
    <m/>
    <m/>
    <n v="1"/>
    <n v="1"/>
    <m/>
    <m/>
    <m/>
    <m/>
    <m/>
    <m/>
    <m/>
    <m/>
    <m/>
    <m/>
    <m/>
    <m/>
    <m/>
    <m/>
    <m/>
    <m/>
    <m/>
    <m/>
    <m/>
    <m/>
    <m/>
    <m/>
    <m/>
    <m/>
    <m/>
    <m/>
    <m/>
    <m/>
    <m/>
    <m/>
    <m/>
    <m/>
  </r>
  <r>
    <x v="7"/>
    <n v="2002"/>
    <n v="6"/>
    <x v="7"/>
    <x v="3"/>
    <x v="0"/>
    <n v="1"/>
    <s v="2002_06_008.gif"/>
    <m/>
    <m/>
    <m/>
    <b v="0"/>
    <n v="0"/>
    <x v="0"/>
    <n v="8"/>
    <s v="Centripetal Motion - Direction F,A,V"/>
    <n v="4177"/>
    <x v="0"/>
    <m/>
    <m/>
    <m/>
    <m/>
    <m/>
    <m/>
    <m/>
    <m/>
    <m/>
    <m/>
    <m/>
    <m/>
    <m/>
    <m/>
    <m/>
    <m/>
    <m/>
    <m/>
    <m/>
    <n v="1"/>
    <m/>
    <m/>
    <m/>
    <m/>
    <m/>
    <m/>
    <m/>
    <m/>
    <m/>
    <m/>
    <m/>
    <m/>
    <m/>
    <m/>
    <m/>
    <m/>
    <m/>
    <m/>
    <m/>
    <m/>
    <m/>
    <m/>
    <m/>
    <m/>
    <m/>
    <m/>
    <m/>
    <m/>
    <m/>
    <m/>
    <m/>
    <m/>
    <m/>
    <m/>
    <m/>
    <m/>
    <m/>
    <m/>
    <m/>
    <m/>
  </r>
  <r>
    <x v="8"/>
    <n v="2002"/>
    <n v="6"/>
    <x v="8"/>
    <x v="3"/>
    <x v="0"/>
    <n v="3"/>
    <s v="2002_06_009.gif"/>
    <m/>
    <m/>
    <m/>
    <b v="0"/>
    <n v="0"/>
    <x v="0"/>
    <n v="9"/>
    <s v="Centripetal Motion - Calculation"/>
    <n v="4178"/>
    <x v="0"/>
    <m/>
    <m/>
    <m/>
    <m/>
    <m/>
    <m/>
    <m/>
    <m/>
    <m/>
    <m/>
    <m/>
    <m/>
    <m/>
    <m/>
    <m/>
    <m/>
    <m/>
    <m/>
    <m/>
    <m/>
    <n v="1"/>
    <m/>
    <m/>
    <m/>
    <m/>
    <m/>
    <m/>
    <m/>
    <m/>
    <m/>
    <m/>
    <m/>
    <m/>
    <m/>
    <m/>
    <m/>
    <m/>
    <m/>
    <m/>
    <m/>
    <m/>
    <m/>
    <m/>
    <m/>
    <m/>
    <m/>
    <m/>
    <m/>
    <m/>
    <m/>
    <m/>
    <m/>
    <m/>
    <m/>
    <m/>
    <m/>
    <m/>
    <m/>
    <m/>
    <m/>
  </r>
  <r>
    <x v="9"/>
    <n v="2002"/>
    <n v="6"/>
    <x v="9"/>
    <x v="1"/>
    <x v="0"/>
    <n v="2"/>
    <s v="2002_06_010.gif"/>
    <m/>
    <m/>
    <m/>
    <b v="0"/>
    <n v="0"/>
    <x v="0"/>
    <n v="10"/>
    <s v="Newton's 2nd Law (F=MA)"/>
    <n v="4179"/>
    <x v="0"/>
    <m/>
    <m/>
    <m/>
    <m/>
    <m/>
    <m/>
    <m/>
    <m/>
    <m/>
    <m/>
    <m/>
    <m/>
    <m/>
    <m/>
    <m/>
    <m/>
    <m/>
    <m/>
    <m/>
    <m/>
    <m/>
    <m/>
    <m/>
    <m/>
    <m/>
    <m/>
    <n v="1"/>
    <m/>
    <m/>
    <m/>
    <m/>
    <m/>
    <m/>
    <m/>
    <m/>
    <m/>
    <m/>
    <m/>
    <m/>
    <m/>
    <m/>
    <m/>
    <m/>
    <m/>
    <m/>
    <m/>
    <m/>
    <m/>
    <m/>
    <m/>
    <m/>
    <m/>
    <m/>
    <m/>
    <m/>
    <m/>
    <m/>
    <m/>
    <m/>
    <m/>
  </r>
  <r>
    <x v="10"/>
    <n v="2002"/>
    <n v="6"/>
    <x v="10"/>
    <x v="4"/>
    <x v="0"/>
    <n v="2"/>
    <s v="2002_06_011.gif"/>
    <m/>
    <m/>
    <m/>
    <b v="0"/>
    <n v="0"/>
    <x v="0"/>
    <n v="11"/>
    <s v="Impulse"/>
    <n v="4180"/>
    <x v="0"/>
    <m/>
    <m/>
    <m/>
    <m/>
    <m/>
    <m/>
    <m/>
    <m/>
    <m/>
    <m/>
    <m/>
    <m/>
    <m/>
    <m/>
    <m/>
    <m/>
    <m/>
    <m/>
    <m/>
    <m/>
    <m/>
    <m/>
    <m/>
    <m/>
    <m/>
    <m/>
    <m/>
    <m/>
    <m/>
    <n v="1"/>
    <m/>
    <m/>
    <m/>
    <m/>
    <m/>
    <m/>
    <m/>
    <m/>
    <m/>
    <m/>
    <m/>
    <m/>
    <m/>
    <m/>
    <m/>
    <m/>
    <m/>
    <m/>
    <m/>
    <m/>
    <m/>
    <m/>
    <m/>
    <m/>
    <m/>
    <m/>
    <m/>
    <m/>
    <m/>
    <m/>
  </r>
  <r>
    <x v="11"/>
    <n v="2002"/>
    <n v="6"/>
    <x v="11"/>
    <x v="4"/>
    <x v="0"/>
    <n v="1"/>
    <s v="2002_06_012.gif"/>
    <m/>
    <m/>
    <m/>
    <b v="0"/>
    <n v="0"/>
    <x v="0"/>
    <n v="12"/>
    <s v="Impulse,Newton's 3rd Law (Equal But Opposite)"/>
    <n v="4181"/>
    <x v="0"/>
    <m/>
    <m/>
    <m/>
    <m/>
    <m/>
    <m/>
    <m/>
    <m/>
    <m/>
    <m/>
    <m/>
    <m/>
    <m/>
    <m/>
    <m/>
    <m/>
    <m/>
    <m/>
    <m/>
    <m/>
    <m/>
    <m/>
    <m/>
    <m/>
    <m/>
    <m/>
    <m/>
    <m/>
    <m/>
    <n v="1"/>
    <n v="1"/>
    <m/>
    <m/>
    <m/>
    <m/>
    <m/>
    <m/>
    <m/>
    <m/>
    <m/>
    <m/>
    <m/>
    <m/>
    <m/>
    <m/>
    <m/>
    <m/>
    <m/>
    <m/>
    <m/>
    <m/>
    <m/>
    <m/>
    <m/>
    <m/>
    <m/>
    <m/>
    <m/>
    <m/>
    <m/>
  </r>
  <r>
    <x v="12"/>
    <n v="2002"/>
    <n v="6"/>
    <x v="12"/>
    <x v="4"/>
    <x v="0"/>
    <n v="1"/>
    <s v="2002_06_013.gif"/>
    <m/>
    <m/>
    <m/>
    <b v="0"/>
    <n v="0"/>
    <x v="0"/>
    <n v="13"/>
    <s v="Conservation of Momentum"/>
    <n v="4182"/>
    <x v="0"/>
    <m/>
    <m/>
    <m/>
    <m/>
    <m/>
    <m/>
    <m/>
    <m/>
    <m/>
    <m/>
    <m/>
    <m/>
    <m/>
    <m/>
    <m/>
    <m/>
    <m/>
    <m/>
    <m/>
    <m/>
    <m/>
    <m/>
    <m/>
    <m/>
    <m/>
    <m/>
    <m/>
    <m/>
    <n v="1"/>
    <m/>
    <m/>
    <m/>
    <m/>
    <m/>
    <m/>
    <m/>
    <m/>
    <m/>
    <m/>
    <m/>
    <m/>
    <m/>
    <m/>
    <m/>
    <m/>
    <m/>
    <m/>
    <m/>
    <m/>
    <m/>
    <m/>
    <m/>
    <m/>
    <m/>
    <m/>
    <m/>
    <m/>
    <m/>
    <m/>
    <m/>
  </r>
  <r>
    <x v="13"/>
    <n v="2002"/>
    <n v="6"/>
    <x v="13"/>
    <x v="5"/>
    <x v="0"/>
    <n v="2"/>
    <s v="2002_06_014.gif"/>
    <m/>
    <m/>
    <m/>
    <b v="0"/>
    <n v="0"/>
    <x v="0"/>
    <n v="14"/>
    <s v="Kinetic Energy"/>
    <n v="4183"/>
    <x v="0"/>
    <m/>
    <m/>
    <m/>
    <m/>
    <m/>
    <m/>
    <m/>
    <m/>
    <m/>
    <m/>
    <m/>
    <m/>
    <m/>
    <m/>
    <m/>
    <m/>
    <m/>
    <m/>
    <m/>
    <m/>
    <m/>
    <m/>
    <m/>
    <m/>
    <m/>
    <m/>
    <m/>
    <m/>
    <m/>
    <m/>
    <m/>
    <m/>
    <m/>
    <n v="1"/>
    <m/>
    <m/>
    <m/>
    <m/>
    <m/>
    <m/>
    <m/>
    <m/>
    <m/>
    <m/>
    <m/>
    <m/>
    <m/>
    <m/>
    <m/>
    <m/>
    <m/>
    <m/>
    <m/>
    <m/>
    <m/>
    <m/>
    <m/>
    <m/>
    <m/>
    <m/>
  </r>
  <r>
    <x v="14"/>
    <n v="2002"/>
    <n v="6"/>
    <x v="14"/>
    <x v="5"/>
    <x v="0"/>
    <n v="4"/>
    <s v="2002_06_015.gif"/>
    <m/>
    <m/>
    <m/>
    <b v="0"/>
    <n v="0"/>
    <x v="0"/>
    <n v="15"/>
    <s v="Conservation of Energy"/>
    <n v="4184"/>
    <x v="0"/>
    <m/>
    <m/>
    <m/>
    <m/>
    <m/>
    <m/>
    <m/>
    <m/>
    <m/>
    <m/>
    <m/>
    <m/>
    <m/>
    <m/>
    <m/>
    <m/>
    <m/>
    <m/>
    <m/>
    <m/>
    <m/>
    <m/>
    <m/>
    <m/>
    <m/>
    <m/>
    <m/>
    <m/>
    <m/>
    <m/>
    <m/>
    <n v="1"/>
    <m/>
    <m/>
    <m/>
    <m/>
    <m/>
    <m/>
    <m/>
    <m/>
    <m/>
    <m/>
    <m/>
    <m/>
    <m/>
    <m/>
    <m/>
    <m/>
    <m/>
    <m/>
    <m/>
    <m/>
    <m/>
    <m/>
    <m/>
    <m/>
    <m/>
    <m/>
    <m/>
    <m/>
  </r>
  <r>
    <x v="15"/>
    <n v="2002"/>
    <n v="6"/>
    <x v="15"/>
    <x v="5"/>
    <x v="0"/>
    <n v="4"/>
    <s v="2002_06_016.gif"/>
    <m/>
    <m/>
    <m/>
    <b v="0"/>
    <n v="0"/>
    <x v="0"/>
    <n v="16"/>
    <s v="Work/Power"/>
    <n v="4185"/>
    <x v="0"/>
    <m/>
    <m/>
    <m/>
    <m/>
    <m/>
    <m/>
    <m/>
    <m/>
    <m/>
    <m/>
    <m/>
    <m/>
    <m/>
    <m/>
    <m/>
    <m/>
    <m/>
    <m/>
    <m/>
    <m/>
    <m/>
    <m/>
    <m/>
    <m/>
    <m/>
    <m/>
    <m/>
    <m/>
    <m/>
    <m/>
    <m/>
    <m/>
    <m/>
    <m/>
    <m/>
    <n v="1"/>
    <m/>
    <m/>
    <m/>
    <m/>
    <m/>
    <m/>
    <m/>
    <m/>
    <m/>
    <m/>
    <m/>
    <m/>
    <m/>
    <m/>
    <m/>
    <m/>
    <m/>
    <m/>
    <m/>
    <m/>
    <m/>
    <m/>
    <m/>
    <m/>
  </r>
  <r>
    <x v="16"/>
    <n v="2002"/>
    <n v="6"/>
    <x v="16"/>
    <x v="6"/>
    <x v="0"/>
    <n v="3"/>
    <s v="2002_06_017.gif"/>
    <m/>
    <m/>
    <m/>
    <b v="0"/>
    <n v="0"/>
    <x v="0"/>
    <n v="17"/>
    <s v="Electric Fields and Potential"/>
    <n v="4186"/>
    <x v="0"/>
    <m/>
    <m/>
    <m/>
    <m/>
    <m/>
    <m/>
    <m/>
    <m/>
    <m/>
    <m/>
    <m/>
    <m/>
    <m/>
    <m/>
    <m/>
    <m/>
    <m/>
    <m/>
    <m/>
    <m/>
    <m/>
    <m/>
    <m/>
    <m/>
    <m/>
    <m/>
    <m/>
    <m/>
    <m/>
    <m/>
    <m/>
    <m/>
    <m/>
    <m/>
    <m/>
    <m/>
    <m/>
    <m/>
    <m/>
    <m/>
    <m/>
    <m/>
    <m/>
    <m/>
    <m/>
    <m/>
    <m/>
    <n v="1"/>
    <m/>
    <m/>
    <m/>
    <m/>
    <m/>
    <m/>
    <m/>
    <m/>
    <m/>
    <m/>
    <m/>
    <m/>
  </r>
  <r>
    <x v="17"/>
    <n v="2002"/>
    <n v="6"/>
    <x v="17"/>
    <x v="6"/>
    <x v="0"/>
    <n v="3"/>
    <s v="2002_06_018.gif"/>
    <m/>
    <m/>
    <m/>
    <b v="0"/>
    <n v="0"/>
    <x v="0"/>
    <n v="18"/>
    <s v="Conservation of Charge,Induction, Conduction, Polarization"/>
    <n v="4187"/>
    <x v="0"/>
    <m/>
    <m/>
    <m/>
    <m/>
    <m/>
    <m/>
    <m/>
    <m/>
    <m/>
    <m/>
    <m/>
    <m/>
    <m/>
    <m/>
    <m/>
    <m/>
    <m/>
    <m/>
    <m/>
    <m/>
    <m/>
    <m/>
    <m/>
    <m/>
    <m/>
    <m/>
    <m/>
    <m/>
    <m/>
    <m/>
    <m/>
    <m/>
    <m/>
    <m/>
    <m/>
    <m/>
    <m/>
    <m/>
    <m/>
    <m/>
    <m/>
    <m/>
    <m/>
    <m/>
    <n v="1"/>
    <m/>
    <n v="1"/>
    <m/>
    <m/>
    <m/>
    <m/>
    <m/>
    <m/>
    <m/>
    <m/>
    <m/>
    <m/>
    <m/>
    <m/>
    <m/>
  </r>
  <r>
    <x v="18"/>
    <n v="2002"/>
    <n v="6"/>
    <x v="18"/>
    <x v="7"/>
    <x v="0"/>
    <n v="2"/>
    <s v="2002_06_019.gif"/>
    <m/>
    <m/>
    <m/>
    <b v="0"/>
    <n v="0"/>
    <x v="0"/>
    <n v="19"/>
    <s v="V=FxLamda"/>
    <n v="4188"/>
    <x v="0"/>
    <m/>
    <m/>
    <m/>
    <m/>
    <m/>
    <m/>
    <m/>
    <m/>
    <m/>
    <m/>
    <m/>
    <m/>
    <m/>
    <m/>
    <m/>
    <m/>
    <m/>
    <m/>
    <m/>
    <m/>
    <m/>
    <m/>
    <m/>
    <m/>
    <m/>
    <m/>
    <m/>
    <m/>
    <m/>
    <m/>
    <m/>
    <m/>
    <m/>
    <m/>
    <m/>
    <m/>
    <m/>
    <m/>
    <n v="1"/>
    <m/>
    <m/>
    <m/>
    <m/>
    <m/>
    <m/>
    <m/>
    <m/>
    <m/>
    <m/>
    <m/>
    <m/>
    <m/>
    <m/>
    <m/>
    <m/>
    <m/>
    <m/>
    <m/>
    <m/>
    <m/>
  </r>
  <r>
    <x v="19"/>
    <n v="2002"/>
    <n v="6"/>
    <x v="19"/>
    <x v="5"/>
    <x v="0"/>
    <n v="1"/>
    <s v="2002_06_020.gif"/>
    <m/>
    <m/>
    <m/>
    <b v="0"/>
    <n v="0"/>
    <x v="0"/>
    <n v="20"/>
    <s v="Conservation of Energy,Gravitational PE"/>
    <n v="4189"/>
    <x v="0"/>
    <m/>
    <m/>
    <m/>
    <m/>
    <m/>
    <m/>
    <m/>
    <m/>
    <m/>
    <m/>
    <m/>
    <m/>
    <m/>
    <m/>
    <m/>
    <m/>
    <m/>
    <m/>
    <m/>
    <m/>
    <m/>
    <m/>
    <m/>
    <m/>
    <m/>
    <m/>
    <m/>
    <m/>
    <m/>
    <m/>
    <m/>
    <n v="1"/>
    <n v="1"/>
    <m/>
    <m/>
    <m/>
    <m/>
    <m/>
    <m/>
    <m/>
    <m/>
    <m/>
    <m/>
    <m/>
    <m/>
    <m/>
    <m/>
    <m/>
    <m/>
    <m/>
    <m/>
    <m/>
    <m/>
    <m/>
    <m/>
    <m/>
    <m/>
    <m/>
    <m/>
    <m/>
  </r>
  <r>
    <x v="20"/>
    <n v="2002"/>
    <n v="6"/>
    <x v="20"/>
    <x v="8"/>
    <x v="0"/>
    <n v="1"/>
    <s v="2002_06_021.gif"/>
    <m/>
    <m/>
    <m/>
    <b v="0"/>
    <n v="0"/>
    <x v="0"/>
    <n v="21"/>
    <s v="Ohm's Law,Resistance of Wire"/>
    <n v="4190"/>
    <x v="0"/>
    <m/>
    <m/>
    <m/>
    <m/>
    <m/>
    <m/>
    <m/>
    <m/>
    <m/>
    <m/>
    <m/>
    <m/>
    <m/>
    <m/>
    <m/>
    <m/>
    <m/>
    <m/>
    <m/>
    <m/>
    <m/>
    <m/>
    <m/>
    <m/>
    <m/>
    <m/>
    <m/>
    <m/>
    <m/>
    <m/>
    <m/>
    <m/>
    <m/>
    <m/>
    <m/>
    <m/>
    <m/>
    <m/>
    <m/>
    <m/>
    <m/>
    <m/>
    <m/>
    <m/>
    <m/>
    <m/>
    <m/>
    <m/>
    <m/>
    <m/>
    <n v="1"/>
    <n v="1"/>
    <m/>
    <m/>
    <m/>
    <m/>
    <m/>
    <m/>
    <m/>
    <m/>
  </r>
  <r>
    <x v="21"/>
    <n v="2002"/>
    <n v="6"/>
    <x v="21"/>
    <x v="8"/>
    <x v="0"/>
    <n v="3"/>
    <s v="2002_06_022.gif"/>
    <m/>
    <m/>
    <m/>
    <b v="0"/>
    <n v="0"/>
    <x v="0"/>
    <n v="22"/>
    <s v="Electrical Definitions"/>
    <n v="4191"/>
    <x v="0"/>
    <m/>
    <m/>
    <m/>
    <m/>
    <m/>
    <m/>
    <m/>
    <m/>
    <m/>
    <m/>
    <m/>
    <m/>
    <m/>
    <m/>
    <m/>
    <m/>
    <m/>
    <m/>
    <m/>
    <m/>
    <m/>
    <m/>
    <m/>
    <m/>
    <m/>
    <m/>
    <m/>
    <m/>
    <m/>
    <m/>
    <m/>
    <m/>
    <m/>
    <m/>
    <m/>
    <m/>
    <m/>
    <m/>
    <m/>
    <m/>
    <m/>
    <m/>
    <m/>
    <m/>
    <m/>
    <m/>
    <m/>
    <m/>
    <n v="1"/>
    <m/>
    <m/>
    <m/>
    <m/>
    <m/>
    <m/>
    <m/>
    <m/>
    <m/>
    <m/>
    <m/>
  </r>
  <r>
    <x v="22"/>
    <n v="2002"/>
    <n v="6"/>
    <x v="22"/>
    <x v="8"/>
    <x v="0"/>
    <n v="3"/>
    <s v="2002_06_023.gif"/>
    <m/>
    <m/>
    <m/>
    <b v="0"/>
    <n v="0"/>
    <x v="0"/>
    <n v="23"/>
    <s v="Series and Parallel"/>
    <n v="4192"/>
    <x v="0"/>
    <m/>
    <m/>
    <m/>
    <m/>
    <m/>
    <m/>
    <m/>
    <m/>
    <m/>
    <m/>
    <m/>
    <m/>
    <m/>
    <m/>
    <m/>
    <m/>
    <m/>
    <m/>
    <m/>
    <m/>
    <m/>
    <m/>
    <m/>
    <m/>
    <m/>
    <m/>
    <m/>
    <m/>
    <m/>
    <m/>
    <m/>
    <m/>
    <m/>
    <m/>
    <m/>
    <m/>
    <m/>
    <m/>
    <m/>
    <m/>
    <m/>
    <m/>
    <m/>
    <m/>
    <m/>
    <m/>
    <m/>
    <m/>
    <m/>
    <m/>
    <m/>
    <m/>
    <n v="1"/>
    <m/>
    <m/>
    <m/>
    <m/>
    <m/>
    <m/>
    <m/>
  </r>
  <r>
    <x v="23"/>
    <n v="2002"/>
    <n v="6"/>
    <x v="23"/>
    <x v="8"/>
    <x v="0"/>
    <n v="4"/>
    <s v="2002_06_024.gif"/>
    <m/>
    <m/>
    <m/>
    <b v="0"/>
    <n v="0"/>
    <x v="0"/>
    <n v="24"/>
    <s v="Electrical Power"/>
    <n v="4193"/>
    <x v="0"/>
    <m/>
    <m/>
    <m/>
    <m/>
    <m/>
    <m/>
    <m/>
    <m/>
    <m/>
    <m/>
    <m/>
    <m/>
    <m/>
    <m/>
    <m/>
    <m/>
    <m/>
    <m/>
    <m/>
    <m/>
    <m/>
    <m/>
    <m/>
    <m/>
    <m/>
    <m/>
    <m/>
    <m/>
    <m/>
    <m/>
    <m/>
    <m/>
    <m/>
    <m/>
    <m/>
    <m/>
    <m/>
    <m/>
    <m/>
    <m/>
    <m/>
    <m/>
    <m/>
    <m/>
    <m/>
    <m/>
    <m/>
    <m/>
    <m/>
    <n v="1"/>
    <m/>
    <m/>
    <m/>
    <m/>
    <m/>
    <m/>
    <m/>
    <m/>
    <m/>
    <m/>
  </r>
  <r>
    <x v="24"/>
    <n v="2002"/>
    <n v="6"/>
    <x v="24"/>
    <x v="6"/>
    <x v="2"/>
    <n v="4"/>
    <s v="2002_06_025.gif"/>
    <m/>
    <m/>
    <m/>
    <b v="0"/>
    <n v="0"/>
    <x v="0"/>
    <n v="25"/>
    <s v="Coulomb's Law,Mathematical Relationships (Numberless Problems)"/>
    <n v="4194"/>
    <x v="0"/>
    <m/>
    <m/>
    <m/>
    <m/>
    <m/>
    <m/>
    <m/>
    <m/>
    <m/>
    <m/>
    <m/>
    <m/>
    <m/>
    <m/>
    <m/>
    <m/>
    <m/>
    <m/>
    <m/>
    <m/>
    <m/>
    <m/>
    <m/>
    <m/>
    <m/>
    <m/>
    <m/>
    <m/>
    <m/>
    <m/>
    <m/>
    <m/>
    <m/>
    <m/>
    <m/>
    <m/>
    <m/>
    <m/>
    <m/>
    <m/>
    <m/>
    <m/>
    <m/>
    <m/>
    <m/>
    <n v="1"/>
    <m/>
    <m/>
    <m/>
    <m/>
    <m/>
    <m/>
    <m/>
    <m/>
    <m/>
    <m/>
    <m/>
    <m/>
    <n v="1"/>
    <m/>
  </r>
  <r>
    <x v="25"/>
    <n v="2002"/>
    <n v="6"/>
    <x v="25"/>
    <x v="7"/>
    <x v="0"/>
    <n v="4"/>
    <s v="2002_06_026.gif"/>
    <m/>
    <m/>
    <m/>
    <b v="0"/>
    <n v="0"/>
    <x v="0"/>
    <n v="26"/>
    <s v="Wave Vocabulary"/>
    <n v="4195"/>
    <x v="0"/>
    <m/>
    <m/>
    <m/>
    <m/>
    <m/>
    <m/>
    <m/>
    <m/>
    <m/>
    <m/>
    <m/>
    <m/>
    <m/>
    <m/>
    <m/>
    <m/>
    <m/>
    <m/>
    <m/>
    <m/>
    <m/>
    <m/>
    <m/>
    <m/>
    <m/>
    <m/>
    <m/>
    <m/>
    <m/>
    <m/>
    <m/>
    <m/>
    <m/>
    <m/>
    <m/>
    <m/>
    <m/>
    <m/>
    <m/>
    <n v="1"/>
    <m/>
    <m/>
    <m/>
    <m/>
    <m/>
    <m/>
    <m/>
    <m/>
    <m/>
    <m/>
    <m/>
    <m/>
    <m/>
    <m/>
    <m/>
    <m/>
    <m/>
    <m/>
    <m/>
    <m/>
  </r>
  <r>
    <x v="26"/>
    <n v="2002"/>
    <n v="6"/>
    <x v="26"/>
    <x v="9"/>
    <x v="0"/>
    <n v="1"/>
    <s v="2002_06_027.gif"/>
    <m/>
    <m/>
    <m/>
    <b v="0"/>
    <n v="0"/>
    <x v="0"/>
    <n v="27"/>
    <s v="Refraction and Snell's Law"/>
    <n v="4196"/>
    <x v="0"/>
    <m/>
    <m/>
    <m/>
    <m/>
    <m/>
    <m/>
    <m/>
    <m/>
    <m/>
    <m/>
    <m/>
    <m/>
    <m/>
    <m/>
    <m/>
    <m/>
    <m/>
    <m/>
    <m/>
    <m/>
    <m/>
    <m/>
    <m/>
    <m/>
    <m/>
    <m/>
    <m/>
    <m/>
    <m/>
    <m/>
    <m/>
    <m/>
    <m/>
    <m/>
    <m/>
    <m/>
    <m/>
    <m/>
    <m/>
    <m/>
    <m/>
    <m/>
    <m/>
    <n v="1"/>
    <m/>
    <m/>
    <m/>
    <m/>
    <m/>
    <m/>
    <m/>
    <m/>
    <m/>
    <m/>
    <m/>
    <m/>
    <m/>
    <m/>
    <m/>
    <m/>
  </r>
  <r>
    <x v="27"/>
    <n v="2002"/>
    <n v="6"/>
    <x v="27"/>
    <x v="7"/>
    <x v="0"/>
    <n v="4"/>
    <s v="2002_06_028.gif"/>
    <m/>
    <m/>
    <m/>
    <b v="0"/>
    <n v="0"/>
    <x v="0"/>
    <n v="28"/>
    <s v="Wave Vocabulary"/>
    <n v="4197"/>
    <x v="0"/>
    <m/>
    <m/>
    <m/>
    <m/>
    <m/>
    <m/>
    <m/>
    <m/>
    <m/>
    <m/>
    <m/>
    <m/>
    <m/>
    <m/>
    <m/>
    <m/>
    <m/>
    <m/>
    <m/>
    <m/>
    <m/>
    <m/>
    <m/>
    <m/>
    <m/>
    <m/>
    <m/>
    <m/>
    <m/>
    <m/>
    <m/>
    <m/>
    <m/>
    <m/>
    <m/>
    <m/>
    <m/>
    <m/>
    <m/>
    <n v="1"/>
    <m/>
    <m/>
    <m/>
    <m/>
    <m/>
    <m/>
    <m/>
    <m/>
    <m/>
    <m/>
    <m/>
    <m/>
    <m/>
    <m/>
    <m/>
    <m/>
    <m/>
    <m/>
    <m/>
    <m/>
  </r>
  <r>
    <x v="28"/>
    <n v="2002"/>
    <n v="6"/>
    <x v="28"/>
    <x v="9"/>
    <x v="0"/>
    <n v="1"/>
    <s v="2002_06_029.gif"/>
    <m/>
    <m/>
    <m/>
    <b v="0"/>
    <n v="0"/>
    <x v="0"/>
    <n v="29"/>
    <s v="Doppler Effect"/>
    <n v="4198"/>
    <x v="0"/>
    <m/>
    <m/>
    <m/>
    <m/>
    <m/>
    <m/>
    <m/>
    <m/>
    <m/>
    <m/>
    <m/>
    <m/>
    <m/>
    <m/>
    <m/>
    <m/>
    <m/>
    <m/>
    <m/>
    <m/>
    <m/>
    <m/>
    <m/>
    <m/>
    <m/>
    <m/>
    <m/>
    <m/>
    <m/>
    <m/>
    <m/>
    <m/>
    <m/>
    <m/>
    <m/>
    <m/>
    <m/>
    <m/>
    <m/>
    <m/>
    <m/>
    <n v="1"/>
    <m/>
    <m/>
    <m/>
    <m/>
    <m/>
    <m/>
    <m/>
    <m/>
    <m/>
    <m/>
    <m/>
    <m/>
    <m/>
    <m/>
    <m/>
    <m/>
    <m/>
    <m/>
  </r>
  <r>
    <x v="29"/>
    <n v="2002"/>
    <n v="6"/>
    <x v="29"/>
    <x v="6"/>
    <x v="0"/>
    <n v="2"/>
    <s v="2002_06_030.gif"/>
    <m/>
    <m/>
    <m/>
    <b v="0"/>
    <n v="0"/>
    <x v="0"/>
    <n v="30"/>
    <s v="Conservation of Charge"/>
    <n v="4199"/>
    <x v="0"/>
    <m/>
    <m/>
    <m/>
    <m/>
    <m/>
    <m/>
    <m/>
    <m/>
    <m/>
    <m/>
    <m/>
    <m/>
    <m/>
    <m/>
    <m/>
    <m/>
    <m/>
    <m/>
    <m/>
    <m/>
    <m/>
    <m/>
    <m/>
    <m/>
    <m/>
    <m/>
    <m/>
    <m/>
    <m/>
    <m/>
    <m/>
    <m/>
    <m/>
    <m/>
    <m/>
    <m/>
    <m/>
    <m/>
    <m/>
    <m/>
    <m/>
    <m/>
    <m/>
    <m/>
    <n v="1"/>
    <m/>
    <m/>
    <m/>
    <m/>
    <m/>
    <m/>
    <m/>
    <m/>
    <m/>
    <m/>
    <m/>
    <m/>
    <m/>
    <m/>
    <m/>
  </r>
  <r>
    <x v="30"/>
    <n v="2002"/>
    <n v="6"/>
    <x v="30"/>
    <x v="10"/>
    <x v="0"/>
    <n v="3"/>
    <s v="2002_06_031.gif"/>
    <m/>
    <m/>
    <m/>
    <b v="0"/>
    <n v="0"/>
    <x v="0"/>
    <n v="31"/>
    <s v="Energy/Frequency of Photon"/>
    <n v="4200"/>
    <x v="0"/>
    <m/>
    <m/>
    <m/>
    <m/>
    <m/>
    <m/>
    <m/>
    <m/>
    <m/>
    <m/>
    <m/>
    <m/>
    <m/>
    <m/>
    <m/>
    <m/>
    <m/>
    <m/>
    <m/>
    <m/>
    <m/>
    <m/>
    <m/>
    <m/>
    <m/>
    <m/>
    <m/>
    <m/>
    <m/>
    <m/>
    <m/>
    <m/>
    <m/>
    <m/>
    <m/>
    <m/>
    <m/>
    <m/>
    <m/>
    <m/>
    <m/>
    <m/>
    <m/>
    <m/>
    <m/>
    <m/>
    <m/>
    <m/>
    <m/>
    <m/>
    <m/>
    <m/>
    <m/>
    <m/>
    <n v="1"/>
    <m/>
    <m/>
    <m/>
    <m/>
    <m/>
  </r>
  <r>
    <x v="31"/>
    <n v="2002"/>
    <n v="6"/>
    <x v="31"/>
    <x v="8"/>
    <x v="0"/>
    <n v="4"/>
    <s v="2002_06_032.gif"/>
    <m/>
    <m/>
    <m/>
    <b v="0"/>
    <n v="0"/>
    <x v="0"/>
    <n v="32"/>
    <s v="Electrical Power"/>
    <n v="4201"/>
    <x v="0"/>
    <m/>
    <m/>
    <m/>
    <m/>
    <m/>
    <m/>
    <m/>
    <m/>
    <m/>
    <m/>
    <m/>
    <m/>
    <m/>
    <m/>
    <m/>
    <m/>
    <m/>
    <m/>
    <m/>
    <m/>
    <m/>
    <m/>
    <m/>
    <m/>
    <m/>
    <m/>
    <m/>
    <m/>
    <m/>
    <m/>
    <m/>
    <m/>
    <m/>
    <m/>
    <m/>
    <m/>
    <m/>
    <m/>
    <m/>
    <m/>
    <m/>
    <m/>
    <m/>
    <m/>
    <m/>
    <m/>
    <m/>
    <m/>
    <m/>
    <n v="1"/>
    <m/>
    <m/>
    <m/>
    <m/>
    <m/>
    <m/>
    <m/>
    <m/>
    <m/>
    <m/>
  </r>
  <r>
    <x v="32"/>
    <n v="2002"/>
    <n v="6"/>
    <x v="32"/>
    <x v="5"/>
    <x v="0"/>
    <n v="4"/>
    <s v="2002_06_033.gif"/>
    <m/>
    <m/>
    <m/>
    <b v="0"/>
    <n v="0"/>
    <x v="0"/>
    <n v="33"/>
    <s v="PE of Spring"/>
    <n v="4202"/>
    <x v="0"/>
    <m/>
    <m/>
    <m/>
    <m/>
    <m/>
    <m/>
    <m/>
    <m/>
    <m/>
    <m/>
    <m/>
    <m/>
    <m/>
    <m/>
    <m/>
    <m/>
    <m/>
    <m/>
    <m/>
    <m/>
    <m/>
    <m/>
    <m/>
    <m/>
    <m/>
    <m/>
    <m/>
    <m/>
    <m/>
    <m/>
    <m/>
    <m/>
    <m/>
    <m/>
    <n v="1"/>
    <m/>
    <m/>
    <m/>
    <m/>
    <m/>
    <m/>
    <m/>
    <m/>
    <m/>
    <m/>
    <m/>
    <m/>
    <m/>
    <m/>
    <m/>
    <m/>
    <m/>
    <m/>
    <m/>
    <m/>
    <m/>
    <m/>
    <m/>
    <m/>
    <m/>
  </r>
  <r>
    <x v="33"/>
    <n v="2002"/>
    <n v="6"/>
    <x v="33"/>
    <x v="8"/>
    <x v="0"/>
    <n v="1"/>
    <s v="2002_06_034.gif"/>
    <m/>
    <m/>
    <m/>
    <b v="0"/>
    <n v="0"/>
    <x v="0"/>
    <n v="34"/>
    <s v="Ohm's Law"/>
    <n v="4203"/>
    <x v="0"/>
    <m/>
    <m/>
    <m/>
    <m/>
    <m/>
    <m/>
    <m/>
    <m/>
    <m/>
    <m/>
    <m/>
    <m/>
    <m/>
    <m/>
    <m/>
    <m/>
    <m/>
    <m/>
    <m/>
    <m/>
    <m/>
    <m/>
    <m/>
    <m/>
    <m/>
    <m/>
    <m/>
    <m/>
    <m/>
    <m/>
    <m/>
    <m/>
    <m/>
    <m/>
    <m/>
    <m/>
    <m/>
    <m/>
    <m/>
    <m/>
    <m/>
    <m/>
    <m/>
    <m/>
    <m/>
    <m/>
    <m/>
    <m/>
    <m/>
    <m/>
    <n v="1"/>
    <m/>
    <m/>
    <m/>
    <m/>
    <m/>
    <m/>
    <m/>
    <m/>
    <m/>
  </r>
  <r>
    <x v="34"/>
    <n v="2002"/>
    <n v="6"/>
    <x v="34"/>
    <x v="9"/>
    <x v="0"/>
    <n v="1"/>
    <s v="2002_06_035.gif"/>
    <m/>
    <m/>
    <m/>
    <b v="0"/>
    <n v="0"/>
    <x v="0"/>
    <n v="35"/>
    <s v="Diffraction"/>
    <n v="4204"/>
    <x v="0"/>
    <m/>
    <m/>
    <m/>
    <m/>
    <m/>
    <m/>
    <m/>
    <m/>
    <m/>
    <m/>
    <m/>
    <m/>
    <m/>
    <m/>
    <m/>
    <m/>
    <m/>
    <m/>
    <m/>
    <m/>
    <m/>
    <m/>
    <m/>
    <m/>
    <m/>
    <m/>
    <m/>
    <m/>
    <m/>
    <m/>
    <m/>
    <m/>
    <m/>
    <m/>
    <m/>
    <m/>
    <m/>
    <m/>
    <m/>
    <m/>
    <n v="1"/>
    <m/>
    <m/>
    <m/>
    <m/>
    <m/>
    <m/>
    <m/>
    <m/>
    <m/>
    <m/>
    <m/>
    <m/>
    <m/>
    <m/>
    <m/>
    <m/>
    <m/>
    <m/>
    <m/>
  </r>
  <r>
    <x v="35"/>
    <n v="2002"/>
    <n v="6"/>
    <x v="35"/>
    <x v="2"/>
    <x v="0"/>
    <n v="2"/>
    <s v="2002_06_036.gif"/>
    <m/>
    <m/>
    <m/>
    <b v="0"/>
    <n v="0"/>
    <x v="1"/>
    <n v="36"/>
    <s v="DT/VT Graphs"/>
    <n v="4205"/>
    <x v="0"/>
    <m/>
    <m/>
    <m/>
    <m/>
    <n v="1"/>
    <m/>
    <m/>
    <m/>
    <m/>
    <m/>
    <m/>
    <m/>
    <m/>
    <m/>
    <m/>
    <m/>
    <m/>
    <m/>
    <m/>
    <m/>
    <m/>
    <m/>
    <m/>
    <m/>
    <m/>
    <m/>
    <m/>
    <m/>
    <m/>
    <m/>
    <m/>
    <m/>
    <m/>
    <m/>
    <m/>
    <m/>
    <m/>
    <m/>
    <m/>
    <m/>
    <m/>
    <m/>
    <m/>
    <m/>
    <m/>
    <m/>
    <m/>
    <m/>
    <m/>
    <m/>
    <m/>
    <m/>
    <m/>
    <m/>
    <m/>
    <m/>
    <m/>
    <m/>
    <m/>
    <m/>
  </r>
  <r>
    <x v="36"/>
    <n v="2002"/>
    <n v="6"/>
    <x v="36"/>
    <x v="7"/>
    <x v="0"/>
    <n v="2"/>
    <s v="2002_06_037.gif"/>
    <m/>
    <m/>
    <m/>
    <b v="0"/>
    <n v="0"/>
    <x v="1"/>
    <n v="37"/>
    <s v="Superposition and Standing Waves"/>
    <n v="4206"/>
    <x v="0"/>
    <m/>
    <m/>
    <m/>
    <m/>
    <m/>
    <m/>
    <m/>
    <m/>
    <m/>
    <m/>
    <m/>
    <m/>
    <m/>
    <m/>
    <m/>
    <m/>
    <m/>
    <m/>
    <m/>
    <m/>
    <m/>
    <m/>
    <m/>
    <m/>
    <m/>
    <m/>
    <m/>
    <m/>
    <m/>
    <m/>
    <m/>
    <m/>
    <m/>
    <m/>
    <m/>
    <m/>
    <m/>
    <n v="1"/>
    <m/>
    <m/>
    <m/>
    <m/>
    <m/>
    <m/>
    <m/>
    <m/>
    <m/>
    <m/>
    <m/>
    <m/>
    <m/>
    <m/>
    <m/>
    <m/>
    <m/>
    <m/>
    <m/>
    <m/>
    <m/>
    <m/>
  </r>
  <r>
    <x v="37"/>
    <n v="2002"/>
    <n v="6"/>
    <x v="37"/>
    <x v="8"/>
    <x v="0"/>
    <n v="3"/>
    <s v="2002_06_038.gif"/>
    <m/>
    <m/>
    <m/>
    <b v="0"/>
    <n v="0"/>
    <x v="1"/>
    <n v="38"/>
    <s v="Series and Parallel"/>
    <n v="4207"/>
    <x v="0"/>
    <m/>
    <m/>
    <m/>
    <m/>
    <m/>
    <m/>
    <m/>
    <m/>
    <m/>
    <m/>
    <m/>
    <m/>
    <m/>
    <m/>
    <m/>
    <m/>
    <m/>
    <m/>
    <m/>
    <m/>
    <m/>
    <m/>
    <m/>
    <m/>
    <m/>
    <m/>
    <m/>
    <m/>
    <m/>
    <m/>
    <m/>
    <m/>
    <m/>
    <m/>
    <m/>
    <m/>
    <m/>
    <m/>
    <m/>
    <m/>
    <m/>
    <m/>
    <m/>
    <m/>
    <m/>
    <m/>
    <m/>
    <m/>
    <m/>
    <m/>
    <m/>
    <m/>
    <n v="1"/>
    <m/>
    <m/>
    <m/>
    <m/>
    <m/>
    <m/>
    <m/>
  </r>
  <r>
    <x v="38"/>
    <n v="2002"/>
    <n v="6"/>
    <x v="38"/>
    <x v="11"/>
    <x v="0"/>
    <n v="1"/>
    <s v="2002_06_039.gif"/>
    <m/>
    <m/>
    <m/>
    <b v="0"/>
    <n v="0"/>
    <x v="1"/>
    <n v="39"/>
    <s v="Estimation"/>
    <n v="4208"/>
    <x v="0"/>
    <m/>
    <m/>
    <n v="1"/>
    <m/>
    <m/>
    <m/>
    <m/>
    <m/>
    <m/>
    <m/>
    <m/>
    <m/>
    <m/>
    <m/>
    <m/>
    <m/>
    <m/>
    <m/>
    <m/>
    <m/>
    <m/>
    <m/>
    <m/>
    <m/>
    <m/>
    <m/>
    <m/>
    <m/>
    <m/>
    <m/>
    <m/>
    <m/>
    <m/>
    <m/>
    <m/>
    <m/>
    <m/>
    <m/>
    <m/>
    <m/>
    <m/>
    <m/>
    <m/>
    <m/>
    <m/>
    <m/>
    <m/>
    <m/>
    <m/>
    <m/>
    <m/>
    <m/>
    <m/>
    <m/>
    <m/>
    <m/>
    <m/>
    <m/>
    <m/>
    <m/>
  </r>
  <r>
    <x v="39"/>
    <n v="2002"/>
    <n v="6"/>
    <x v="39"/>
    <x v="10"/>
    <x v="0"/>
    <n v="3"/>
    <s v="2002_06_040.gif"/>
    <m/>
    <m/>
    <m/>
    <b v="0"/>
    <n v="0"/>
    <x v="1"/>
    <n v="40"/>
    <s v="Energy/Frequency of Photon"/>
    <n v="4209"/>
    <x v="0"/>
    <m/>
    <m/>
    <m/>
    <m/>
    <m/>
    <m/>
    <m/>
    <m/>
    <m/>
    <m/>
    <m/>
    <m/>
    <m/>
    <m/>
    <m/>
    <m/>
    <m/>
    <m/>
    <m/>
    <m/>
    <m/>
    <m/>
    <m/>
    <m/>
    <m/>
    <m/>
    <m/>
    <m/>
    <m/>
    <m/>
    <m/>
    <m/>
    <m/>
    <m/>
    <m/>
    <m/>
    <m/>
    <m/>
    <m/>
    <m/>
    <m/>
    <m/>
    <m/>
    <m/>
    <m/>
    <m/>
    <m/>
    <m/>
    <m/>
    <m/>
    <m/>
    <m/>
    <m/>
    <m/>
    <n v="1"/>
    <m/>
    <m/>
    <m/>
    <m/>
    <m/>
  </r>
  <r>
    <x v="40"/>
    <n v="2002"/>
    <n v="6"/>
    <x v="40"/>
    <x v="8"/>
    <x v="2"/>
    <n v="2"/>
    <s v="2002_06_041.gif"/>
    <m/>
    <m/>
    <m/>
    <b v="0"/>
    <n v="0"/>
    <x v="1"/>
    <n v="41"/>
    <s v="Electrical Power,Graph Interpretation,Mathematical Relationships (Numberless Problems)"/>
    <n v="4210"/>
    <x v="0"/>
    <m/>
    <m/>
    <m/>
    <m/>
    <m/>
    <m/>
    <m/>
    <m/>
    <m/>
    <m/>
    <m/>
    <m/>
    <m/>
    <m/>
    <m/>
    <m/>
    <m/>
    <m/>
    <m/>
    <m/>
    <m/>
    <m/>
    <m/>
    <m/>
    <m/>
    <m/>
    <m/>
    <m/>
    <m/>
    <m/>
    <m/>
    <m/>
    <m/>
    <m/>
    <m/>
    <m/>
    <m/>
    <m/>
    <m/>
    <m/>
    <m/>
    <m/>
    <m/>
    <m/>
    <m/>
    <m/>
    <m/>
    <m/>
    <m/>
    <n v="1"/>
    <m/>
    <m/>
    <m/>
    <m/>
    <m/>
    <m/>
    <m/>
    <n v="1"/>
    <n v="1"/>
    <m/>
  </r>
  <r>
    <x v="41"/>
    <n v="2002"/>
    <n v="6"/>
    <x v="41"/>
    <x v="5"/>
    <x v="2"/>
    <n v="4"/>
    <s v="2002_06_042.gif"/>
    <m/>
    <m/>
    <m/>
    <b v="0"/>
    <n v="0"/>
    <x v="1"/>
    <n v="42"/>
    <s v="PE of Spring,Graph Interpretation"/>
    <n v="4211"/>
    <x v="0"/>
    <m/>
    <m/>
    <m/>
    <m/>
    <m/>
    <m/>
    <m/>
    <m/>
    <m/>
    <m/>
    <m/>
    <m/>
    <m/>
    <m/>
    <m/>
    <m/>
    <m/>
    <m/>
    <m/>
    <m/>
    <m/>
    <m/>
    <m/>
    <m/>
    <m/>
    <m/>
    <m/>
    <m/>
    <m/>
    <m/>
    <m/>
    <m/>
    <m/>
    <m/>
    <n v="1"/>
    <m/>
    <m/>
    <m/>
    <m/>
    <m/>
    <m/>
    <m/>
    <m/>
    <m/>
    <m/>
    <m/>
    <m/>
    <m/>
    <m/>
    <m/>
    <m/>
    <m/>
    <m/>
    <m/>
    <m/>
    <m/>
    <m/>
    <n v="1"/>
    <m/>
    <m/>
  </r>
  <r>
    <x v="42"/>
    <n v="2002"/>
    <n v="6"/>
    <x v="42"/>
    <x v="5"/>
    <x v="2"/>
    <n v="1"/>
    <s v="2002_06_043.gif"/>
    <m/>
    <m/>
    <m/>
    <b v="0"/>
    <n v="0"/>
    <x v="1"/>
    <n v="43"/>
    <s v="Gravitational PE,Graph Interpretation"/>
    <n v="4212"/>
    <x v="0"/>
    <m/>
    <m/>
    <m/>
    <m/>
    <m/>
    <m/>
    <m/>
    <m/>
    <m/>
    <m/>
    <m/>
    <m/>
    <m/>
    <m/>
    <m/>
    <m/>
    <m/>
    <m/>
    <m/>
    <m/>
    <m/>
    <m/>
    <m/>
    <m/>
    <m/>
    <m/>
    <m/>
    <m/>
    <m/>
    <m/>
    <m/>
    <m/>
    <n v="1"/>
    <m/>
    <m/>
    <m/>
    <m/>
    <m/>
    <m/>
    <m/>
    <m/>
    <m/>
    <m/>
    <m/>
    <m/>
    <m/>
    <m/>
    <m/>
    <m/>
    <m/>
    <m/>
    <m/>
    <m/>
    <m/>
    <m/>
    <m/>
    <m/>
    <n v="1"/>
    <m/>
    <m/>
  </r>
  <r>
    <x v="43"/>
    <n v="2002"/>
    <n v="6"/>
    <x v="43"/>
    <x v="0"/>
    <x v="0"/>
    <n v="4"/>
    <s v="2002_06_044.gif"/>
    <m/>
    <m/>
    <m/>
    <b v="0"/>
    <n v="0"/>
    <x v="1"/>
    <n v="44"/>
    <s v="Adding Vectors"/>
    <n v="4213"/>
    <x v="0"/>
    <m/>
    <m/>
    <m/>
    <m/>
    <m/>
    <m/>
    <m/>
    <m/>
    <m/>
    <m/>
    <m/>
    <n v="1"/>
    <m/>
    <m/>
    <m/>
    <m/>
    <m/>
    <m/>
    <m/>
    <m/>
    <m/>
    <m/>
    <m/>
    <m/>
    <m/>
    <m/>
    <m/>
    <m/>
    <m/>
    <m/>
    <m/>
    <m/>
    <m/>
    <m/>
    <m/>
    <m/>
    <m/>
    <m/>
    <m/>
    <m/>
    <m/>
    <m/>
    <m/>
    <m/>
    <m/>
    <m/>
    <m/>
    <m/>
    <m/>
    <m/>
    <m/>
    <m/>
    <m/>
    <m/>
    <m/>
    <m/>
    <m/>
    <m/>
    <m/>
    <m/>
  </r>
  <r>
    <x v="44"/>
    <n v="2002"/>
    <n v="6"/>
    <x v="44"/>
    <x v="9"/>
    <x v="0"/>
    <n v="1"/>
    <s v="2002_06_045.gif"/>
    <m/>
    <m/>
    <m/>
    <b v="0"/>
    <n v="0"/>
    <x v="1"/>
    <n v="45"/>
    <s v="Refraction and Snell's Law"/>
    <n v="4214"/>
    <x v="0"/>
    <m/>
    <m/>
    <m/>
    <m/>
    <m/>
    <m/>
    <m/>
    <m/>
    <m/>
    <m/>
    <m/>
    <m/>
    <m/>
    <m/>
    <m/>
    <m/>
    <m/>
    <m/>
    <m/>
    <m/>
    <m/>
    <m/>
    <m/>
    <m/>
    <m/>
    <m/>
    <m/>
    <m/>
    <m/>
    <m/>
    <m/>
    <m/>
    <m/>
    <m/>
    <m/>
    <m/>
    <m/>
    <m/>
    <m/>
    <m/>
    <m/>
    <m/>
    <m/>
    <n v="1"/>
    <m/>
    <m/>
    <m/>
    <m/>
    <m/>
    <m/>
    <m/>
    <m/>
    <m/>
    <m/>
    <m/>
    <m/>
    <m/>
    <m/>
    <m/>
    <m/>
  </r>
  <r>
    <x v="45"/>
    <n v="2002"/>
    <n v="8"/>
    <x v="0"/>
    <x v="1"/>
    <x v="0"/>
    <n v="4"/>
    <s v="2002_08_001.gif"/>
    <m/>
    <m/>
    <m/>
    <b v="0"/>
    <n v="0"/>
    <x v="0"/>
    <n v="46"/>
    <s v="Newton's 2nd Law (F=MA)"/>
    <n v="4239"/>
    <x v="1"/>
    <m/>
    <m/>
    <m/>
    <m/>
    <m/>
    <m/>
    <m/>
    <m/>
    <m/>
    <m/>
    <m/>
    <m/>
    <m/>
    <m/>
    <m/>
    <m/>
    <m/>
    <m/>
    <m/>
    <m/>
    <m/>
    <m/>
    <m/>
    <m/>
    <m/>
    <m/>
    <n v="1"/>
    <m/>
    <m/>
    <m/>
    <m/>
    <m/>
    <m/>
    <m/>
    <m/>
    <m/>
    <m/>
    <m/>
    <m/>
    <m/>
    <m/>
    <m/>
    <m/>
    <m/>
    <m/>
    <m/>
    <m/>
    <m/>
    <m/>
    <m/>
    <m/>
    <m/>
    <m/>
    <m/>
    <m/>
    <m/>
    <m/>
    <m/>
    <m/>
    <m/>
  </r>
  <r>
    <x v="46"/>
    <n v="2002"/>
    <n v="8"/>
    <x v="1"/>
    <x v="2"/>
    <x v="0"/>
    <n v="2"/>
    <s v="2002_08_002.gif"/>
    <m/>
    <m/>
    <m/>
    <b v="0"/>
    <n v="0"/>
    <x v="0"/>
    <n v="47"/>
    <s v="Horizontal Constant Acceleration Problems"/>
    <n v="4240"/>
    <x v="1"/>
    <m/>
    <m/>
    <m/>
    <m/>
    <m/>
    <m/>
    <m/>
    <m/>
    <m/>
    <n v="1"/>
    <m/>
    <m/>
    <m/>
    <m/>
    <m/>
    <m/>
    <m/>
    <m/>
    <m/>
    <m/>
    <m/>
    <m/>
    <m/>
    <m/>
    <m/>
    <m/>
    <m/>
    <m/>
    <m/>
    <m/>
    <m/>
    <m/>
    <m/>
    <m/>
    <m/>
    <m/>
    <m/>
    <m/>
    <m/>
    <m/>
    <m/>
    <m/>
    <m/>
    <m/>
    <m/>
    <m/>
    <m/>
    <m/>
    <m/>
    <m/>
    <m/>
    <m/>
    <m/>
    <m/>
    <m/>
    <m/>
    <m/>
    <m/>
    <m/>
    <m/>
  </r>
  <r>
    <x v="47"/>
    <n v="2002"/>
    <n v="8"/>
    <x v="2"/>
    <x v="2"/>
    <x v="0"/>
    <n v="3"/>
    <s v="2002_08_003.gif"/>
    <m/>
    <m/>
    <m/>
    <b v="0"/>
    <n v="0"/>
    <x v="0"/>
    <n v="48"/>
    <s v="Horizontal Constant Acceleration Problems"/>
    <n v="4241"/>
    <x v="1"/>
    <m/>
    <m/>
    <m/>
    <m/>
    <m/>
    <m/>
    <m/>
    <m/>
    <m/>
    <n v="1"/>
    <m/>
    <m/>
    <m/>
    <m/>
    <m/>
    <m/>
    <m/>
    <m/>
    <m/>
    <m/>
    <m/>
    <m/>
    <m/>
    <m/>
    <m/>
    <m/>
    <m/>
    <m/>
    <m/>
    <m/>
    <m/>
    <m/>
    <m/>
    <m/>
    <m/>
    <m/>
    <m/>
    <m/>
    <m/>
    <m/>
    <m/>
    <m/>
    <m/>
    <m/>
    <m/>
    <m/>
    <m/>
    <m/>
    <m/>
    <m/>
    <m/>
    <m/>
    <m/>
    <m/>
    <m/>
    <m/>
    <m/>
    <m/>
    <m/>
    <m/>
  </r>
  <r>
    <x v="48"/>
    <n v="2002"/>
    <n v="8"/>
    <x v="3"/>
    <x v="3"/>
    <x v="0"/>
    <n v="4"/>
    <s v="2002_08_004.gif"/>
    <m/>
    <m/>
    <m/>
    <b v="0"/>
    <n v="0"/>
    <x v="0"/>
    <n v="49"/>
    <s v="Centripetal Motion - Calculation"/>
    <n v="4242"/>
    <x v="1"/>
    <m/>
    <m/>
    <m/>
    <m/>
    <m/>
    <m/>
    <m/>
    <m/>
    <m/>
    <m/>
    <m/>
    <m/>
    <m/>
    <m/>
    <m/>
    <m/>
    <m/>
    <m/>
    <m/>
    <m/>
    <n v="1"/>
    <m/>
    <m/>
    <m/>
    <m/>
    <m/>
    <m/>
    <m/>
    <m/>
    <m/>
    <m/>
    <m/>
    <m/>
    <m/>
    <m/>
    <m/>
    <m/>
    <m/>
    <m/>
    <m/>
    <m/>
    <m/>
    <m/>
    <m/>
    <m/>
    <m/>
    <m/>
    <m/>
    <m/>
    <m/>
    <m/>
    <m/>
    <m/>
    <m/>
    <m/>
    <m/>
    <m/>
    <m/>
    <m/>
    <m/>
  </r>
  <r>
    <x v="49"/>
    <n v="2002"/>
    <n v="8"/>
    <x v="4"/>
    <x v="1"/>
    <x v="0"/>
    <n v="3"/>
    <s v="2002_08_005.gif"/>
    <m/>
    <m/>
    <m/>
    <b v="0"/>
    <n v="0"/>
    <x v="0"/>
    <n v="50"/>
    <s v="Inclined Plane"/>
    <n v="4243"/>
    <x v="1"/>
    <m/>
    <m/>
    <m/>
    <m/>
    <m/>
    <m/>
    <m/>
    <m/>
    <m/>
    <m/>
    <m/>
    <m/>
    <m/>
    <m/>
    <m/>
    <m/>
    <m/>
    <m/>
    <m/>
    <m/>
    <m/>
    <m/>
    <n v="1"/>
    <m/>
    <m/>
    <m/>
    <m/>
    <m/>
    <m/>
    <m/>
    <m/>
    <m/>
    <m/>
    <m/>
    <m/>
    <m/>
    <m/>
    <m/>
    <m/>
    <m/>
    <m/>
    <m/>
    <m/>
    <m/>
    <m/>
    <m/>
    <m/>
    <m/>
    <m/>
    <m/>
    <m/>
    <m/>
    <m/>
    <m/>
    <m/>
    <m/>
    <m/>
    <m/>
    <m/>
    <m/>
  </r>
  <r>
    <x v="50"/>
    <n v="2002"/>
    <n v="8"/>
    <x v="5"/>
    <x v="1"/>
    <x v="2"/>
    <n v="3"/>
    <s v="2002_08_006.gif"/>
    <m/>
    <m/>
    <m/>
    <b v="0"/>
    <n v="0"/>
    <x v="0"/>
    <n v="51"/>
    <s v="Law of Gravity,Mathematical Relationships (Numberless Problems)"/>
    <n v="4244"/>
    <x v="1"/>
    <m/>
    <m/>
    <m/>
    <m/>
    <m/>
    <m/>
    <m/>
    <m/>
    <m/>
    <m/>
    <m/>
    <m/>
    <m/>
    <m/>
    <m/>
    <m/>
    <m/>
    <m/>
    <m/>
    <m/>
    <m/>
    <m/>
    <m/>
    <m/>
    <n v="1"/>
    <m/>
    <m/>
    <m/>
    <m/>
    <m/>
    <m/>
    <m/>
    <m/>
    <m/>
    <m/>
    <m/>
    <m/>
    <m/>
    <m/>
    <m/>
    <m/>
    <m/>
    <m/>
    <m/>
    <m/>
    <m/>
    <m/>
    <m/>
    <m/>
    <m/>
    <m/>
    <m/>
    <m/>
    <m/>
    <m/>
    <m/>
    <m/>
    <m/>
    <n v="1"/>
    <m/>
  </r>
  <r>
    <x v="51"/>
    <n v="2002"/>
    <n v="8"/>
    <x v="6"/>
    <x v="0"/>
    <x v="0"/>
    <n v="1"/>
    <s v="2002_08_007.gif"/>
    <m/>
    <m/>
    <m/>
    <b v="0"/>
    <n v="0"/>
    <x v="0"/>
    <n v="52"/>
    <s v="Vector vs. Scalar"/>
    <n v="4245"/>
    <x v="1"/>
    <m/>
    <m/>
    <m/>
    <m/>
    <m/>
    <m/>
    <m/>
    <m/>
    <m/>
    <m/>
    <m/>
    <m/>
    <m/>
    <n v="1"/>
    <m/>
    <m/>
    <m/>
    <m/>
    <m/>
    <m/>
    <m/>
    <m/>
    <m/>
    <m/>
    <m/>
    <m/>
    <m/>
    <m/>
    <m/>
    <m/>
    <m/>
    <m/>
    <m/>
    <m/>
    <m/>
    <m/>
    <m/>
    <m/>
    <m/>
    <m/>
    <m/>
    <m/>
    <m/>
    <m/>
    <m/>
    <m/>
    <m/>
    <m/>
    <m/>
    <m/>
    <m/>
    <m/>
    <m/>
    <m/>
    <m/>
    <m/>
    <m/>
    <m/>
    <m/>
    <m/>
  </r>
  <r>
    <x v="52"/>
    <n v="2002"/>
    <n v="8"/>
    <x v="7"/>
    <x v="5"/>
    <x v="0"/>
    <n v="1"/>
    <s v="2002_08_008.gif"/>
    <m/>
    <m/>
    <m/>
    <b v="0"/>
    <n v="0"/>
    <x v="0"/>
    <n v="53"/>
    <s v="Conservation of Energy,Gravitational PE,Work/Power"/>
    <n v="4246"/>
    <x v="1"/>
    <m/>
    <m/>
    <m/>
    <m/>
    <m/>
    <m/>
    <m/>
    <m/>
    <m/>
    <m/>
    <m/>
    <m/>
    <m/>
    <m/>
    <m/>
    <m/>
    <m/>
    <m/>
    <m/>
    <m/>
    <m/>
    <m/>
    <m/>
    <m/>
    <m/>
    <m/>
    <m/>
    <m/>
    <m/>
    <m/>
    <m/>
    <n v="1"/>
    <n v="1"/>
    <m/>
    <m/>
    <n v="1"/>
    <m/>
    <m/>
    <m/>
    <m/>
    <m/>
    <m/>
    <m/>
    <m/>
    <m/>
    <m/>
    <m/>
    <m/>
    <m/>
    <m/>
    <m/>
    <m/>
    <m/>
    <m/>
    <m/>
    <m/>
    <m/>
    <m/>
    <m/>
    <m/>
  </r>
  <r>
    <x v="53"/>
    <n v="2002"/>
    <n v="8"/>
    <x v="8"/>
    <x v="5"/>
    <x v="2"/>
    <n v="1"/>
    <s v="2002_08_009.gif"/>
    <m/>
    <m/>
    <m/>
    <b v="0"/>
    <n v="0"/>
    <x v="0"/>
    <n v="54"/>
    <s v="Kinetic Energy,Mathematical Relationships (Numberless Problems)"/>
    <n v="4247"/>
    <x v="1"/>
    <m/>
    <m/>
    <m/>
    <m/>
    <m/>
    <m/>
    <m/>
    <m/>
    <m/>
    <m/>
    <m/>
    <m/>
    <m/>
    <m/>
    <m/>
    <m/>
    <m/>
    <m/>
    <m/>
    <m/>
    <m/>
    <m/>
    <m/>
    <m/>
    <m/>
    <m/>
    <m/>
    <m/>
    <m/>
    <m/>
    <m/>
    <m/>
    <m/>
    <n v="1"/>
    <m/>
    <m/>
    <m/>
    <m/>
    <m/>
    <m/>
    <m/>
    <m/>
    <m/>
    <m/>
    <m/>
    <m/>
    <m/>
    <m/>
    <m/>
    <m/>
    <m/>
    <m/>
    <m/>
    <m/>
    <m/>
    <m/>
    <m/>
    <m/>
    <n v="1"/>
    <m/>
  </r>
  <r>
    <x v="54"/>
    <n v="2002"/>
    <n v="8"/>
    <x v="9"/>
    <x v="5"/>
    <x v="0"/>
    <n v="2"/>
    <s v="2002_08_010.gif"/>
    <m/>
    <m/>
    <m/>
    <b v="0"/>
    <n v="0"/>
    <x v="0"/>
    <n v="55"/>
    <s v="PE of Spring"/>
    <n v="4248"/>
    <x v="1"/>
    <m/>
    <m/>
    <m/>
    <m/>
    <m/>
    <m/>
    <m/>
    <m/>
    <m/>
    <m/>
    <m/>
    <m/>
    <m/>
    <m/>
    <m/>
    <m/>
    <m/>
    <m/>
    <m/>
    <m/>
    <m/>
    <m/>
    <m/>
    <m/>
    <m/>
    <m/>
    <m/>
    <m/>
    <m/>
    <m/>
    <m/>
    <m/>
    <m/>
    <m/>
    <n v="1"/>
    <m/>
    <m/>
    <m/>
    <m/>
    <m/>
    <m/>
    <m/>
    <m/>
    <m/>
    <m/>
    <m/>
    <m/>
    <m/>
    <m/>
    <m/>
    <m/>
    <m/>
    <m/>
    <m/>
    <m/>
    <m/>
    <m/>
    <m/>
    <m/>
    <m/>
  </r>
  <r>
    <x v="55"/>
    <n v="2002"/>
    <n v="8"/>
    <x v="10"/>
    <x v="6"/>
    <x v="0"/>
    <n v="2"/>
    <s v="2002_08_011.gif"/>
    <m/>
    <m/>
    <m/>
    <b v="0"/>
    <n v="0"/>
    <x v="0"/>
    <n v="56"/>
    <s v="Induction, Conduction, Polarization"/>
    <n v="4249"/>
    <x v="1"/>
    <m/>
    <m/>
    <m/>
    <m/>
    <m/>
    <m/>
    <m/>
    <m/>
    <m/>
    <m/>
    <m/>
    <m/>
    <m/>
    <m/>
    <m/>
    <m/>
    <m/>
    <m/>
    <m/>
    <m/>
    <m/>
    <m/>
    <m/>
    <m/>
    <m/>
    <m/>
    <m/>
    <m/>
    <m/>
    <m/>
    <m/>
    <m/>
    <m/>
    <m/>
    <m/>
    <m/>
    <m/>
    <m/>
    <m/>
    <m/>
    <m/>
    <m/>
    <m/>
    <m/>
    <m/>
    <m/>
    <n v="1"/>
    <m/>
    <m/>
    <m/>
    <m/>
    <m/>
    <m/>
    <m/>
    <m/>
    <m/>
    <m/>
    <m/>
    <m/>
    <m/>
  </r>
  <r>
    <x v="56"/>
    <n v="2002"/>
    <n v="8"/>
    <x v="11"/>
    <x v="5"/>
    <x v="0"/>
    <n v="1"/>
    <s v="2002_08_012.gif"/>
    <m/>
    <m/>
    <m/>
    <b v="0"/>
    <n v="0"/>
    <x v="0"/>
    <n v="57"/>
    <s v="PE of Spring"/>
    <n v="4250"/>
    <x v="1"/>
    <m/>
    <m/>
    <m/>
    <m/>
    <m/>
    <m/>
    <m/>
    <m/>
    <m/>
    <m/>
    <m/>
    <m/>
    <m/>
    <m/>
    <m/>
    <m/>
    <m/>
    <m/>
    <m/>
    <m/>
    <m/>
    <m/>
    <m/>
    <m/>
    <m/>
    <m/>
    <m/>
    <m/>
    <m/>
    <m/>
    <m/>
    <m/>
    <m/>
    <m/>
    <n v="1"/>
    <m/>
    <m/>
    <m/>
    <m/>
    <m/>
    <m/>
    <m/>
    <m/>
    <m/>
    <m/>
    <m/>
    <m/>
    <m/>
    <m/>
    <m/>
    <m/>
    <m/>
    <m/>
    <m/>
    <m/>
    <m/>
    <m/>
    <m/>
    <m/>
    <m/>
  </r>
  <r>
    <x v="57"/>
    <n v="2002"/>
    <n v="8"/>
    <x v="12"/>
    <x v="8"/>
    <x v="0"/>
    <n v="2"/>
    <s v="2002_08_013.gif"/>
    <m/>
    <m/>
    <m/>
    <b v="0"/>
    <n v="0"/>
    <x v="0"/>
    <n v="58"/>
    <s v="Ohm's Law"/>
    <n v="4251"/>
    <x v="1"/>
    <m/>
    <m/>
    <m/>
    <m/>
    <m/>
    <m/>
    <m/>
    <m/>
    <m/>
    <m/>
    <m/>
    <m/>
    <m/>
    <m/>
    <m/>
    <m/>
    <m/>
    <m/>
    <m/>
    <m/>
    <m/>
    <m/>
    <m/>
    <m/>
    <m/>
    <m/>
    <m/>
    <m/>
    <m/>
    <m/>
    <m/>
    <m/>
    <m/>
    <m/>
    <m/>
    <m/>
    <m/>
    <m/>
    <m/>
    <m/>
    <m/>
    <m/>
    <m/>
    <m/>
    <m/>
    <m/>
    <m/>
    <m/>
    <m/>
    <m/>
    <n v="1"/>
    <m/>
    <m/>
    <m/>
    <m/>
    <m/>
    <m/>
    <m/>
    <m/>
    <m/>
  </r>
  <r>
    <x v="58"/>
    <n v="2002"/>
    <n v="8"/>
    <x v="13"/>
    <x v="8"/>
    <x v="0"/>
    <n v="4"/>
    <s v="2002_08_014.gif"/>
    <m/>
    <m/>
    <m/>
    <b v="0"/>
    <n v="0"/>
    <x v="0"/>
    <n v="59"/>
    <s v="Series and Parallel"/>
    <n v="4252"/>
    <x v="1"/>
    <m/>
    <m/>
    <m/>
    <m/>
    <m/>
    <m/>
    <m/>
    <m/>
    <m/>
    <m/>
    <m/>
    <m/>
    <m/>
    <m/>
    <m/>
    <m/>
    <m/>
    <m/>
    <m/>
    <m/>
    <m/>
    <m/>
    <m/>
    <m/>
    <m/>
    <m/>
    <m/>
    <m/>
    <m/>
    <m/>
    <m/>
    <m/>
    <m/>
    <m/>
    <m/>
    <m/>
    <m/>
    <m/>
    <m/>
    <m/>
    <m/>
    <m/>
    <m/>
    <m/>
    <m/>
    <m/>
    <m/>
    <m/>
    <m/>
    <m/>
    <m/>
    <m/>
    <n v="1"/>
    <m/>
    <m/>
    <m/>
    <m/>
    <m/>
    <m/>
    <m/>
  </r>
  <r>
    <x v="59"/>
    <n v="2002"/>
    <n v="8"/>
    <x v="14"/>
    <x v="7"/>
    <x v="0"/>
    <n v="1"/>
    <s v="2002_08_015.gif"/>
    <m/>
    <m/>
    <m/>
    <b v="0"/>
    <n v="0"/>
    <x v="0"/>
    <n v="60"/>
    <s v="Wave Vocabulary"/>
    <n v="4253"/>
    <x v="1"/>
    <m/>
    <m/>
    <m/>
    <m/>
    <m/>
    <m/>
    <m/>
    <m/>
    <m/>
    <m/>
    <m/>
    <m/>
    <m/>
    <m/>
    <m/>
    <m/>
    <m/>
    <m/>
    <m/>
    <m/>
    <m/>
    <m/>
    <m/>
    <m/>
    <m/>
    <m/>
    <m/>
    <m/>
    <m/>
    <m/>
    <m/>
    <m/>
    <m/>
    <m/>
    <m/>
    <m/>
    <m/>
    <m/>
    <m/>
    <n v="1"/>
    <m/>
    <m/>
    <m/>
    <m/>
    <m/>
    <m/>
    <m/>
    <m/>
    <m/>
    <m/>
    <m/>
    <m/>
    <m/>
    <m/>
    <m/>
    <m/>
    <m/>
    <m/>
    <m/>
    <m/>
  </r>
  <r>
    <x v="60"/>
    <n v="2002"/>
    <n v="8"/>
    <x v="15"/>
    <x v="7"/>
    <x v="0"/>
    <n v="4"/>
    <s v="2002_08_016.gif"/>
    <m/>
    <m/>
    <m/>
    <b v="0"/>
    <n v="0"/>
    <x v="0"/>
    <n v="61"/>
    <s v="Wave Vocabulary"/>
    <n v="4254"/>
    <x v="1"/>
    <m/>
    <m/>
    <m/>
    <m/>
    <m/>
    <m/>
    <m/>
    <m/>
    <m/>
    <m/>
    <m/>
    <m/>
    <m/>
    <m/>
    <m/>
    <m/>
    <m/>
    <m/>
    <m/>
    <m/>
    <m/>
    <m/>
    <m/>
    <m/>
    <m/>
    <m/>
    <m/>
    <m/>
    <m/>
    <m/>
    <m/>
    <m/>
    <m/>
    <m/>
    <m/>
    <m/>
    <m/>
    <m/>
    <m/>
    <n v="1"/>
    <m/>
    <m/>
    <m/>
    <m/>
    <m/>
    <m/>
    <m/>
    <m/>
    <m/>
    <m/>
    <m/>
    <m/>
    <m/>
    <m/>
    <m/>
    <m/>
    <m/>
    <m/>
    <m/>
    <m/>
  </r>
  <r>
    <x v="61"/>
    <n v="2002"/>
    <n v="8"/>
    <x v="16"/>
    <x v="7"/>
    <x v="0"/>
    <n v="2"/>
    <s v="2002_08_017.gif"/>
    <m/>
    <m/>
    <m/>
    <b v="0"/>
    <n v="0"/>
    <x v="0"/>
    <n v="62"/>
    <s v="Wave Vocabulary"/>
    <n v="4255"/>
    <x v="1"/>
    <m/>
    <m/>
    <m/>
    <m/>
    <m/>
    <m/>
    <m/>
    <m/>
    <m/>
    <m/>
    <m/>
    <m/>
    <m/>
    <m/>
    <m/>
    <m/>
    <m/>
    <m/>
    <m/>
    <m/>
    <m/>
    <m/>
    <m/>
    <m/>
    <m/>
    <m/>
    <m/>
    <m/>
    <m/>
    <m/>
    <m/>
    <m/>
    <m/>
    <m/>
    <m/>
    <m/>
    <m/>
    <m/>
    <m/>
    <n v="1"/>
    <m/>
    <m/>
    <m/>
    <m/>
    <m/>
    <m/>
    <m/>
    <m/>
    <m/>
    <m/>
    <m/>
    <m/>
    <m/>
    <m/>
    <m/>
    <m/>
    <m/>
    <m/>
    <m/>
    <m/>
  </r>
  <r>
    <x v="62"/>
    <n v="2002"/>
    <n v="8"/>
    <x v="17"/>
    <x v="9"/>
    <x v="0"/>
    <n v="3"/>
    <s v="2002_08_018.gif"/>
    <m/>
    <m/>
    <m/>
    <b v="0"/>
    <n v="0"/>
    <x v="0"/>
    <n v="63"/>
    <s v="Light and Sound"/>
    <n v="4256"/>
    <x v="1"/>
    <m/>
    <m/>
    <m/>
    <m/>
    <m/>
    <m/>
    <m/>
    <m/>
    <m/>
    <m/>
    <m/>
    <m/>
    <m/>
    <m/>
    <m/>
    <m/>
    <m/>
    <m/>
    <m/>
    <m/>
    <m/>
    <m/>
    <m/>
    <m/>
    <m/>
    <m/>
    <m/>
    <m/>
    <m/>
    <m/>
    <m/>
    <m/>
    <m/>
    <m/>
    <m/>
    <m/>
    <m/>
    <m/>
    <m/>
    <m/>
    <m/>
    <m/>
    <n v="1"/>
    <m/>
    <m/>
    <m/>
    <m/>
    <m/>
    <m/>
    <m/>
    <m/>
    <m/>
    <m/>
    <m/>
    <m/>
    <m/>
    <m/>
    <m/>
    <m/>
    <m/>
  </r>
  <r>
    <x v="63"/>
    <n v="2002"/>
    <n v="8"/>
    <x v="18"/>
    <x v="9"/>
    <x v="0"/>
    <n v="3"/>
    <s v="2002_08_019.gif"/>
    <m/>
    <m/>
    <m/>
    <b v="0"/>
    <n v="0"/>
    <x v="0"/>
    <n v="64"/>
    <s v="Diffraction"/>
    <n v="4257"/>
    <x v="1"/>
    <m/>
    <m/>
    <m/>
    <m/>
    <m/>
    <m/>
    <m/>
    <m/>
    <m/>
    <m/>
    <m/>
    <m/>
    <m/>
    <m/>
    <m/>
    <m/>
    <m/>
    <m/>
    <m/>
    <m/>
    <m/>
    <m/>
    <m/>
    <m/>
    <m/>
    <m/>
    <m/>
    <m/>
    <m/>
    <m/>
    <m/>
    <m/>
    <m/>
    <m/>
    <m/>
    <m/>
    <m/>
    <m/>
    <m/>
    <m/>
    <n v="1"/>
    <m/>
    <m/>
    <m/>
    <m/>
    <m/>
    <m/>
    <m/>
    <m/>
    <m/>
    <m/>
    <m/>
    <m/>
    <m/>
    <m/>
    <m/>
    <m/>
    <m/>
    <m/>
    <m/>
  </r>
  <r>
    <x v="64"/>
    <n v="2002"/>
    <n v="8"/>
    <x v="19"/>
    <x v="7"/>
    <x v="0"/>
    <n v="2"/>
    <s v="2002_08_020.gif"/>
    <m/>
    <m/>
    <m/>
    <b v="0"/>
    <n v="0"/>
    <x v="0"/>
    <n v="65"/>
    <s v="Superposition and Standing Waves"/>
    <n v="4258"/>
    <x v="1"/>
    <m/>
    <m/>
    <m/>
    <m/>
    <m/>
    <m/>
    <m/>
    <m/>
    <m/>
    <m/>
    <m/>
    <m/>
    <m/>
    <m/>
    <m/>
    <m/>
    <m/>
    <m/>
    <m/>
    <m/>
    <m/>
    <m/>
    <m/>
    <m/>
    <m/>
    <m/>
    <m/>
    <m/>
    <m/>
    <m/>
    <m/>
    <m/>
    <m/>
    <m/>
    <m/>
    <m/>
    <m/>
    <n v="1"/>
    <m/>
    <m/>
    <m/>
    <m/>
    <m/>
    <m/>
    <m/>
    <m/>
    <m/>
    <m/>
    <m/>
    <m/>
    <m/>
    <m/>
    <m/>
    <m/>
    <m/>
    <m/>
    <m/>
    <m/>
    <m/>
    <m/>
  </r>
  <r>
    <x v="65"/>
    <n v="2002"/>
    <n v="8"/>
    <x v="20"/>
    <x v="6"/>
    <x v="0"/>
    <n v="3"/>
    <s v="2002_08_021.gif"/>
    <m/>
    <m/>
    <m/>
    <b v="0"/>
    <n v="0"/>
    <x v="0"/>
    <n v="66"/>
    <s v="Electric Fields and Potential"/>
    <n v="4259"/>
    <x v="1"/>
    <m/>
    <m/>
    <m/>
    <m/>
    <m/>
    <m/>
    <m/>
    <m/>
    <m/>
    <m/>
    <m/>
    <m/>
    <m/>
    <m/>
    <m/>
    <m/>
    <m/>
    <m/>
    <m/>
    <m/>
    <m/>
    <m/>
    <m/>
    <m/>
    <m/>
    <m/>
    <m/>
    <m/>
    <m/>
    <m/>
    <m/>
    <m/>
    <m/>
    <m/>
    <m/>
    <m/>
    <m/>
    <m/>
    <m/>
    <m/>
    <m/>
    <m/>
    <m/>
    <m/>
    <m/>
    <m/>
    <m/>
    <n v="1"/>
    <m/>
    <m/>
    <m/>
    <m/>
    <m/>
    <m/>
    <m/>
    <m/>
    <m/>
    <m/>
    <m/>
    <m/>
  </r>
  <r>
    <x v="66"/>
    <n v="2002"/>
    <n v="8"/>
    <x v="21"/>
    <x v="6"/>
    <x v="0"/>
    <n v="2"/>
    <s v="2002_08_022.gif"/>
    <m/>
    <m/>
    <m/>
    <b v="0"/>
    <n v="0"/>
    <x v="0"/>
    <n v="67"/>
    <s v="Conservation of Charge"/>
    <n v="4260"/>
    <x v="1"/>
    <m/>
    <m/>
    <m/>
    <m/>
    <m/>
    <m/>
    <m/>
    <m/>
    <m/>
    <m/>
    <m/>
    <m/>
    <m/>
    <m/>
    <m/>
    <m/>
    <m/>
    <m/>
    <m/>
    <m/>
    <m/>
    <m/>
    <m/>
    <m/>
    <m/>
    <m/>
    <m/>
    <m/>
    <m/>
    <m/>
    <m/>
    <m/>
    <m/>
    <m/>
    <m/>
    <m/>
    <m/>
    <m/>
    <m/>
    <m/>
    <m/>
    <m/>
    <m/>
    <m/>
    <n v="1"/>
    <m/>
    <m/>
    <m/>
    <m/>
    <m/>
    <m/>
    <m/>
    <m/>
    <m/>
    <m/>
    <m/>
    <m/>
    <m/>
    <m/>
    <m/>
  </r>
  <r>
    <x v="67"/>
    <n v="2002"/>
    <n v="8"/>
    <x v="22"/>
    <x v="10"/>
    <x v="0"/>
    <n v="3"/>
    <s v="2002_08_023.gif"/>
    <m/>
    <m/>
    <m/>
    <b v="0"/>
    <n v="0"/>
    <x v="0"/>
    <n v="68"/>
    <s v="Energy/Frequency of Photon"/>
    <n v="4261"/>
    <x v="1"/>
    <m/>
    <m/>
    <m/>
    <m/>
    <m/>
    <m/>
    <m/>
    <m/>
    <m/>
    <m/>
    <m/>
    <m/>
    <m/>
    <m/>
    <m/>
    <m/>
    <m/>
    <m/>
    <m/>
    <m/>
    <m/>
    <m/>
    <m/>
    <m/>
    <m/>
    <m/>
    <m/>
    <m/>
    <m/>
    <m/>
    <m/>
    <m/>
    <m/>
    <m/>
    <m/>
    <m/>
    <m/>
    <m/>
    <m/>
    <m/>
    <m/>
    <m/>
    <m/>
    <m/>
    <m/>
    <m/>
    <m/>
    <m/>
    <m/>
    <m/>
    <m/>
    <m/>
    <m/>
    <m/>
    <n v="1"/>
    <m/>
    <m/>
    <m/>
    <m/>
    <m/>
  </r>
  <r>
    <x v="68"/>
    <n v="2002"/>
    <n v="8"/>
    <x v="23"/>
    <x v="10"/>
    <x v="0"/>
    <n v="1"/>
    <s v="2002_08_024.gif"/>
    <m/>
    <m/>
    <m/>
    <b v="0"/>
    <n v="0"/>
    <x v="0"/>
    <n v="69"/>
    <s v="Particle Physics"/>
    <n v="4262"/>
    <x v="1"/>
    <m/>
    <m/>
    <m/>
    <m/>
    <m/>
    <m/>
    <m/>
    <m/>
    <m/>
    <m/>
    <m/>
    <m/>
    <m/>
    <m/>
    <m/>
    <m/>
    <m/>
    <m/>
    <m/>
    <m/>
    <m/>
    <m/>
    <m/>
    <m/>
    <m/>
    <m/>
    <m/>
    <m/>
    <m/>
    <m/>
    <m/>
    <m/>
    <m/>
    <m/>
    <m/>
    <m/>
    <m/>
    <m/>
    <m/>
    <m/>
    <m/>
    <m/>
    <m/>
    <m/>
    <m/>
    <m/>
    <m/>
    <m/>
    <m/>
    <m/>
    <m/>
    <m/>
    <m/>
    <m/>
    <m/>
    <m/>
    <n v="1"/>
    <m/>
    <m/>
    <m/>
  </r>
  <r>
    <x v="69"/>
    <n v="2002"/>
    <n v="8"/>
    <x v="24"/>
    <x v="11"/>
    <x v="3"/>
    <n v="4"/>
    <s v="2002_08_025.gif"/>
    <m/>
    <m/>
    <m/>
    <b v="0"/>
    <n v="0"/>
    <x v="0"/>
    <n v="70"/>
    <s v="Units,Impulse"/>
    <n v="4263"/>
    <x v="1"/>
    <m/>
    <m/>
    <m/>
    <n v="1"/>
    <m/>
    <m/>
    <m/>
    <m/>
    <m/>
    <m/>
    <m/>
    <m/>
    <m/>
    <m/>
    <m/>
    <m/>
    <m/>
    <m/>
    <m/>
    <m/>
    <m/>
    <m/>
    <m/>
    <m/>
    <m/>
    <m/>
    <m/>
    <m/>
    <m/>
    <n v="1"/>
    <m/>
    <m/>
    <m/>
    <m/>
    <m/>
    <m/>
    <m/>
    <m/>
    <m/>
    <m/>
    <m/>
    <m/>
    <m/>
    <m/>
    <m/>
    <m/>
    <m/>
    <m/>
    <m/>
    <m/>
    <m/>
    <m/>
    <m/>
    <m/>
    <m/>
    <m/>
    <m/>
    <m/>
    <m/>
    <m/>
  </r>
  <r>
    <x v="70"/>
    <n v="2002"/>
    <n v="8"/>
    <x v="25"/>
    <x v="1"/>
    <x v="0"/>
    <n v="3"/>
    <s v="2002_08_026.gif"/>
    <m/>
    <m/>
    <m/>
    <b v="0"/>
    <n v="0"/>
    <x v="0"/>
    <n v="71"/>
    <s v="Law of Gravity"/>
    <n v="4264"/>
    <x v="1"/>
    <m/>
    <m/>
    <m/>
    <m/>
    <m/>
    <m/>
    <m/>
    <m/>
    <m/>
    <m/>
    <m/>
    <m/>
    <m/>
    <m/>
    <m/>
    <m/>
    <m/>
    <m/>
    <m/>
    <m/>
    <m/>
    <m/>
    <m/>
    <m/>
    <n v="1"/>
    <m/>
    <m/>
    <m/>
    <m/>
    <m/>
    <m/>
    <m/>
    <m/>
    <m/>
    <m/>
    <m/>
    <m/>
    <m/>
    <m/>
    <m/>
    <m/>
    <m/>
    <m/>
    <m/>
    <m/>
    <m/>
    <m/>
    <m/>
    <m/>
    <m/>
    <m/>
    <m/>
    <m/>
    <m/>
    <m/>
    <m/>
    <m/>
    <m/>
    <m/>
    <m/>
  </r>
  <r>
    <x v="71"/>
    <n v="2002"/>
    <n v="8"/>
    <x v="26"/>
    <x v="4"/>
    <x v="0"/>
    <n v="3"/>
    <s v="2002_08_027.gif"/>
    <m/>
    <m/>
    <m/>
    <b v="0"/>
    <n v="0"/>
    <x v="0"/>
    <n v="72"/>
    <s v="Impulse"/>
    <n v="4265"/>
    <x v="1"/>
    <m/>
    <m/>
    <m/>
    <m/>
    <m/>
    <m/>
    <m/>
    <m/>
    <m/>
    <m/>
    <m/>
    <m/>
    <m/>
    <m/>
    <m/>
    <m/>
    <m/>
    <m/>
    <m/>
    <m/>
    <m/>
    <m/>
    <m/>
    <m/>
    <m/>
    <m/>
    <m/>
    <m/>
    <m/>
    <n v="1"/>
    <m/>
    <m/>
    <m/>
    <m/>
    <m/>
    <m/>
    <m/>
    <m/>
    <m/>
    <m/>
    <m/>
    <m/>
    <m/>
    <m/>
    <m/>
    <m/>
    <m/>
    <m/>
    <m/>
    <m/>
    <m/>
    <m/>
    <m/>
    <m/>
    <m/>
    <m/>
    <m/>
    <m/>
    <m/>
    <m/>
  </r>
  <r>
    <x v="72"/>
    <n v="2002"/>
    <n v="8"/>
    <x v="27"/>
    <x v="1"/>
    <x v="0"/>
    <n v="1"/>
    <s v="2002_08_028.gif"/>
    <m/>
    <m/>
    <m/>
    <b v="0"/>
    <n v="0"/>
    <x v="0"/>
    <n v="73"/>
    <s v="Newton's 2nd Law (F=MA),Weight and Mass"/>
    <n v="4266"/>
    <x v="1"/>
    <m/>
    <m/>
    <m/>
    <m/>
    <m/>
    <m/>
    <m/>
    <m/>
    <m/>
    <m/>
    <m/>
    <m/>
    <m/>
    <m/>
    <m/>
    <m/>
    <m/>
    <m/>
    <m/>
    <m/>
    <m/>
    <m/>
    <m/>
    <m/>
    <m/>
    <m/>
    <n v="1"/>
    <n v="1"/>
    <m/>
    <m/>
    <m/>
    <m/>
    <m/>
    <m/>
    <m/>
    <m/>
    <m/>
    <m/>
    <m/>
    <m/>
    <m/>
    <m/>
    <m/>
    <m/>
    <m/>
    <m/>
    <m/>
    <m/>
    <m/>
    <m/>
    <m/>
    <m/>
    <m/>
    <m/>
    <m/>
    <m/>
    <m/>
    <m/>
    <m/>
    <m/>
  </r>
  <r>
    <x v="73"/>
    <n v="2002"/>
    <n v="8"/>
    <x v="28"/>
    <x v="5"/>
    <x v="0"/>
    <n v="1"/>
    <s v="2002_08_029.gif"/>
    <m/>
    <m/>
    <m/>
    <b v="0"/>
    <n v="0"/>
    <x v="0"/>
    <n v="74"/>
    <s v="Work/Power"/>
    <n v="4267"/>
    <x v="1"/>
    <m/>
    <m/>
    <m/>
    <m/>
    <m/>
    <m/>
    <m/>
    <m/>
    <m/>
    <m/>
    <m/>
    <m/>
    <m/>
    <m/>
    <m/>
    <m/>
    <m/>
    <m/>
    <m/>
    <m/>
    <m/>
    <m/>
    <m/>
    <m/>
    <m/>
    <m/>
    <m/>
    <m/>
    <m/>
    <m/>
    <m/>
    <m/>
    <m/>
    <m/>
    <m/>
    <n v="1"/>
    <m/>
    <m/>
    <m/>
    <m/>
    <m/>
    <m/>
    <m/>
    <m/>
    <m/>
    <m/>
    <m/>
    <m/>
    <m/>
    <m/>
    <m/>
    <m/>
    <m/>
    <m/>
    <m/>
    <m/>
    <m/>
    <m/>
    <m/>
    <m/>
  </r>
  <r>
    <x v="74"/>
    <n v="2002"/>
    <n v="8"/>
    <x v="29"/>
    <x v="12"/>
    <x v="4"/>
    <n v="4"/>
    <s v="2002_08_030.gif"/>
    <m/>
    <m/>
    <m/>
    <b v="0"/>
    <n v="0"/>
    <x v="0"/>
    <n v="75"/>
    <s v="Magnetism"/>
    <n v="4268"/>
    <x v="1"/>
    <m/>
    <m/>
    <m/>
    <m/>
    <m/>
    <m/>
    <m/>
    <m/>
    <m/>
    <m/>
    <m/>
    <m/>
    <m/>
    <m/>
    <m/>
    <m/>
    <m/>
    <m/>
    <m/>
    <m/>
    <m/>
    <m/>
    <m/>
    <m/>
    <m/>
    <m/>
    <m/>
    <m/>
    <m/>
    <m/>
    <m/>
    <m/>
    <m/>
    <m/>
    <m/>
    <m/>
    <m/>
    <m/>
    <m/>
    <m/>
    <m/>
    <m/>
    <m/>
    <m/>
    <m/>
    <m/>
    <m/>
    <m/>
    <m/>
    <m/>
    <m/>
    <m/>
    <m/>
    <m/>
    <m/>
    <m/>
    <m/>
    <m/>
    <m/>
    <n v="1"/>
  </r>
  <r>
    <x v="75"/>
    <n v="2002"/>
    <n v="8"/>
    <x v="30"/>
    <x v="1"/>
    <x v="0"/>
    <n v="3"/>
    <s v="2002_08_031.gif"/>
    <m/>
    <m/>
    <m/>
    <b v="0"/>
    <n v="0"/>
    <x v="0"/>
    <n v="76"/>
    <s v="Newton's 1st Law (Inertia),Newton's 2nd Law (F=MA)"/>
    <n v="4269"/>
    <x v="1"/>
    <m/>
    <m/>
    <m/>
    <m/>
    <m/>
    <m/>
    <m/>
    <m/>
    <m/>
    <m/>
    <m/>
    <m/>
    <m/>
    <m/>
    <m/>
    <m/>
    <m/>
    <m/>
    <m/>
    <m/>
    <m/>
    <m/>
    <m/>
    <m/>
    <m/>
    <n v="1"/>
    <n v="1"/>
    <m/>
    <m/>
    <m/>
    <m/>
    <m/>
    <m/>
    <m/>
    <m/>
    <m/>
    <m/>
    <m/>
    <m/>
    <m/>
    <m/>
    <m/>
    <m/>
    <m/>
    <m/>
    <m/>
    <m/>
    <m/>
    <m/>
    <m/>
    <m/>
    <m/>
    <m/>
    <m/>
    <m/>
    <m/>
    <m/>
    <m/>
    <m/>
    <m/>
  </r>
  <r>
    <x v="76"/>
    <n v="2002"/>
    <n v="8"/>
    <x v="31"/>
    <x v="2"/>
    <x v="5"/>
    <n v="2"/>
    <s v="2002_08_032.gif"/>
    <m/>
    <m/>
    <m/>
    <b v="0"/>
    <n v="0"/>
    <x v="0"/>
    <n v="77"/>
    <s v="Basic Motion Concepts,Wave Vocabulary"/>
    <n v="4270"/>
    <x v="1"/>
    <m/>
    <m/>
    <m/>
    <m/>
    <m/>
    <m/>
    <m/>
    <n v="1"/>
    <m/>
    <m/>
    <m/>
    <m/>
    <m/>
    <m/>
    <m/>
    <m/>
    <m/>
    <m/>
    <m/>
    <m/>
    <m/>
    <m/>
    <m/>
    <m/>
    <m/>
    <m/>
    <m/>
    <m/>
    <m/>
    <m/>
    <m/>
    <m/>
    <m/>
    <m/>
    <m/>
    <m/>
    <m/>
    <m/>
    <m/>
    <n v="1"/>
    <m/>
    <m/>
    <m/>
    <m/>
    <m/>
    <m/>
    <m/>
    <m/>
    <m/>
    <m/>
    <m/>
    <m/>
    <m/>
    <m/>
    <m/>
    <m/>
    <m/>
    <m/>
    <m/>
    <m/>
  </r>
  <r>
    <x v="77"/>
    <n v="2002"/>
    <n v="8"/>
    <x v="32"/>
    <x v="9"/>
    <x v="0"/>
    <n v="1"/>
    <s v="2002_08_033.gif"/>
    <m/>
    <m/>
    <m/>
    <b v="0"/>
    <n v="0"/>
    <x v="0"/>
    <n v="78"/>
    <s v="Doppler Effect"/>
    <n v="4271"/>
    <x v="1"/>
    <m/>
    <m/>
    <m/>
    <m/>
    <m/>
    <m/>
    <m/>
    <m/>
    <m/>
    <m/>
    <m/>
    <m/>
    <m/>
    <m/>
    <m/>
    <m/>
    <m/>
    <m/>
    <m/>
    <m/>
    <m/>
    <m/>
    <m/>
    <m/>
    <m/>
    <m/>
    <m/>
    <m/>
    <m/>
    <m/>
    <m/>
    <m/>
    <m/>
    <m/>
    <m/>
    <m/>
    <m/>
    <m/>
    <m/>
    <m/>
    <m/>
    <n v="1"/>
    <m/>
    <m/>
    <m/>
    <m/>
    <m/>
    <m/>
    <m/>
    <m/>
    <m/>
    <m/>
    <m/>
    <m/>
    <m/>
    <m/>
    <m/>
    <m/>
    <m/>
    <m/>
  </r>
  <r>
    <x v="78"/>
    <n v="2002"/>
    <n v="8"/>
    <x v="33"/>
    <x v="8"/>
    <x v="0"/>
    <n v="1"/>
    <s v="2002_08_034.gif"/>
    <m/>
    <m/>
    <m/>
    <b v="0"/>
    <n v="0"/>
    <x v="0"/>
    <n v="79"/>
    <s v="Series and Parallel"/>
    <n v="4272"/>
    <x v="1"/>
    <m/>
    <m/>
    <m/>
    <m/>
    <m/>
    <m/>
    <m/>
    <m/>
    <m/>
    <m/>
    <m/>
    <m/>
    <m/>
    <m/>
    <m/>
    <m/>
    <m/>
    <m/>
    <m/>
    <m/>
    <m/>
    <m/>
    <m/>
    <m/>
    <m/>
    <m/>
    <m/>
    <m/>
    <m/>
    <m/>
    <m/>
    <m/>
    <m/>
    <m/>
    <m/>
    <m/>
    <m/>
    <m/>
    <m/>
    <m/>
    <m/>
    <m/>
    <m/>
    <m/>
    <m/>
    <m/>
    <m/>
    <m/>
    <m/>
    <m/>
    <m/>
    <m/>
    <n v="1"/>
    <m/>
    <m/>
    <m/>
    <m/>
    <m/>
    <m/>
    <m/>
  </r>
  <r>
    <x v="79"/>
    <n v="2002"/>
    <n v="8"/>
    <x v="34"/>
    <x v="6"/>
    <x v="0"/>
    <n v="1"/>
    <s v="2002_08_035.gif"/>
    <m/>
    <m/>
    <m/>
    <b v="0"/>
    <n v="0"/>
    <x v="0"/>
    <n v="80"/>
    <s v="Coulomb's Law"/>
    <n v="4273"/>
    <x v="1"/>
    <m/>
    <m/>
    <m/>
    <m/>
    <m/>
    <m/>
    <m/>
    <m/>
    <m/>
    <m/>
    <m/>
    <m/>
    <m/>
    <m/>
    <m/>
    <m/>
    <m/>
    <m/>
    <m/>
    <m/>
    <m/>
    <m/>
    <m/>
    <m/>
    <m/>
    <m/>
    <m/>
    <m/>
    <m/>
    <m/>
    <m/>
    <m/>
    <m/>
    <m/>
    <m/>
    <m/>
    <m/>
    <m/>
    <m/>
    <m/>
    <m/>
    <m/>
    <m/>
    <m/>
    <m/>
    <n v="1"/>
    <m/>
    <m/>
    <m/>
    <m/>
    <m/>
    <m/>
    <m/>
    <m/>
    <m/>
    <m/>
    <m/>
    <m/>
    <m/>
    <m/>
  </r>
  <r>
    <x v="80"/>
    <n v="2002"/>
    <n v="8"/>
    <x v="35"/>
    <x v="4"/>
    <x v="0"/>
    <n v="2"/>
    <s v="2002_08_036.gif"/>
    <m/>
    <m/>
    <m/>
    <b v="0"/>
    <n v="0"/>
    <x v="1"/>
    <n v="81"/>
    <s v="Conservation of Momentum"/>
    <n v="4274"/>
    <x v="1"/>
    <m/>
    <m/>
    <m/>
    <m/>
    <m/>
    <m/>
    <m/>
    <m/>
    <m/>
    <m/>
    <m/>
    <m/>
    <m/>
    <m/>
    <m/>
    <m/>
    <m/>
    <m/>
    <m/>
    <m/>
    <m/>
    <m/>
    <m/>
    <m/>
    <m/>
    <m/>
    <m/>
    <m/>
    <n v="1"/>
    <m/>
    <m/>
    <m/>
    <m/>
    <m/>
    <m/>
    <m/>
    <m/>
    <m/>
    <m/>
    <m/>
    <m/>
    <m/>
    <m/>
    <m/>
    <m/>
    <m/>
    <m/>
    <m/>
    <m/>
    <m/>
    <m/>
    <m/>
    <m/>
    <m/>
    <m/>
    <m/>
    <m/>
    <m/>
    <m/>
    <m/>
  </r>
  <r>
    <x v="81"/>
    <n v="2002"/>
    <n v="8"/>
    <x v="36"/>
    <x v="1"/>
    <x v="0"/>
    <n v="2"/>
    <s v="2002_08_037.gif"/>
    <m/>
    <m/>
    <m/>
    <b v="0"/>
    <n v="0"/>
    <x v="1"/>
    <n v="82"/>
    <s v="Inclined Plane"/>
    <n v="4275"/>
    <x v="1"/>
    <m/>
    <m/>
    <m/>
    <m/>
    <m/>
    <m/>
    <m/>
    <m/>
    <m/>
    <m/>
    <m/>
    <m/>
    <m/>
    <m/>
    <m/>
    <m/>
    <m/>
    <m/>
    <m/>
    <m/>
    <m/>
    <m/>
    <n v="1"/>
    <m/>
    <m/>
    <m/>
    <m/>
    <m/>
    <m/>
    <m/>
    <m/>
    <m/>
    <m/>
    <m/>
    <m/>
    <m/>
    <m/>
    <m/>
    <m/>
    <m/>
    <m/>
    <m/>
    <m/>
    <m/>
    <m/>
    <m/>
    <m/>
    <m/>
    <m/>
    <m/>
    <m/>
    <m/>
    <m/>
    <m/>
    <m/>
    <m/>
    <m/>
    <m/>
    <m/>
    <m/>
  </r>
  <r>
    <x v="82"/>
    <n v="2002"/>
    <n v="8"/>
    <x v="37"/>
    <x v="3"/>
    <x v="0"/>
    <n v="3"/>
    <s v="2002_08_038.gif"/>
    <m/>
    <m/>
    <m/>
    <b v="0"/>
    <n v="0"/>
    <x v="1"/>
    <n v="83"/>
    <s v="Projectiles at an Angle"/>
    <n v="4276"/>
    <x v="1"/>
    <m/>
    <m/>
    <m/>
    <m/>
    <m/>
    <m/>
    <m/>
    <m/>
    <m/>
    <m/>
    <m/>
    <m/>
    <m/>
    <m/>
    <m/>
    <n v="1"/>
    <m/>
    <m/>
    <m/>
    <m/>
    <m/>
    <m/>
    <m/>
    <m/>
    <m/>
    <m/>
    <m/>
    <m/>
    <m/>
    <m/>
    <m/>
    <m/>
    <m/>
    <m/>
    <m/>
    <m/>
    <m/>
    <m/>
    <m/>
    <m/>
    <m/>
    <m/>
    <m/>
    <m/>
    <m/>
    <m/>
    <m/>
    <m/>
    <m/>
    <m/>
    <m/>
    <m/>
    <m/>
    <m/>
    <m/>
    <m/>
    <m/>
    <m/>
    <m/>
    <m/>
  </r>
  <r>
    <x v="83"/>
    <n v="2002"/>
    <n v="8"/>
    <x v="38"/>
    <x v="2"/>
    <x v="0"/>
    <n v="3"/>
    <s v="2002_08_039.gif"/>
    <m/>
    <m/>
    <m/>
    <b v="0"/>
    <n v="0"/>
    <x v="1"/>
    <n v="84"/>
    <s v="DT/VT Graphs"/>
    <n v="4277"/>
    <x v="1"/>
    <m/>
    <m/>
    <m/>
    <m/>
    <n v="1"/>
    <m/>
    <m/>
    <m/>
    <m/>
    <m/>
    <m/>
    <m/>
    <m/>
    <m/>
    <m/>
    <m/>
    <m/>
    <m/>
    <m/>
    <m/>
    <m/>
    <m/>
    <m/>
    <m/>
    <m/>
    <m/>
    <m/>
    <m/>
    <m/>
    <m/>
    <m/>
    <m/>
    <m/>
    <m/>
    <m/>
    <m/>
    <m/>
    <m/>
    <m/>
    <m/>
    <m/>
    <m/>
    <m/>
    <m/>
    <m/>
    <m/>
    <m/>
    <m/>
    <m/>
    <m/>
    <m/>
    <m/>
    <m/>
    <m/>
    <m/>
    <m/>
    <m/>
    <m/>
    <m/>
    <m/>
  </r>
  <r>
    <x v="84"/>
    <n v="2002"/>
    <n v="8"/>
    <x v="39"/>
    <x v="2"/>
    <x v="1"/>
    <n v="2"/>
    <s v="2002_08_040.gif"/>
    <m/>
    <m/>
    <m/>
    <b v="0"/>
    <n v="0"/>
    <x v="1"/>
    <n v="85"/>
    <s v="Basic Motion Concepts,Vector Components"/>
    <n v="4278"/>
    <x v="1"/>
    <m/>
    <m/>
    <m/>
    <m/>
    <m/>
    <m/>
    <m/>
    <n v="1"/>
    <m/>
    <m/>
    <m/>
    <m/>
    <n v="1"/>
    <m/>
    <m/>
    <m/>
    <m/>
    <m/>
    <m/>
    <m/>
    <m/>
    <m/>
    <m/>
    <m/>
    <m/>
    <m/>
    <m/>
    <m/>
    <m/>
    <m/>
    <m/>
    <m/>
    <m/>
    <m/>
    <m/>
    <m/>
    <m/>
    <m/>
    <m/>
    <m/>
    <m/>
    <m/>
    <m/>
    <m/>
    <m/>
    <m/>
    <m/>
    <m/>
    <m/>
    <m/>
    <m/>
    <m/>
    <m/>
    <m/>
    <m/>
    <m/>
    <m/>
    <m/>
    <m/>
    <m/>
  </r>
  <r>
    <x v="85"/>
    <n v="2002"/>
    <n v="8"/>
    <x v="40"/>
    <x v="8"/>
    <x v="0"/>
    <n v="1"/>
    <s v="2002_08_041.gif"/>
    <m/>
    <m/>
    <m/>
    <b v="0"/>
    <n v="0"/>
    <x v="1"/>
    <n v="86"/>
    <s v="Electrical Meters"/>
    <n v="4279"/>
    <x v="1"/>
    <m/>
    <m/>
    <m/>
    <m/>
    <m/>
    <m/>
    <m/>
    <m/>
    <m/>
    <m/>
    <m/>
    <m/>
    <m/>
    <m/>
    <m/>
    <m/>
    <m/>
    <m/>
    <m/>
    <m/>
    <m/>
    <m/>
    <m/>
    <m/>
    <m/>
    <m/>
    <m/>
    <m/>
    <m/>
    <m/>
    <m/>
    <m/>
    <m/>
    <m/>
    <m/>
    <m/>
    <m/>
    <m/>
    <m/>
    <m/>
    <m/>
    <m/>
    <m/>
    <m/>
    <m/>
    <m/>
    <m/>
    <m/>
    <m/>
    <m/>
    <m/>
    <m/>
    <m/>
    <n v="1"/>
    <m/>
    <m/>
    <m/>
    <m/>
    <m/>
    <m/>
  </r>
  <r>
    <x v="86"/>
    <n v="2002"/>
    <n v="8"/>
    <x v="41"/>
    <x v="9"/>
    <x v="0"/>
    <n v="2"/>
    <s v="2002_08_042.gif"/>
    <m/>
    <m/>
    <m/>
    <b v="0"/>
    <n v="0"/>
    <x v="1"/>
    <n v="87"/>
    <s v="Refraction and Snell's Law"/>
    <n v="4280"/>
    <x v="1"/>
    <m/>
    <m/>
    <m/>
    <m/>
    <m/>
    <m/>
    <m/>
    <m/>
    <m/>
    <m/>
    <m/>
    <m/>
    <m/>
    <m/>
    <m/>
    <m/>
    <m/>
    <m/>
    <m/>
    <m/>
    <m/>
    <m/>
    <m/>
    <m/>
    <m/>
    <m/>
    <m/>
    <m/>
    <m/>
    <m/>
    <m/>
    <m/>
    <m/>
    <m/>
    <m/>
    <m/>
    <m/>
    <m/>
    <m/>
    <m/>
    <m/>
    <m/>
    <m/>
    <n v="1"/>
    <m/>
    <m/>
    <m/>
    <m/>
    <m/>
    <m/>
    <m/>
    <m/>
    <m/>
    <m/>
    <m/>
    <m/>
    <m/>
    <m/>
    <m/>
    <m/>
  </r>
  <r>
    <x v="87"/>
    <n v="2002"/>
    <n v="8"/>
    <x v="42"/>
    <x v="8"/>
    <x v="0"/>
    <n v="4"/>
    <s v="2002_08_043.gif"/>
    <m/>
    <m/>
    <m/>
    <b v="0"/>
    <n v="0"/>
    <x v="1"/>
    <n v="88"/>
    <s v="Electrical Power"/>
    <n v="4281"/>
    <x v="1"/>
    <m/>
    <m/>
    <m/>
    <m/>
    <m/>
    <m/>
    <m/>
    <m/>
    <m/>
    <m/>
    <m/>
    <m/>
    <m/>
    <m/>
    <m/>
    <m/>
    <m/>
    <m/>
    <m/>
    <m/>
    <m/>
    <m/>
    <m/>
    <m/>
    <m/>
    <m/>
    <m/>
    <m/>
    <m/>
    <m/>
    <m/>
    <m/>
    <m/>
    <m/>
    <m/>
    <m/>
    <m/>
    <m/>
    <m/>
    <m/>
    <m/>
    <m/>
    <m/>
    <m/>
    <m/>
    <m/>
    <m/>
    <m/>
    <m/>
    <n v="1"/>
    <m/>
    <m/>
    <m/>
    <m/>
    <m/>
    <m/>
    <m/>
    <m/>
    <m/>
    <m/>
  </r>
  <r>
    <x v="88"/>
    <n v="2002"/>
    <n v="8"/>
    <x v="43"/>
    <x v="10"/>
    <x v="0"/>
    <n v="2"/>
    <s v="2002_08_044.gif"/>
    <m/>
    <m/>
    <m/>
    <b v="0"/>
    <n v="0"/>
    <x v="1"/>
    <n v="89"/>
    <s v="Particle Physics"/>
    <n v="4282"/>
    <x v="1"/>
    <m/>
    <m/>
    <m/>
    <m/>
    <m/>
    <m/>
    <m/>
    <m/>
    <m/>
    <m/>
    <m/>
    <m/>
    <m/>
    <m/>
    <m/>
    <m/>
    <m/>
    <m/>
    <m/>
    <m/>
    <m/>
    <m/>
    <m/>
    <m/>
    <m/>
    <m/>
    <m/>
    <m/>
    <m/>
    <m/>
    <m/>
    <m/>
    <m/>
    <m/>
    <m/>
    <m/>
    <m/>
    <m/>
    <m/>
    <m/>
    <m/>
    <m/>
    <m/>
    <m/>
    <m/>
    <m/>
    <m/>
    <m/>
    <m/>
    <m/>
    <m/>
    <m/>
    <m/>
    <m/>
    <m/>
    <m/>
    <n v="1"/>
    <m/>
    <m/>
    <m/>
  </r>
  <r>
    <x v="89"/>
    <n v="2002"/>
    <n v="8"/>
    <x v="44"/>
    <x v="8"/>
    <x v="0"/>
    <n v="1"/>
    <s v="2002_08_045.gif"/>
    <m/>
    <m/>
    <m/>
    <b v="0"/>
    <n v="0"/>
    <x v="1"/>
    <n v="90"/>
    <s v="Resistance of Wire"/>
    <n v="4283"/>
    <x v="1"/>
    <m/>
    <m/>
    <m/>
    <m/>
    <m/>
    <m/>
    <m/>
    <m/>
    <m/>
    <m/>
    <m/>
    <m/>
    <m/>
    <m/>
    <m/>
    <m/>
    <m/>
    <m/>
    <m/>
    <m/>
    <m/>
    <m/>
    <m/>
    <m/>
    <m/>
    <m/>
    <m/>
    <m/>
    <m/>
    <m/>
    <m/>
    <m/>
    <m/>
    <m/>
    <m/>
    <m/>
    <m/>
    <m/>
    <m/>
    <m/>
    <m/>
    <m/>
    <m/>
    <m/>
    <m/>
    <m/>
    <m/>
    <m/>
    <m/>
    <m/>
    <m/>
    <n v="1"/>
    <m/>
    <m/>
    <m/>
    <m/>
    <m/>
    <m/>
    <m/>
    <m/>
  </r>
  <r>
    <x v="90"/>
    <n v="2002"/>
    <n v="8"/>
    <x v="45"/>
    <x v="8"/>
    <x v="0"/>
    <n v="4"/>
    <s v="2002_08_046.gif"/>
    <m/>
    <m/>
    <m/>
    <b v="0"/>
    <n v="0"/>
    <x v="1"/>
    <n v="91"/>
    <s v="Resistance of Wire"/>
    <n v="4284"/>
    <x v="1"/>
    <m/>
    <m/>
    <m/>
    <m/>
    <m/>
    <m/>
    <m/>
    <m/>
    <m/>
    <m/>
    <m/>
    <m/>
    <m/>
    <m/>
    <m/>
    <m/>
    <m/>
    <m/>
    <m/>
    <m/>
    <m/>
    <m/>
    <m/>
    <m/>
    <m/>
    <m/>
    <m/>
    <m/>
    <m/>
    <m/>
    <m/>
    <m/>
    <m/>
    <m/>
    <m/>
    <m/>
    <m/>
    <m/>
    <m/>
    <m/>
    <m/>
    <m/>
    <m/>
    <m/>
    <m/>
    <m/>
    <m/>
    <m/>
    <m/>
    <m/>
    <m/>
    <n v="1"/>
    <m/>
    <m/>
    <m/>
    <m/>
    <m/>
    <m/>
    <m/>
    <m/>
  </r>
  <r>
    <x v="91"/>
    <n v="2002"/>
    <n v="8"/>
    <x v="46"/>
    <x v="10"/>
    <x v="0"/>
    <n v="1"/>
    <s v="2002_08_047.gif"/>
    <m/>
    <m/>
    <m/>
    <b v="0"/>
    <n v="0"/>
    <x v="1"/>
    <n v="92"/>
    <s v="Energy/Mass Equivalency"/>
    <n v="4285"/>
    <x v="1"/>
    <m/>
    <m/>
    <m/>
    <m/>
    <m/>
    <m/>
    <m/>
    <m/>
    <m/>
    <m/>
    <m/>
    <m/>
    <m/>
    <m/>
    <m/>
    <m/>
    <m/>
    <m/>
    <m/>
    <m/>
    <m/>
    <m/>
    <m/>
    <m/>
    <m/>
    <m/>
    <m/>
    <m/>
    <m/>
    <m/>
    <m/>
    <m/>
    <m/>
    <m/>
    <m/>
    <m/>
    <m/>
    <m/>
    <m/>
    <m/>
    <m/>
    <m/>
    <m/>
    <m/>
    <m/>
    <m/>
    <m/>
    <m/>
    <m/>
    <m/>
    <m/>
    <m/>
    <m/>
    <m/>
    <m/>
    <n v="1"/>
    <m/>
    <m/>
    <m/>
    <m/>
  </r>
  <r>
    <x v="92"/>
    <n v="2003"/>
    <n v="1"/>
    <x v="0"/>
    <x v="0"/>
    <x v="0"/>
    <n v="3"/>
    <s v="2003_01_001.gif"/>
    <m/>
    <m/>
    <m/>
    <b v="0"/>
    <n v="0"/>
    <x v="0"/>
    <n v="93"/>
    <s v="Vector vs. Scalar"/>
    <n v="4306"/>
    <x v="2"/>
    <m/>
    <m/>
    <m/>
    <m/>
    <m/>
    <m/>
    <m/>
    <m/>
    <m/>
    <m/>
    <m/>
    <m/>
    <m/>
    <n v="1"/>
    <m/>
    <m/>
    <m/>
    <m/>
    <m/>
    <m/>
    <m/>
    <m/>
    <m/>
    <m/>
    <m/>
    <m/>
    <m/>
    <m/>
    <m/>
    <m/>
    <m/>
    <m/>
    <m/>
    <m/>
    <m/>
    <m/>
    <m/>
    <m/>
    <m/>
    <m/>
    <m/>
    <m/>
    <m/>
    <m/>
    <m/>
    <m/>
    <m/>
    <m/>
    <m/>
    <m/>
    <m/>
    <m/>
    <m/>
    <m/>
    <m/>
    <m/>
    <m/>
    <m/>
    <m/>
    <m/>
  </r>
  <r>
    <x v="93"/>
    <n v="2003"/>
    <n v="1"/>
    <x v="1"/>
    <x v="2"/>
    <x v="1"/>
    <n v="1"/>
    <s v="2003_01_002.gif"/>
    <m/>
    <m/>
    <m/>
    <b v="0"/>
    <n v="0"/>
    <x v="0"/>
    <n v="94"/>
    <s v="Basic Motion Concepts,Vector vs. Scalar"/>
    <n v="4307"/>
    <x v="2"/>
    <m/>
    <m/>
    <m/>
    <m/>
    <m/>
    <m/>
    <m/>
    <n v="1"/>
    <m/>
    <m/>
    <m/>
    <m/>
    <m/>
    <n v="1"/>
    <m/>
    <m/>
    <m/>
    <m/>
    <m/>
    <m/>
    <m/>
    <m/>
    <m/>
    <m/>
    <m/>
    <m/>
    <m/>
    <m/>
    <m/>
    <m/>
    <m/>
    <m/>
    <m/>
    <m/>
    <m/>
    <m/>
    <m/>
    <m/>
    <m/>
    <m/>
    <m/>
    <m/>
    <m/>
    <m/>
    <m/>
    <m/>
    <m/>
    <m/>
    <m/>
    <m/>
    <m/>
    <m/>
    <m/>
    <m/>
    <m/>
    <m/>
    <m/>
    <m/>
    <m/>
    <m/>
  </r>
  <r>
    <x v="94"/>
    <n v="2003"/>
    <n v="1"/>
    <x v="2"/>
    <x v="2"/>
    <x v="0"/>
    <n v="3"/>
    <s v="2003_01_003.gif"/>
    <m/>
    <m/>
    <m/>
    <b v="0"/>
    <n v="0"/>
    <x v="0"/>
    <n v="95"/>
    <s v="Vertical Constant Acceleration Problems"/>
    <n v="4308"/>
    <x v="2"/>
    <m/>
    <m/>
    <m/>
    <m/>
    <m/>
    <m/>
    <m/>
    <m/>
    <m/>
    <m/>
    <n v="1"/>
    <m/>
    <m/>
    <m/>
    <m/>
    <m/>
    <m/>
    <m/>
    <m/>
    <m/>
    <m/>
    <m/>
    <m/>
    <m/>
    <m/>
    <m/>
    <m/>
    <m/>
    <m/>
    <m/>
    <m/>
    <m/>
    <m/>
    <m/>
    <m/>
    <m/>
    <m/>
    <m/>
    <m/>
    <m/>
    <m/>
    <m/>
    <m/>
    <m/>
    <m/>
    <m/>
    <m/>
    <m/>
    <m/>
    <m/>
    <m/>
    <m/>
    <m/>
    <m/>
    <m/>
    <m/>
    <m/>
    <m/>
    <m/>
    <m/>
  </r>
  <r>
    <x v="95"/>
    <n v="2003"/>
    <n v="1"/>
    <x v="3"/>
    <x v="1"/>
    <x v="0"/>
    <n v="4"/>
    <s v="2003_01_004.gif"/>
    <m/>
    <m/>
    <m/>
    <b v="0"/>
    <n v="0"/>
    <x v="0"/>
    <n v="96"/>
    <s v="Newton's 1st Law (Inertia),Newton's 2nd Law (F=MA)"/>
    <n v="4309"/>
    <x v="2"/>
    <m/>
    <m/>
    <m/>
    <m/>
    <m/>
    <m/>
    <m/>
    <m/>
    <m/>
    <m/>
    <m/>
    <m/>
    <m/>
    <m/>
    <m/>
    <m/>
    <m/>
    <m/>
    <m/>
    <m/>
    <m/>
    <m/>
    <m/>
    <m/>
    <m/>
    <n v="1"/>
    <n v="1"/>
    <m/>
    <m/>
    <m/>
    <m/>
    <m/>
    <m/>
    <m/>
    <m/>
    <m/>
    <m/>
    <m/>
    <m/>
    <m/>
    <m/>
    <m/>
    <m/>
    <m/>
    <m/>
    <m/>
    <m/>
    <m/>
    <m/>
    <m/>
    <m/>
    <m/>
    <m/>
    <m/>
    <m/>
    <m/>
    <m/>
    <m/>
    <m/>
    <m/>
  </r>
  <r>
    <x v="96"/>
    <n v="2003"/>
    <n v="1"/>
    <x v="4"/>
    <x v="1"/>
    <x v="0"/>
    <n v="2"/>
    <s v="2003_01_005.gif"/>
    <m/>
    <m/>
    <m/>
    <b v="0"/>
    <n v="0"/>
    <x v="0"/>
    <n v="97"/>
    <s v="Newton's 2nd Law (F=MA)"/>
    <n v="4310"/>
    <x v="2"/>
    <m/>
    <m/>
    <m/>
    <m/>
    <m/>
    <m/>
    <m/>
    <m/>
    <m/>
    <m/>
    <m/>
    <m/>
    <m/>
    <m/>
    <m/>
    <m/>
    <m/>
    <m/>
    <m/>
    <m/>
    <m/>
    <m/>
    <m/>
    <m/>
    <m/>
    <m/>
    <n v="1"/>
    <m/>
    <m/>
    <m/>
    <m/>
    <m/>
    <m/>
    <m/>
    <m/>
    <m/>
    <m/>
    <m/>
    <m/>
    <m/>
    <m/>
    <m/>
    <m/>
    <m/>
    <m/>
    <m/>
    <m/>
    <m/>
    <m/>
    <m/>
    <m/>
    <m/>
    <m/>
    <m/>
    <m/>
    <m/>
    <m/>
    <m/>
    <m/>
    <m/>
  </r>
  <r>
    <x v="97"/>
    <n v="2003"/>
    <n v="1"/>
    <x v="5"/>
    <x v="1"/>
    <x v="2"/>
    <n v="1"/>
    <s v="2003_01_006.gif"/>
    <m/>
    <m/>
    <m/>
    <b v="0"/>
    <n v="0"/>
    <x v="0"/>
    <n v="98"/>
    <s v="Newton's 2nd Law (F=MA),Graph Interpretation"/>
    <n v="4311"/>
    <x v="2"/>
    <m/>
    <m/>
    <m/>
    <m/>
    <m/>
    <m/>
    <m/>
    <m/>
    <m/>
    <m/>
    <m/>
    <m/>
    <m/>
    <m/>
    <m/>
    <m/>
    <m/>
    <m/>
    <m/>
    <m/>
    <m/>
    <m/>
    <m/>
    <m/>
    <m/>
    <m/>
    <n v="1"/>
    <m/>
    <m/>
    <m/>
    <m/>
    <m/>
    <m/>
    <m/>
    <m/>
    <m/>
    <m/>
    <m/>
    <m/>
    <m/>
    <m/>
    <m/>
    <m/>
    <m/>
    <m/>
    <m/>
    <m/>
    <m/>
    <m/>
    <m/>
    <m/>
    <m/>
    <m/>
    <m/>
    <m/>
    <m/>
    <m/>
    <n v="1"/>
    <m/>
    <m/>
  </r>
  <r>
    <x v="98"/>
    <n v="2003"/>
    <n v="1"/>
    <x v="6"/>
    <x v="4"/>
    <x v="0"/>
    <n v="4"/>
    <s v="2003_01_007.gif"/>
    <m/>
    <m/>
    <m/>
    <b v="0"/>
    <n v="0"/>
    <x v="0"/>
    <n v="99"/>
    <s v="Impulse"/>
    <n v="4312"/>
    <x v="2"/>
    <m/>
    <m/>
    <m/>
    <m/>
    <m/>
    <m/>
    <m/>
    <m/>
    <m/>
    <m/>
    <m/>
    <m/>
    <m/>
    <m/>
    <m/>
    <m/>
    <m/>
    <m/>
    <m/>
    <m/>
    <m/>
    <m/>
    <m/>
    <m/>
    <m/>
    <m/>
    <m/>
    <m/>
    <m/>
    <n v="1"/>
    <m/>
    <m/>
    <m/>
    <m/>
    <m/>
    <m/>
    <m/>
    <m/>
    <m/>
    <m/>
    <m/>
    <m/>
    <m/>
    <m/>
    <m/>
    <m/>
    <m/>
    <m/>
    <m/>
    <m/>
    <m/>
    <m/>
    <m/>
    <m/>
    <m/>
    <m/>
    <m/>
    <m/>
    <m/>
    <m/>
  </r>
  <r>
    <x v="99"/>
    <n v="2003"/>
    <n v="1"/>
    <x v="7"/>
    <x v="1"/>
    <x v="0"/>
    <n v="2"/>
    <s v="2003_01_008.gif"/>
    <m/>
    <m/>
    <m/>
    <b v="0"/>
    <n v="0"/>
    <x v="0"/>
    <n v="100"/>
    <s v="Hooke's Law"/>
    <n v="4313"/>
    <x v="2"/>
    <m/>
    <m/>
    <m/>
    <m/>
    <m/>
    <m/>
    <m/>
    <m/>
    <m/>
    <m/>
    <m/>
    <m/>
    <m/>
    <m/>
    <m/>
    <m/>
    <m/>
    <m/>
    <m/>
    <m/>
    <m/>
    <m/>
    <m/>
    <n v="1"/>
    <m/>
    <m/>
    <m/>
    <m/>
    <m/>
    <m/>
    <m/>
    <m/>
    <m/>
    <m/>
    <m/>
    <m/>
    <m/>
    <m/>
    <m/>
    <m/>
    <m/>
    <m/>
    <m/>
    <m/>
    <m/>
    <m/>
    <m/>
    <m/>
    <m/>
    <m/>
    <m/>
    <m/>
    <m/>
    <m/>
    <m/>
    <m/>
    <m/>
    <m/>
    <m/>
    <m/>
  </r>
  <r>
    <x v="100"/>
    <n v="2003"/>
    <n v="1"/>
    <x v="8"/>
    <x v="3"/>
    <x v="0"/>
    <n v="2"/>
    <s v="2003_01_009.gif"/>
    <m/>
    <m/>
    <m/>
    <b v="0"/>
    <n v="0"/>
    <x v="0"/>
    <n v="101"/>
    <s v="Centripetal Motion - Calculation"/>
    <n v="4314"/>
    <x v="2"/>
    <m/>
    <m/>
    <m/>
    <m/>
    <m/>
    <m/>
    <m/>
    <m/>
    <m/>
    <m/>
    <m/>
    <m/>
    <m/>
    <m/>
    <m/>
    <m/>
    <m/>
    <m/>
    <m/>
    <m/>
    <n v="1"/>
    <m/>
    <m/>
    <m/>
    <m/>
    <m/>
    <m/>
    <m/>
    <m/>
    <m/>
    <m/>
    <m/>
    <m/>
    <m/>
    <m/>
    <m/>
    <m/>
    <m/>
    <m/>
    <m/>
    <m/>
    <m/>
    <m/>
    <m/>
    <m/>
    <m/>
    <m/>
    <m/>
    <m/>
    <m/>
    <m/>
    <m/>
    <m/>
    <m/>
    <m/>
    <m/>
    <m/>
    <m/>
    <m/>
    <m/>
  </r>
  <r>
    <x v="101"/>
    <n v="2003"/>
    <n v="1"/>
    <x v="9"/>
    <x v="3"/>
    <x v="0"/>
    <n v="1"/>
    <s v="2003_01_010.gif"/>
    <m/>
    <m/>
    <m/>
    <b v="0"/>
    <n v="0"/>
    <x v="0"/>
    <n v="102"/>
    <s v="Centripetal Motion - Direction F,A,V"/>
    <n v="4315"/>
    <x v="2"/>
    <m/>
    <m/>
    <m/>
    <m/>
    <m/>
    <m/>
    <m/>
    <m/>
    <m/>
    <m/>
    <m/>
    <m/>
    <m/>
    <m/>
    <m/>
    <m/>
    <m/>
    <m/>
    <m/>
    <n v="1"/>
    <m/>
    <m/>
    <m/>
    <m/>
    <m/>
    <m/>
    <m/>
    <m/>
    <m/>
    <m/>
    <m/>
    <m/>
    <m/>
    <m/>
    <m/>
    <m/>
    <m/>
    <m/>
    <m/>
    <m/>
    <m/>
    <m/>
    <m/>
    <m/>
    <m/>
    <m/>
    <m/>
    <m/>
    <m/>
    <m/>
    <m/>
    <m/>
    <m/>
    <m/>
    <m/>
    <m/>
    <m/>
    <m/>
    <m/>
    <m/>
  </r>
  <r>
    <x v="102"/>
    <n v="2003"/>
    <n v="1"/>
    <x v="10"/>
    <x v="0"/>
    <x v="6"/>
    <n v="3"/>
    <s v="2003_01_011.gif"/>
    <m/>
    <m/>
    <m/>
    <b v="0"/>
    <n v="0"/>
    <x v="0"/>
    <n v="103"/>
    <s v="Vector Components,Friction"/>
    <n v="4316"/>
    <x v="2"/>
    <m/>
    <m/>
    <m/>
    <m/>
    <m/>
    <m/>
    <m/>
    <m/>
    <m/>
    <m/>
    <m/>
    <m/>
    <n v="1"/>
    <m/>
    <m/>
    <m/>
    <m/>
    <m/>
    <m/>
    <m/>
    <m/>
    <n v="1"/>
    <m/>
    <m/>
    <m/>
    <m/>
    <m/>
    <m/>
    <m/>
    <m/>
    <m/>
    <m/>
    <m/>
    <m/>
    <m/>
    <m/>
    <m/>
    <m/>
    <m/>
    <m/>
    <m/>
    <m/>
    <m/>
    <m/>
    <m/>
    <m/>
    <m/>
    <m/>
    <m/>
    <m/>
    <m/>
    <m/>
    <m/>
    <m/>
    <m/>
    <m/>
    <m/>
    <m/>
    <m/>
    <m/>
  </r>
  <r>
    <x v="103"/>
    <n v="2003"/>
    <n v="1"/>
    <x v="11"/>
    <x v="1"/>
    <x v="0"/>
    <n v="2"/>
    <s v="2003_01_012.gif"/>
    <m/>
    <m/>
    <m/>
    <b v="0"/>
    <n v="0"/>
    <x v="0"/>
    <n v="104"/>
    <s v="Friction"/>
    <n v="4317"/>
    <x v="2"/>
    <m/>
    <m/>
    <m/>
    <m/>
    <m/>
    <m/>
    <m/>
    <m/>
    <m/>
    <m/>
    <m/>
    <m/>
    <m/>
    <m/>
    <m/>
    <m/>
    <m/>
    <m/>
    <m/>
    <m/>
    <m/>
    <n v="1"/>
    <m/>
    <m/>
    <m/>
    <m/>
    <m/>
    <m/>
    <m/>
    <m/>
    <m/>
    <m/>
    <m/>
    <m/>
    <m/>
    <m/>
    <m/>
    <m/>
    <m/>
    <m/>
    <m/>
    <m/>
    <m/>
    <m/>
    <m/>
    <m/>
    <m/>
    <m/>
    <m/>
    <m/>
    <m/>
    <m/>
    <m/>
    <m/>
    <m/>
    <m/>
    <m/>
    <m/>
    <m/>
    <m/>
  </r>
  <r>
    <x v="104"/>
    <n v="2003"/>
    <n v="1"/>
    <x v="12"/>
    <x v="4"/>
    <x v="0"/>
    <n v="3"/>
    <s v="2003_01_013.gif"/>
    <m/>
    <m/>
    <m/>
    <b v="0"/>
    <n v="0"/>
    <x v="0"/>
    <n v="105"/>
    <s v="Conservation of Momentum"/>
    <n v="4318"/>
    <x v="2"/>
    <m/>
    <m/>
    <m/>
    <m/>
    <m/>
    <m/>
    <m/>
    <m/>
    <m/>
    <m/>
    <m/>
    <m/>
    <m/>
    <m/>
    <m/>
    <m/>
    <m/>
    <m/>
    <m/>
    <m/>
    <m/>
    <m/>
    <m/>
    <m/>
    <m/>
    <m/>
    <m/>
    <m/>
    <n v="1"/>
    <m/>
    <m/>
    <m/>
    <m/>
    <m/>
    <m/>
    <m/>
    <m/>
    <m/>
    <m/>
    <m/>
    <m/>
    <m/>
    <m/>
    <m/>
    <m/>
    <m/>
    <m/>
    <m/>
    <m/>
    <m/>
    <m/>
    <m/>
    <m/>
    <m/>
    <m/>
    <m/>
    <m/>
    <m/>
    <m/>
    <m/>
  </r>
  <r>
    <x v="105"/>
    <n v="2003"/>
    <n v="1"/>
    <x v="13"/>
    <x v="1"/>
    <x v="2"/>
    <n v="1"/>
    <s v="2003_01_014.gif"/>
    <m/>
    <m/>
    <m/>
    <b v="0"/>
    <n v="0"/>
    <x v="0"/>
    <n v="106"/>
    <s v="Law of Gravity,Mathematical Relationships (Numberless Problems)"/>
    <n v="4319"/>
    <x v="2"/>
    <m/>
    <m/>
    <m/>
    <m/>
    <m/>
    <m/>
    <m/>
    <m/>
    <m/>
    <m/>
    <m/>
    <m/>
    <m/>
    <m/>
    <m/>
    <m/>
    <m/>
    <m/>
    <m/>
    <m/>
    <m/>
    <m/>
    <m/>
    <m/>
    <n v="1"/>
    <m/>
    <m/>
    <m/>
    <m/>
    <m/>
    <m/>
    <m/>
    <m/>
    <m/>
    <m/>
    <m/>
    <m/>
    <m/>
    <m/>
    <m/>
    <m/>
    <m/>
    <m/>
    <m/>
    <m/>
    <m/>
    <m/>
    <m/>
    <m/>
    <m/>
    <m/>
    <m/>
    <m/>
    <m/>
    <m/>
    <m/>
    <m/>
    <m/>
    <n v="1"/>
    <m/>
  </r>
  <r>
    <x v="106"/>
    <n v="2003"/>
    <n v="1"/>
    <x v="14"/>
    <x v="5"/>
    <x v="0"/>
    <n v="3"/>
    <s v="2003_01_015.gif"/>
    <m/>
    <m/>
    <m/>
    <b v="0"/>
    <n v="0"/>
    <x v="0"/>
    <n v="107"/>
    <s v="Gravitational PE"/>
    <n v="4320"/>
    <x v="2"/>
    <m/>
    <m/>
    <m/>
    <m/>
    <m/>
    <m/>
    <m/>
    <m/>
    <m/>
    <m/>
    <m/>
    <m/>
    <m/>
    <m/>
    <m/>
    <m/>
    <m/>
    <m/>
    <m/>
    <m/>
    <m/>
    <m/>
    <m/>
    <m/>
    <m/>
    <m/>
    <m/>
    <m/>
    <m/>
    <m/>
    <m/>
    <m/>
    <n v="1"/>
    <m/>
    <m/>
    <m/>
    <m/>
    <m/>
    <m/>
    <m/>
    <m/>
    <m/>
    <m/>
    <m/>
    <m/>
    <m/>
    <m/>
    <m/>
    <m/>
    <m/>
    <m/>
    <m/>
    <m/>
    <m/>
    <m/>
    <m/>
    <m/>
    <m/>
    <m/>
    <m/>
  </r>
  <r>
    <x v="107"/>
    <n v="2003"/>
    <n v="1"/>
    <x v="15"/>
    <x v="5"/>
    <x v="0"/>
    <n v="2"/>
    <s v="2003_01_016.gif"/>
    <m/>
    <m/>
    <m/>
    <b v="0"/>
    <n v="0"/>
    <x v="0"/>
    <n v="108"/>
    <s v="Conservation of Energy"/>
    <n v="4321"/>
    <x v="2"/>
    <m/>
    <m/>
    <m/>
    <m/>
    <m/>
    <m/>
    <m/>
    <m/>
    <m/>
    <m/>
    <m/>
    <m/>
    <m/>
    <m/>
    <m/>
    <m/>
    <m/>
    <m/>
    <m/>
    <m/>
    <m/>
    <m/>
    <m/>
    <m/>
    <m/>
    <m/>
    <m/>
    <m/>
    <m/>
    <m/>
    <m/>
    <n v="1"/>
    <m/>
    <m/>
    <m/>
    <m/>
    <m/>
    <m/>
    <m/>
    <m/>
    <m/>
    <m/>
    <m/>
    <m/>
    <m/>
    <m/>
    <m/>
    <m/>
    <m/>
    <m/>
    <m/>
    <m/>
    <m/>
    <m/>
    <m/>
    <m/>
    <m/>
    <m/>
    <m/>
    <m/>
  </r>
  <r>
    <x v="108"/>
    <n v="2003"/>
    <n v="1"/>
    <x v="16"/>
    <x v="6"/>
    <x v="0"/>
    <n v="3"/>
    <s v="2003_01_017.gif"/>
    <m/>
    <m/>
    <m/>
    <b v="0"/>
    <n v="0"/>
    <x v="0"/>
    <n v="109"/>
    <s v="Electric Fields and Potential"/>
    <n v="4322"/>
    <x v="2"/>
    <m/>
    <m/>
    <m/>
    <m/>
    <m/>
    <m/>
    <m/>
    <m/>
    <m/>
    <m/>
    <m/>
    <m/>
    <m/>
    <m/>
    <m/>
    <m/>
    <m/>
    <m/>
    <m/>
    <m/>
    <m/>
    <m/>
    <m/>
    <m/>
    <m/>
    <m/>
    <m/>
    <m/>
    <m/>
    <m/>
    <m/>
    <m/>
    <m/>
    <m/>
    <m/>
    <m/>
    <m/>
    <m/>
    <m/>
    <m/>
    <m/>
    <m/>
    <m/>
    <m/>
    <m/>
    <m/>
    <m/>
    <n v="1"/>
    <m/>
    <m/>
    <m/>
    <m/>
    <m/>
    <m/>
    <m/>
    <m/>
    <m/>
    <m/>
    <m/>
    <m/>
  </r>
  <r>
    <x v="109"/>
    <n v="2003"/>
    <n v="1"/>
    <x v="17"/>
    <x v="5"/>
    <x v="0"/>
    <n v="3"/>
    <s v="2003_01_018.gif"/>
    <m/>
    <m/>
    <m/>
    <b v="0"/>
    <n v="0"/>
    <x v="0"/>
    <n v="110"/>
    <s v="Work/Power"/>
    <n v="4323"/>
    <x v="2"/>
    <m/>
    <m/>
    <m/>
    <m/>
    <m/>
    <m/>
    <m/>
    <m/>
    <m/>
    <m/>
    <m/>
    <m/>
    <m/>
    <m/>
    <m/>
    <m/>
    <m/>
    <m/>
    <m/>
    <m/>
    <m/>
    <m/>
    <m/>
    <m/>
    <m/>
    <m/>
    <m/>
    <m/>
    <m/>
    <m/>
    <m/>
    <m/>
    <m/>
    <m/>
    <m/>
    <n v="1"/>
    <m/>
    <m/>
    <m/>
    <m/>
    <m/>
    <m/>
    <m/>
    <m/>
    <m/>
    <m/>
    <m/>
    <m/>
    <m/>
    <m/>
    <m/>
    <m/>
    <m/>
    <m/>
    <m/>
    <m/>
    <m/>
    <m/>
    <m/>
    <m/>
  </r>
  <r>
    <x v="110"/>
    <n v="2003"/>
    <n v="1"/>
    <x v="18"/>
    <x v="6"/>
    <x v="0"/>
    <n v="4"/>
    <s v="2003_01_019.gif"/>
    <m/>
    <m/>
    <m/>
    <b v="0"/>
    <n v="0"/>
    <x v="0"/>
    <n v="111"/>
    <s v="Induction, Conduction, Polarization"/>
    <n v="4324"/>
    <x v="2"/>
    <m/>
    <m/>
    <m/>
    <m/>
    <m/>
    <m/>
    <m/>
    <m/>
    <m/>
    <m/>
    <m/>
    <m/>
    <m/>
    <m/>
    <m/>
    <m/>
    <m/>
    <m/>
    <m/>
    <m/>
    <m/>
    <m/>
    <m/>
    <m/>
    <m/>
    <m/>
    <m/>
    <m/>
    <m/>
    <m/>
    <m/>
    <m/>
    <m/>
    <m/>
    <m/>
    <m/>
    <m/>
    <m/>
    <m/>
    <m/>
    <m/>
    <m/>
    <m/>
    <m/>
    <m/>
    <m/>
    <n v="1"/>
    <m/>
    <m/>
    <m/>
    <m/>
    <m/>
    <m/>
    <m/>
    <m/>
    <m/>
    <m/>
    <m/>
    <m/>
    <m/>
  </r>
  <r>
    <x v="111"/>
    <n v="2003"/>
    <n v="1"/>
    <x v="19"/>
    <x v="6"/>
    <x v="2"/>
    <n v="1"/>
    <s v="2003_01_020.gif"/>
    <m/>
    <m/>
    <m/>
    <b v="0"/>
    <n v="0"/>
    <x v="0"/>
    <n v="112"/>
    <s v="Coulomb's Law,Graph Interpretation,Mathematical Relationships (Numberless Problems)"/>
    <n v="4325"/>
    <x v="2"/>
    <m/>
    <m/>
    <m/>
    <m/>
    <m/>
    <m/>
    <m/>
    <m/>
    <m/>
    <m/>
    <m/>
    <m/>
    <m/>
    <m/>
    <m/>
    <m/>
    <m/>
    <m/>
    <m/>
    <m/>
    <m/>
    <m/>
    <m/>
    <m/>
    <m/>
    <m/>
    <m/>
    <m/>
    <m/>
    <m/>
    <m/>
    <m/>
    <m/>
    <m/>
    <m/>
    <m/>
    <m/>
    <m/>
    <m/>
    <m/>
    <m/>
    <m/>
    <m/>
    <m/>
    <m/>
    <n v="1"/>
    <m/>
    <m/>
    <m/>
    <m/>
    <m/>
    <m/>
    <m/>
    <m/>
    <m/>
    <m/>
    <m/>
    <n v="1"/>
    <n v="1"/>
    <m/>
  </r>
  <r>
    <x v="112"/>
    <n v="2003"/>
    <n v="1"/>
    <x v="20"/>
    <x v="6"/>
    <x v="0"/>
    <n v="1"/>
    <s v="2003_01_021.gif"/>
    <m/>
    <m/>
    <m/>
    <b v="0"/>
    <n v="0"/>
    <x v="0"/>
    <n v="113"/>
    <s v="Induction, Conduction, Polarization"/>
    <n v="4326"/>
    <x v="2"/>
    <m/>
    <m/>
    <m/>
    <m/>
    <m/>
    <m/>
    <m/>
    <m/>
    <m/>
    <m/>
    <m/>
    <m/>
    <m/>
    <m/>
    <m/>
    <m/>
    <m/>
    <m/>
    <m/>
    <m/>
    <m/>
    <m/>
    <m/>
    <m/>
    <m/>
    <m/>
    <m/>
    <m/>
    <m/>
    <m/>
    <m/>
    <m/>
    <m/>
    <m/>
    <m/>
    <m/>
    <m/>
    <m/>
    <m/>
    <m/>
    <m/>
    <m/>
    <m/>
    <m/>
    <m/>
    <m/>
    <n v="1"/>
    <m/>
    <m/>
    <m/>
    <m/>
    <m/>
    <m/>
    <m/>
    <m/>
    <m/>
    <m/>
    <m/>
    <m/>
    <m/>
  </r>
  <r>
    <x v="113"/>
    <n v="2003"/>
    <n v="1"/>
    <x v="21"/>
    <x v="8"/>
    <x v="0"/>
    <n v="2"/>
    <s v="2003_01_022.gif"/>
    <m/>
    <m/>
    <m/>
    <b v="0"/>
    <n v="0"/>
    <x v="0"/>
    <n v="114"/>
    <s v="Electrical Definitions"/>
    <n v="4327"/>
    <x v="2"/>
    <m/>
    <m/>
    <m/>
    <m/>
    <m/>
    <m/>
    <m/>
    <m/>
    <m/>
    <m/>
    <m/>
    <m/>
    <m/>
    <m/>
    <m/>
    <m/>
    <m/>
    <m/>
    <m/>
    <m/>
    <m/>
    <m/>
    <m/>
    <m/>
    <m/>
    <m/>
    <m/>
    <m/>
    <m/>
    <m/>
    <m/>
    <m/>
    <m/>
    <m/>
    <m/>
    <m/>
    <m/>
    <m/>
    <m/>
    <m/>
    <m/>
    <m/>
    <m/>
    <m/>
    <m/>
    <m/>
    <m/>
    <m/>
    <n v="1"/>
    <m/>
    <m/>
    <m/>
    <m/>
    <m/>
    <m/>
    <m/>
    <m/>
    <m/>
    <m/>
    <m/>
  </r>
  <r>
    <x v="114"/>
    <n v="2003"/>
    <n v="1"/>
    <x v="22"/>
    <x v="6"/>
    <x v="0"/>
    <n v="4"/>
    <s v="2003_01_023.gif"/>
    <m/>
    <m/>
    <m/>
    <b v="0"/>
    <n v="0"/>
    <x v="0"/>
    <n v="115"/>
    <s v="Electric Fields and Potential"/>
    <n v="4328"/>
    <x v="2"/>
    <m/>
    <m/>
    <m/>
    <m/>
    <m/>
    <m/>
    <m/>
    <m/>
    <m/>
    <m/>
    <m/>
    <m/>
    <m/>
    <m/>
    <m/>
    <m/>
    <m/>
    <m/>
    <m/>
    <m/>
    <m/>
    <m/>
    <m/>
    <m/>
    <m/>
    <m/>
    <m/>
    <m/>
    <m/>
    <m/>
    <m/>
    <m/>
    <m/>
    <m/>
    <m/>
    <m/>
    <m/>
    <m/>
    <m/>
    <m/>
    <m/>
    <m/>
    <m/>
    <m/>
    <m/>
    <m/>
    <m/>
    <n v="1"/>
    <m/>
    <m/>
    <m/>
    <m/>
    <m/>
    <m/>
    <m/>
    <m/>
    <m/>
    <m/>
    <m/>
    <m/>
  </r>
  <r>
    <x v="115"/>
    <n v="2003"/>
    <n v="1"/>
    <x v="23"/>
    <x v="7"/>
    <x v="0"/>
    <n v="1"/>
    <s v="2003_01_024.gif"/>
    <m/>
    <m/>
    <m/>
    <b v="0"/>
    <n v="0"/>
    <x v="0"/>
    <n v="116"/>
    <s v="Wave Vocabulary"/>
    <n v="4329"/>
    <x v="2"/>
    <m/>
    <m/>
    <m/>
    <m/>
    <m/>
    <m/>
    <m/>
    <m/>
    <m/>
    <m/>
    <m/>
    <m/>
    <m/>
    <m/>
    <m/>
    <m/>
    <m/>
    <m/>
    <m/>
    <m/>
    <m/>
    <m/>
    <m/>
    <m/>
    <m/>
    <m/>
    <m/>
    <m/>
    <m/>
    <m/>
    <m/>
    <m/>
    <m/>
    <m/>
    <m/>
    <m/>
    <m/>
    <m/>
    <m/>
    <n v="1"/>
    <m/>
    <m/>
    <m/>
    <m/>
    <m/>
    <m/>
    <m/>
    <m/>
    <m/>
    <m/>
    <m/>
    <m/>
    <m/>
    <m/>
    <m/>
    <m/>
    <m/>
    <m/>
    <m/>
    <m/>
  </r>
  <r>
    <x v="116"/>
    <n v="2003"/>
    <n v="1"/>
    <x v="24"/>
    <x v="8"/>
    <x v="2"/>
    <n v="2"/>
    <s v="2003_01_025.gif"/>
    <m/>
    <m/>
    <m/>
    <b v="0"/>
    <n v="0"/>
    <x v="0"/>
    <n v="117"/>
    <s v="Electrical Power,Mathematical Relationships (Numberless Problems)"/>
    <n v="4330"/>
    <x v="2"/>
    <m/>
    <m/>
    <m/>
    <m/>
    <m/>
    <m/>
    <m/>
    <m/>
    <m/>
    <m/>
    <m/>
    <m/>
    <m/>
    <m/>
    <m/>
    <m/>
    <m/>
    <m/>
    <m/>
    <m/>
    <m/>
    <m/>
    <m/>
    <m/>
    <m/>
    <m/>
    <m/>
    <m/>
    <m/>
    <m/>
    <m/>
    <m/>
    <m/>
    <m/>
    <m/>
    <m/>
    <m/>
    <m/>
    <m/>
    <m/>
    <m/>
    <m/>
    <m/>
    <m/>
    <m/>
    <m/>
    <m/>
    <m/>
    <m/>
    <n v="1"/>
    <m/>
    <m/>
    <m/>
    <m/>
    <m/>
    <m/>
    <m/>
    <m/>
    <n v="1"/>
    <m/>
  </r>
  <r>
    <x v="117"/>
    <n v="2003"/>
    <n v="1"/>
    <x v="25"/>
    <x v="8"/>
    <x v="0"/>
    <n v="4"/>
    <s v="2003_01_026.gif"/>
    <m/>
    <m/>
    <m/>
    <b v="0"/>
    <n v="0"/>
    <x v="0"/>
    <n v="118"/>
    <s v="Electrical Power"/>
    <n v="4331"/>
    <x v="2"/>
    <m/>
    <m/>
    <m/>
    <m/>
    <m/>
    <m/>
    <m/>
    <m/>
    <m/>
    <m/>
    <m/>
    <m/>
    <m/>
    <m/>
    <m/>
    <m/>
    <m/>
    <m/>
    <m/>
    <m/>
    <m/>
    <m/>
    <m/>
    <m/>
    <m/>
    <m/>
    <m/>
    <m/>
    <m/>
    <m/>
    <m/>
    <m/>
    <m/>
    <m/>
    <m/>
    <m/>
    <m/>
    <m/>
    <m/>
    <m/>
    <m/>
    <m/>
    <m/>
    <m/>
    <m/>
    <m/>
    <m/>
    <m/>
    <m/>
    <n v="1"/>
    <m/>
    <m/>
    <m/>
    <m/>
    <m/>
    <m/>
    <m/>
    <m/>
    <m/>
    <m/>
  </r>
  <r>
    <x v="118"/>
    <n v="2003"/>
    <n v="1"/>
    <x v="26"/>
    <x v="7"/>
    <x v="0"/>
    <n v="4"/>
    <s v="2003_01_027.gif"/>
    <m/>
    <m/>
    <m/>
    <b v="0"/>
    <n v="0"/>
    <x v="0"/>
    <n v="119"/>
    <s v="Wave Vocabulary"/>
    <n v="4332"/>
    <x v="2"/>
    <m/>
    <m/>
    <m/>
    <m/>
    <m/>
    <m/>
    <m/>
    <m/>
    <m/>
    <m/>
    <m/>
    <m/>
    <m/>
    <m/>
    <m/>
    <m/>
    <m/>
    <m/>
    <m/>
    <m/>
    <m/>
    <m/>
    <m/>
    <m/>
    <m/>
    <m/>
    <m/>
    <m/>
    <m/>
    <m/>
    <m/>
    <m/>
    <m/>
    <m/>
    <m/>
    <m/>
    <m/>
    <m/>
    <m/>
    <n v="1"/>
    <m/>
    <m/>
    <m/>
    <m/>
    <m/>
    <m/>
    <m/>
    <m/>
    <m/>
    <m/>
    <m/>
    <m/>
    <m/>
    <m/>
    <m/>
    <m/>
    <m/>
    <m/>
    <m/>
    <m/>
  </r>
  <r>
    <x v="119"/>
    <n v="2003"/>
    <n v="1"/>
    <x v="27"/>
    <x v="7"/>
    <x v="0"/>
    <n v="2"/>
    <s v="2003_01_028.gif"/>
    <m/>
    <m/>
    <m/>
    <b v="0"/>
    <n v="0"/>
    <x v="0"/>
    <n v="120"/>
    <s v="Wave Vocabulary"/>
    <n v="4333"/>
    <x v="2"/>
    <m/>
    <m/>
    <m/>
    <m/>
    <m/>
    <m/>
    <m/>
    <m/>
    <m/>
    <m/>
    <m/>
    <m/>
    <m/>
    <m/>
    <m/>
    <m/>
    <m/>
    <m/>
    <m/>
    <m/>
    <m/>
    <m/>
    <m/>
    <m/>
    <m/>
    <m/>
    <m/>
    <m/>
    <m/>
    <m/>
    <m/>
    <m/>
    <m/>
    <m/>
    <m/>
    <m/>
    <m/>
    <m/>
    <m/>
    <n v="1"/>
    <m/>
    <m/>
    <m/>
    <m/>
    <m/>
    <m/>
    <m/>
    <m/>
    <m/>
    <m/>
    <m/>
    <m/>
    <m/>
    <m/>
    <m/>
    <m/>
    <m/>
    <m/>
    <m/>
    <m/>
  </r>
  <r>
    <x v="120"/>
    <n v="2003"/>
    <n v="1"/>
    <x v="28"/>
    <x v="7"/>
    <x v="0"/>
    <n v="1"/>
    <s v="2003_01_029.gif"/>
    <m/>
    <m/>
    <m/>
    <b v="0"/>
    <n v="0"/>
    <x v="0"/>
    <n v="121"/>
    <s v="V=FxLamda,Wave Vocabulary"/>
    <n v="4334"/>
    <x v="2"/>
    <m/>
    <m/>
    <m/>
    <m/>
    <m/>
    <m/>
    <m/>
    <m/>
    <m/>
    <m/>
    <m/>
    <m/>
    <m/>
    <m/>
    <m/>
    <m/>
    <m/>
    <m/>
    <m/>
    <m/>
    <m/>
    <m/>
    <m/>
    <m/>
    <m/>
    <m/>
    <m/>
    <m/>
    <m/>
    <m/>
    <m/>
    <m/>
    <m/>
    <m/>
    <m/>
    <m/>
    <m/>
    <m/>
    <n v="1"/>
    <n v="1"/>
    <m/>
    <m/>
    <m/>
    <m/>
    <m/>
    <m/>
    <m/>
    <m/>
    <m/>
    <m/>
    <m/>
    <m/>
    <m/>
    <m/>
    <m/>
    <m/>
    <m/>
    <m/>
    <m/>
    <m/>
  </r>
  <r>
    <x v="121"/>
    <n v="2003"/>
    <n v="1"/>
    <x v="29"/>
    <x v="9"/>
    <x v="0"/>
    <n v="4"/>
    <s v="2003_01_030.gif"/>
    <m/>
    <m/>
    <m/>
    <b v="0"/>
    <n v="0"/>
    <x v="0"/>
    <n v="122"/>
    <s v="Refraction and Snell's Law"/>
    <n v="4335"/>
    <x v="2"/>
    <m/>
    <m/>
    <m/>
    <m/>
    <m/>
    <m/>
    <m/>
    <m/>
    <m/>
    <m/>
    <m/>
    <m/>
    <m/>
    <m/>
    <m/>
    <m/>
    <m/>
    <m/>
    <m/>
    <m/>
    <m/>
    <m/>
    <m/>
    <m/>
    <m/>
    <m/>
    <m/>
    <m/>
    <m/>
    <m/>
    <m/>
    <m/>
    <m/>
    <m/>
    <m/>
    <m/>
    <m/>
    <m/>
    <m/>
    <m/>
    <m/>
    <m/>
    <m/>
    <n v="1"/>
    <m/>
    <m/>
    <m/>
    <m/>
    <m/>
    <m/>
    <m/>
    <m/>
    <m/>
    <m/>
    <m/>
    <m/>
    <m/>
    <m/>
    <m/>
    <m/>
  </r>
  <r>
    <x v="122"/>
    <n v="2003"/>
    <n v="1"/>
    <x v="30"/>
    <x v="7"/>
    <x v="0"/>
    <n v="3"/>
    <s v="2003_01_031.gif"/>
    <m/>
    <m/>
    <m/>
    <b v="0"/>
    <n v="0"/>
    <x v="0"/>
    <n v="123"/>
    <s v="V=FxLamda"/>
    <n v="4336"/>
    <x v="2"/>
    <m/>
    <m/>
    <m/>
    <m/>
    <m/>
    <m/>
    <m/>
    <m/>
    <m/>
    <m/>
    <m/>
    <m/>
    <m/>
    <m/>
    <m/>
    <m/>
    <m/>
    <m/>
    <m/>
    <m/>
    <m/>
    <m/>
    <m/>
    <m/>
    <m/>
    <m/>
    <m/>
    <m/>
    <m/>
    <m/>
    <m/>
    <m/>
    <m/>
    <m/>
    <m/>
    <m/>
    <m/>
    <m/>
    <n v="1"/>
    <m/>
    <m/>
    <m/>
    <m/>
    <m/>
    <m/>
    <m/>
    <m/>
    <m/>
    <m/>
    <m/>
    <m/>
    <m/>
    <m/>
    <m/>
    <m/>
    <m/>
    <m/>
    <m/>
    <m/>
    <m/>
  </r>
  <r>
    <x v="123"/>
    <n v="2003"/>
    <n v="1"/>
    <x v="31"/>
    <x v="9"/>
    <x v="0"/>
    <n v="2"/>
    <s v="2003_01_032.gif"/>
    <m/>
    <m/>
    <m/>
    <b v="0"/>
    <n v="0"/>
    <x v="0"/>
    <n v="124"/>
    <s v="Doppler Effect"/>
    <n v="4337"/>
    <x v="2"/>
    <m/>
    <m/>
    <m/>
    <m/>
    <m/>
    <m/>
    <m/>
    <m/>
    <m/>
    <m/>
    <m/>
    <m/>
    <m/>
    <m/>
    <m/>
    <m/>
    <m/>
    <m/>
    <m/>
    <m/>
    <m/>
    <m/>
    <m/>
    <m/>
    <m/>
    <m/>
    <m/>
    <m/>
    <m/>
    <m/>
    <m/>
    <m/>
    <m/>
    <m/>
    <m/>
    <m/>
    <m/>
    <m/>
    <m/>
    <m/>
    <m/>
    <n v="1"/>
    <m/>
    <m/>
    <m/>
    <m/>
    <m/>
    <m/>
    <m/>
    <m/>
    <m/>
    <m/>
    <m/>
    <m/>
    <m/>
    <m/>
    <m/>
    <m/>
    <m/>
    <m/>
  </r>
  <r>
    <x v="124"/>
    <n v="2003"/>
    <n v="1"/>
    <x v="32"/>
    <x v="7"/>
    <x v="0"/>
    <n v="2"/>
    <s v="2003_01_033.gif"/>
    <m/>
    <m/>
    <m/>
    <b v="0"/>
    <n v="0"/>
    <x v="0"/>
    <n v="125"/>
    <s v="Superposition and Standing Waves"/>
    <n v="4338"/>
    <x v="2"/>
    <m/>
    <m/>
    <m/>
    <m/>
    <m/>
    <m/>
    <m/>
    <m/>
    <m/>
    <m/>
    <m/>
    <m/>
    <m/>
    <m/>
    <m/>
    <m/>
    <m/>
    <m/>
    <m/>
    <m/>
    <m/>
    <m/>
    <m/>
    <m/>
    <m/>
    <m/>
    <m/>
    <m/>
    <m/>
    <m/>
    <m/>
    <m/>
    <m/>
    <m/>
    <m/>
    <m/>
    <m/>
    <n v="1"/>
    <m/>
    <m/>
    <m/>
    <m/>
    <m/>
    <m/>
    <m/>
    <m/>
    <m/>
    <m/>
    <m/>
    <m/>
    <m/>
    <m/>
    <m/>
    <m/>
    <m/>
    <m/>
    <m/>
    <m/>
    <m/>
    <m/>
  </r>
  <r>
    <x v="125"/>
    <n v="2003"/>
    <n v="1"/>
    <x v="33"/>
    <x v="6"/>
    <x v="0"/>
    <n v="4"/>
    <s v="2003_01_034.gif"/>
    <m/>
    <m/>
    <m/>
    <b v="0"/>
    <n v="0"/>
    <x v="0"/>
    <n v="126"/>
    <s v="Conservation of Charge"/>
    <n v="4339"/>
    <x v="2"/>
    <m/>
    <m/>
    <m/>
    <m/>
    <m/>
    <m/>
    <m/>
    <m/>
    <m/>
    <m/>
    <m/>
    <m/>
    <m/>
    <m/>
    <m/>
    <m/>
    <m/>
    <m/>
    <m/>
    <m/>
    <m/>
    <m/>
    <m/>
    <m/>
    <m/>
    <m/>
    <m/>
    <m/>
    <m/>
    <m/>
    <m/>
    <m/>
    <m/>
    <m/>
    <m/>
    <m/>
    <m/>
    <m/>
    <m/>
    <m/>
    <m/>
    <m/>
    <m/>
    <m/>
    <n v="1"/>
    <m/>
    <m/>
    <m/>
    <m/>
    <m/>
    <m/>
    <m/>
    <m/>
    <m/>
    <m/>
    <m/>
    <m/>
    <m/>
    <m/>
    <m/>
  </r>
  <r>
    <x v="126"/>
    <n v="2003"/>
    <n v="1"/>
    <x v="34"/>
    <x v="11"/>
    <x v="7"/>
    <n v="4"/>
    <s v="2003_01_035.gif"/>
    <m/>
    <m/>
    <m/>
    <b v="0"/>
    <n v="0"/>
    <x v="0"/>
    <n v="127"/>
    <s v="Units,Electrical Power"/>
    <n v="4340"/>
    <x v="2"/>
    <m/>
    <m/>
    <m/>
    <n v="1"/>
    <m/>
    <m/>
    <m/>
    <m/>
    <m/>
    <m/>
    <m/>
    <m/>
    <m/>
    <m/>
    <m/>
    <m/>
    <m/>
    <m/>
    <m/>
    <m/>
    <m/>
    <m/>
    <m/>
    <m/>
    <m/>
    <m/>
    <m/>
    <m/>
    <m/>
    <m/>
    <m/>
    <m/>
    <m/>
    <m/>
    <m/>
    <m/>
    <m/>
    <m/>
    <m/>
    <m/>
    <m/>
    <m/>
    <m/>
    <m/>
    <m/>
    <m/>
    <m/>
    <m/>
    <m/>
    <n v="1"/>
    <m/>
    <m/>
    <m/>
    <m/>
    <m/>
    <m/>
    <m/>
    <m/>
    <m/>
    <m/>
  </r>
  <r>
    <x v="127"/>
    <n v="2003"/>
    <n v="1"/>
    <x v="35"/>
    <x v="0"/>
    <x v="0"/>
    <n v="4"/>
    <s v="2003_01_036.gif"/>
    <m/>
    <m/>
    <m/>
    <b v="0"/>
    <n v="0"/>
    <x v="1"/>
    <n v="128"/>
    <s v="Adding Vectors"/>
    <n v="4341"/>
    <x v="2"/>
    <m/>
    <m/>
    <m/>
    <m/>
    <m/>
    <m/>
    <m/>
    <m/>
    <m/>
    <m/>
    <m/>
    <n v="1"/>
    <m/>
    <m/>
    <m/>
    <m/>
    <m/>
    <m/>
    <m/>
    <m/>
    <m/>
    <m/>
    <m/>
    <m/>
    <m/>
    <m/>
    <m/>
    <m/>
    <m/>
    <m/>
    <m/>
    <m/>
    <m/>
    <m/>
    <m/>
    <m/>
    <m/>
    <m/>
    <m/>
    <m/>
    <m/>
    <m/>
    <m/>
    <m/>
    <m/>
    <m/>
    <m/>
    <m/>
    <m/>
    <m/>
    <m/>
    <m/>
    <m/>
    <m/>
    <m/>
    <m/>
    <m/>
    <m/>
    <m/>
    <m/>
  </r>
  <r>
    <x v="128"/>
    <n v="2003"/>
    <n v="1"/>
    <x v="36"/>
    <x v="0"/>
    <x v="0"/>
    <n v="1"/>
    <s v="2003_01_037.gif"/>
    <m/>
    <m/>
    <m/>
    <b v="0"/>
    <n v="0"/>
    <x v="1"/>
    <n v="129"/>
    <s v="Vector Components"/>
    <n v="4342"/>
    <x v="2"/>
    <m/>
    <m/>
    <m/>
    <m/>
    <m/>
    <m/>
    <m/>
    <m/>
    <m/>
    <m/>
    <m/>
    <m/>
    <n v="1"/>
    <m/>
    <m/>
    <m/>
    <m/>
    <m/>
    <m/>
    <m/>
    <m/>
    <m/>
    <m/>
    <m/>
    <m/>
    <m/>
    <m/>
    <m/>
    <m/>
    <m/>
    <m/>
    <m/>
    <m/>
    <m/>
    <m/>
    <m/>
    <m/>
    <m/>
    <m/>
    <m/>
    <m/>
    <m/>
    <m/>
    <m/>
    <m/>
    <m/>
    <m/>
    <m/>
    <m/>
    <m/>
    <m/>
    <m/>
    <m/>
    <m/>
    <m/>
    <m/>
    <m/>
    <m/>
    <m/>
    <m/>
  </r>
  <r>
    <x v="129"/>
    <n v="2003"/>
    <n v="1"/>
    <x v="37"/>
    <x v="11"/>
    <x v="0"/>
    <n v="3"/>
    <s v="2003_01_038.gif"/>
    <m/>
    <m/>
    <m/>
    <b v="0"/>
    <n v="0"/>
    <x v="1"/>
    <n v="130"/>
    <s v="Estimation"/>
    <n v="4343"/>
    <x v="2"/>
    <m/>
    <m/>
    <n v="1"/>
    <m/>
    <m/>
    <m/>
    <m/>
    <m/>
    <m/>
    <m/>
    <m/>
    <m/>
    <m/>
    <m/>
    <m/>
    <m/>
    <m/>
    <m/>
    <m/>
    <m/>
    <m/>
    <m/>
    <m/>
    <m/>
    <m/>
    <m/>
    <m/>
    <m/>
    <m/>
    <m/>
    <m/>
    <m/>
    <m/>
    <m/>
    <m/>
    <m/>
    <m/>
    <m/>
    <m/>
    <m/>
    <m/>
    <m/>
    <m/>
    <m/>
    <m/>
    <m/>
    <m/>
    <m/>
    <m/>
    <m/>
    <m/>
    <m/>
    <m/>
    <m/>
    <m/>
    <m/>
    <m/>
    <m/>
    <m/>
    <m/>
  </r>
  <r>
    <x v="130"/>
    <n v="2003"/>
    <n v="1"/>
    <x v="38"/>
    <x v="5"/>
    <x v="0"/>
    <n v="2"/>
    <s v="2003_01_039.gif"/>
    <m/>
    <m/>
    <m/>
    <b v="0"/>
    <n v="0"/>
    <x v="1"/>
    <n v="131"/>
    <s v="Conservation of Energy"/>
    <n v="4344"/>
    <x v="2"/>
    <m/>
    <m/>
    <m/>
    <m/>
    <m/>
    <m/>
    <m/>
    <m/>
    <m/>
    <m/>
    <m/>
    <m/>
    <m/>
    <m/>
    <m/>
    <m/>
    <m/>
    <m/>
    <m/>
    <m/>
    <m/>
    <m/>
    <m/>
    <m/>
    <m/>
    <m/>
    <m/>
    <m/>
    <m/>
    <m/>
    <m/>
    <n v="1"/>
    <m/>
    <m/>
    <m/>
    <m/>
    <m/>
    <m/>
    <m/>
    <m/>
    <m/>
    <m/>
    <m/>
    <m/>
    <m/>
    <m/>
    <m/>
    <m/>
    <m/>
    <m/>
    <m/>
    <m/>
    <m/>
    <m/>
    <m/>
    <m/>
    <m/>
    <m/>
    <m/>
    <m/>
  </r>
  <r>
    <x v="131"/>
    <n v="2003"/>
    <n v="1"/>
    <x v="39"/>
    <x v="9"/>
    <x v="8"/>
    <n v="2"/>
    <s v="2003_01_040.gif"/>
    <m/>
    <m/>
    <m/>
    <b v="0"/>
    <n v="0"/>
    <x v="1"/>
    <n v="132"/>
    <s v="Light and Sound,Energy/Frequency of Photon"/>
    <n v="4345"/>
    <x v="2"/>
    <m/>
    <m/>
    <m/>
    <m/>
    <m/>
    <m/>
    <m/>
    <m/>
    <m/>
    <m/>
    <m/>
    <m/>
    <m/>
    <m/>
    <m/>
    <m/>
    <m/>
    <m/>
    <m/>
    <m/>
    <m/>
    <m/>
    <m/>
    <m/>
    <m/>
    <m/>
    <m/>
    <m/>
    <m/>
    <m/>
    <m/>
    <m/>
    <m/>
    <m/>
    <m/>
    <m/>
    <m/>
    <m/>
    <m/>
    <m/>
    <m/>
    <m/>
    <n v="1"/>
    <m/>
    <m/>
    <m/>
    <m/>
    <m/>
    <m/>
    <m/>
    <m/>
    <m/>
    <m/>
    <m/>
    <n v="1"/>
    <m/>
    <m/>
    <m/>
    <m/>
    <m/>
  </r>
  <r>
    <x v="132"/>
    <n v="2003"/>
    <n v="1"/>
    <x v="40"/>
    <x v="5"/>
    <x v="0"/>
    <n v="2"/>
    <s v="2003_01_041.gif"/>
    <m/>
    <m/>
    <m/>
    <b v="0"/>
    <n v="0"/>
    <x v="1"/>
    <n v="133"/>
    <s v="PE of Spring"/>
    <n v="4346"/>
    <x v="2"/>
    <m/>
    <m/>
    <m/>
    <m/>
    <m/>
    <m/>
    <m/>
    <m/>
    <m/>
    <m/>
    <m/>
    <m/>
    <m/>
    <m/>
    <m/>
    <m/>
    <m/>
    <m/>
    <m/>
    <m/>
    <m/>
    <m/>
    <m/>
    <m/>
    <m/>
    <m/>
    <m/>
    <m/>
    <m/>
    <m/>
    <m/>
    <m/>
    <m/>
    <m/>
    <n v="1"/>
    <m/>
    <m/>
    <m/>
    <m/>
    <m/>
    <m/>
    <m/>
    <m/>
    <m/>
    <m/>
    <m/>
    <m/>
    <m/>
    <m/>
    <m/>
    <m/>
    <m/>
    <m/>
    <m/>
    <m/>
    <m/>
    <m/>
    <m/>
    <m/>
    <m/>
  </r>
  <r>
    <x v="133"/>
    <n v="2003"/>
    <n v="1"/>
    <x v="41"/>
    <x v="8"/>
    <x v="2"/>
    <n v="1"/>
    <s v="2003_01_042.gif"/>
    <m/>
    <m/>
    <m/>
    <b v="0"/>
    <n v="0"/>
    <x v="1"/>
    <n v="134"/>
    <s v="Ohm's Law,Graph Interpretation"/>
    <n v="4347"/>
    <x v="2"/>
    <m/>
    <m/>
    <m/>
    <m/>
    <m/>
    <m/>
    <m/>
    <m/>
    <m/>
    <m/>
    <m/>
    <m/>
    <m/>
    <m/>
    <m/>
    <m/>
    <m/>
    <m/>
    <m/>
    <m/>
    <m/>
    <m/>
    <m/>
    <m/>
    <m/>
    <m/>
    <m/>
    <m/>
    <m/>
    <m/>
    <m/>
    <m/>
    <m/>
    <m/>
    <m/>
    <m/>
    <m/>
    <m/>
    <m/>
    <m/>
    <m/>
    <m/>
    <m/>
    <m/>
    <m/>
    <m/>
    <m/>
    <m/>
    <m/>
    <m/>
    <n v="1"/>
    <m/>
    <m/>
    <m/>
    <m/>
    <m/>
    <m/>
    <n v="1"/>
    <m/>
    <m/>
  </r>
  <r>
    <x v="134"/>
    <n v="2003"/>
    <n v="1"/>
    <x v="42"/>
    <x v="8"/>
    <x v="0"/>
    <n v="4"/>
    <s v="2003_01_043.gif"/>
    <m/>
    <m/>
    <m/>
    <b v="0"/>
    <n v="0"/>
    <x v="1"/>
    <n v="135"/>
    <s v="Series and Parallel"/>
    <n v="4348"/>
    <x v="2"/>
    <m/>
    <m/>
    <m/>
    <m/>
    <m/>
    <m/>
    <m/>
    <m/>
    <m/>
    <m/>
    <m/>
    <m/>
    <m/>
    <m/>
    <m/>
    <m/>
    <m/>
    <m/>
    <m/>
    <m/>
    <m/>
    <m/>
    <m/>
    <m/>
    <m/>
    <m/>
    <m/>
    <m/>
    <m/>
    <m/>
    <m/>
    <m/>
    <m/>
    <m/>
    <m/>
    <m/>
    <m/>
    <m/>
    <m/>
    <m/>
    <m/>
    <m/>
    <m/>
    <m/>
    <m/>
    <m/>
    <m/>
    <m/>
    <m/>
    <m/>
    <m/>
    <m/>
    <n v="1"/>
    <m/>
    <m/>
    <m/>
    <m/>
    <m/>
    <m/>
    <m/>
  </r>
  <r>
    <x v="135"/>
    <n v="2003"/>
    <n v="1"/>
    <x v="43"/>
    <x v="13"/>
    <x v="0"/>
    <n v="3"/>
    <s v="2003_01_044.gif"/>
    <m/>
    <m/>
    <m/>
    <b v="0"/>
    <n v="0"/>
    <x v="1"/>
    <n v="136"/>
    <s v="Magnetism"/>
    <n v="4349"/>
    <x v="2"/>
    <m/>
    <m/>
    <m/>
    <m/>
    <m/>
    <m/>
    <m/>
    <m/>
    <m/>
    <m/>
    <m/>
    <m/>
    <m/>
    <m/>
    <m/>
    <m/>
    <m/>
    <m/>
    <m/>
    <m/>
    <m/>
    <m/>
    <m/>
    <m/>
    <m/>
    <m/>
    <m/>
    <m/>
    <m/>
    <m/>
    <m/>
    <m/>
    <m/>
    <m/>
    <m/>
    <m/>
    <m/>
    <m/>
    <m/>
    <m/>
    <m/>
    <m/>
    <m/>
    <m/>
    <m/>
    <m/>
    <m/>
    <m/>
    <m/>
    <m/>
    <m/>
    <m/>
    <m/>
    <m/>
    <m/>
    <m/>
    <m/>
    <m/>
    <m/>
    <n v="1"/>
  </r>
  <r>
    <x v="136"/>
    <n v="2003"/>
    <n v="1"/>
    <x v="44"/>
    <x v="2"/>
    <x v="0"/>
    <n v="4"/>
    <s v="2003_01_045.gif"/>
    <m/>
    <m/>
    <m/>
    <b v="0"/>
    <n v="0"/>
    <x v="1"/>
    <n v="137"/>
    <s v="DT/VT Graphs"/>
    <n v="4350"/>
    <x v="2"/>
    <m/>
    <m/>
    <m/>
    <m/>
    <n v="1"/>
    <m/>
    <m/>
    <m/>
    <m/>
    <m/>
    <m/>
    <m/>
    <m/>
    <m/>
    <m/>
    <m/>
    <m/>
    <m/>
    <m/>
    <m/>
    <m/>
    <m/>
    <m/>
    <m/>
    <m/>
    <m/>
    <m/>
    <m/>
    <m/>
    <m/>
    <m/>
    <m/>
    <m/>
    <m/>
    <m/>
    <m/>
    <m/>
    <m/>
    <m/>
    <m/>
    <m/>
    <m/>
    <m/>
    <m/>
    <m/>
    <m/>
    <m/>
    <m/>
    <m/>
    <m/>
    <m/>
    <m/>
    <m/>
    <m/>
    <m/>
    <m/>
    <m/>
    <m/>
    <m/>
    <m/>
  </r>
  <r>
    <x v="137"/>
    <n v="2003"/>
    <n v="1"/>
    <x v="45"/>
    <x v="1"/>
    <x v="2"/>
    <n v="2"/>
    <s v="2003_01_046.gif"/>
    <m/>
    <m/>
    <m/>
    <b v="0"/>
    <n v="0"/>
    <x v="1"/>
    <n v="138"/>
    <s v="Hooke's Law,Graph Interpretation"/>
    <n v="4351"/>
    <x v="2"/>
    <m/>
    <m/>
    <m/>
    <m/>
    <m/>
    <m/>
    <m/>
    <m/>
    <m/>
    <m/>
    <m/>
    <m/>
    <m/>
    <m/>
    <m/>
    <m/>
    <m/>
    <m/>
    <m/>
    <m/>
    <m/>
    <m/>
    <m/>
    <n v="1"/>
    <m/>
    <m/>
    <m/>
    <m/>
    <m/>
    <m/>
    <m/>
    <m/>
    <m/>
    <m/>
    <m/>
    <m/>
    <m/>
    <m/>
    <m/>
    <m/>
    <m/>
    <m/>
    <m/>
    <m/>
    <m/>
    <m/>
    <m/>
    <m/>
    <m/>
    <m/>
    <m/>
    <m/>
    <m/>
    <m/>
    <m/>
    <m/>
    <m/>
    <n v="1"/>
    <m/>
    <m/>
  </r>
  <r>
    <x v="138"/>
    <n v="2003"/>
    <n v="1"/>
    <x v="46"/>
    <x v="8"/>
    <x v="0"/>
    <n v="2"/>
    <s v="2003_01_047.gif"/>
    <m/>
    <m/>
    <m/>
    <b v="0"/>
    <n v="0"/>
    <x v="1"/>
    <n v="139"/>
    <s v="Series and Parallel"/>
    <n v="4352"/>
    <x v="2"/>
    <m/>
    <m/>
    <m/>
    <m/>
    <m/>
    <m/>
    <m/>
    <m/>
    <m/>
    <m/>
    <m/>
    <m/>
    <m/>
    <m/>
    <m/>
    <m/>
    <m/>
    <m/>
    <m/>
    <m/>
    <m/>
    <m/>
    <m/>
    <m/>
    <m/>
    <m/>
    <m/>
    <m/>
    <m/>
    <m/>
    <m/>
    <m/>
    <m/>
    <m/>
    <m/>
    <m/>
    <m/>
    <m/>
    <m/>
    <m/>
    <m/>
    <m/>
    <m/>
    <m/>
    <m/>
    <m/>
    <m/>
    <m/>
    <m/>
    <m/>
    <m/>
    <m/>
    <n v="1"/>
    <m/>
    <m/>
    <m/>
    <m/>
    <m/>
    <m/>
    <m/>
  </r>
  <r>
    <x v="139"/>
    <n v="2003"/>
    <n v="1"/>
    <x v="47"/>
    <x v="9"/>
    <x v="0"/>
    <n v="1"/>
    <s v="2003_01_048.gif"/>
    <m/>
    <m/>
    <m/>
    <b v="0"/>
    <n v="0"/>
    <x v="1"/>
    <n v="140"/>
    <s v="Refraction and Snell's Law"/>
    <n v="4353"/>
    <x v="2"/>
    <m/>
    <m/>
    <m/>
    <m/>
    <m/>
    <m/>
    <m/>
    <m/>
    <m/>
    <m/>
    <m/>
    <m/>
    <m/>
    <m/>
    <m/>
    <m/>
    <m/>
    <m/>
    <m/>
    <m/>
    <m/>
    <m/>
    <m/>
    <m/>
    <m/>
    <m/>
    <m/>
    <m/>
    <m/>
    <m/>
    <m/>
    <m/>
    <m/>
    <m/>
    <m/>
    <m/>
    <m/>
    <m/>
    <m/>
    <m/>
    <m/>
    <m/>
    <m/>
    <n v="1"/>
    <m/>
    <m/>
    <m/>
    <m/>
    <m/>
    <m/>
    <m/>
    <m/>
    <m/>
    <m/>
    <m/>
    <m/>
    <m/>
    <m/>
    <m/>
    <m/>
  </r>
  <r>
    <x v="140"/>
    <n v="2003"/>
    <n v="1"/>
    <x v="48"/>
    <x v="9"/>
    <x v="0"/>
    <n v="3"/>
    <s v="2003_01_049.gif"/>
    <m/>
    <m/>
    <m/>
    <b v="0"/>
    <n v="0"/>
    <x v="1"/>
    <n v="141"/>
    <s v="Refraction and Snell's Law"/>
    <n v="4354"/>
    <x v="2"/>
    <m/>
    <m/>
    <m/>
    <m/>
    <m/>
    <m/>
    <m/>
    <m/>
    <m/>
    <m/>
    <m/>
    <m/>
    <m/>
    <m/>
    <m/>
    <m/>
    <m/>
    <m/>
    <m/>
    <m/>
    <m/>
    <m/>
    <m/>
    <m/>
    <m/>
    <m/>
    <m/>
    <m/>
    <m/>
    <m/>
    <m/>
    <m/>
    <m/>
    <m/>
    <m/>
    <m/>
    <m/>
    <m/>
    <m/>
    <m/>
    <m/>
    <m/>
    <m/>
    <n v="1"/>
    <m/>
    <m/>
    <m/>
    <m/>
    <m/>
    <m/>
    <m/>
    <m/>
    <m/>
    <m/>
    <m/>
    <m/>
    <m/>
    <m/>
    <m/>
    <m/>
  </r>
  <r>
    <x v="141"/>
    <n v="2003"/>
    <n v="1"/>
    <x v="49"/>
    <x v="7"/>
    <x v="0"/>
    <n v="4"/>
    <s v="2003_01_050.gif"/>
    <m/>
    <m/>
    <m/>
    <b v="0"/>
    <n v="0"/>
    <x v="1"/>
    <n v="142"/>
    <s v="Superposition and Standing Waves"/>
    <n v="4355"/>
    <x v="2"/>
    <m/>
    <m/>
    <m/>
    <m/>
    <m/>
    <m/>
    <m/>
    <m/>
    <m/>
    <m/>
    <m/>
    <m/>
    <m/>
    <m/>
    <m/>
    <m/>
    <m/>
    <m/>
    <m/>
    <m/>
    <m/>
    <m/>
    <m/>
    <m/>
    <m/>
    <m/>
    <m/>
    <m/>
    <m/>
    <m/>
    <m/>
    <m/>
    <m/>
    <m/>
    <m/>
    <m/>
    <m/>
    <n v="1"/>
    <m/>
    <m/>
    <m/>
    <m/>
    <m/>
    <m/>
    <m/>
    <m/>
    <m/>
    <m/>
    <m/>
    <m/>
    <m/>
    <m/>
    <m/>
    <m/>
    <m/>
    <m/>
    <m/>
    <m/>
    <m/>
    <m/>
  </r>
  <r>
    <x v="142"/>
    <n v="2003"/>
    <n v="6"/>
    <x v="0"/>
    <x v="5"/>
    <x v="6"/>
    <n v="4"/>
    <s v="2003_06_001.gif"/>
    <m/>
    <m/>
    <m/>
    <b v="0"/>
    <n v="0"/>
    <x v="0"/>
    <n v="143"/>
    <s v="Inclined Plane,Work/Power"/>
    <n v="4371"/>
    <x v="3"/>
    <m/>
    <m/>
    <m/>
    <m/>
    <m/>
    <m/>
    <m/>
    <m/>
    <m/>
    <m/>
    <m/>
    <m/>
    <m/>
    <m/>
    <m/>
    <m/>
    <m/>
    <m/>
    <m/>
    <m/>
    <m/>
    <m/>
    <n v="1"/>
    <m/>
    <m/>
    <m/>
    <m/>
    <m/>
    <m/>
    <m/>
    <m/>
    <m/>
    <m/>
    <m/>
    <m/>
    <n v="1"/>
    <m/>
    <m/>
    <m/>
    <m/>
    <m/>
    <m/>
    <m/>
    <m/>
    <m/>
    <m/>
    <m/>
    <m/>
    <m/>
    <m/>
    <m/>
    <m/>
    <m/>
    <m/>
    <m/>
    <m/>
    <m/>
    <m/>
    <m/>
    <m/>
  </r>
  <r>
    <x v="143"/>
    <n v="2003"/>
    <n v="6"/>
    <x v="1"/>
    <x v="0"/>
    <x v="0"/>
    <n v="2"/>
    <s v="2003_06_002.gif"/>
    <m/>
    <m/>
    <m/>
    <b v="0"/>
    <n v="0"/>
    <x v="0"/>
    <n v="144"/>
    <s v="Vector Components"/>
    <n v="4372"/>
    <x v="3"/>
    <m/>
    <m/>
    <m/>
    <m/>
    <m/>
    <m/>
    <m/>
    <m/>
    <m/>
    <m/>
    <m/>
    <m/>
    <n v="1"/>
    <m/>
    <m/>
    <m/>
    <m/>
    <m/>
    <m/>
    <m/>
    <m/>
    <m/>
    <m/>
    <m/>
    <m/>
    <m/>
    <m/>
    <m/>
    <m/>
    <m/>
    <m/>
    <m/>
    <m/>
    <m/>
    <m/>
    <m/>
    <m/>
    <m/>
    <m/>
    <m/>
    <m/>
    <m/>
    <m/>
    <m/>
    <m/>
    <m/>
    <m/>
    <m/>
    <m/>
    <m/>
    <m/>
    <m/>
    <m/>
    <m/>
    <m/>
    <m/>
    <m/>
    <m/>
    <m/>
    <m/>
  </r>
  <r>
    <x v="144"/>
    <n v="2003"/>
    <n v="6"/>
    <x v="2"/>
    <x v="2"/>
    <x v="0"/>
    <n v="2"/>
    <s v="2003_06_003.gif"/>
    <m/>
    <m/>
    <m/>
    <b v="0"/>
    <n v="0"/>
    <x v="0"/>
    <n v="145"/>
    <s v="Horizontal Constant Acceleration Problems"/>
    <n v="4373"/>
    <x v="3"/>
    <m/>
    <m/>
    <m/>
    <m/>
    <m/>
    <m/>
    <m/>
    <m/>
    <m/>
    <n v="1"/>
    <m/>
    <m/>
    <m/>
    <m/>
    <m/>
    <m/>
    <m/>
    <m/>
    <m/>
    <m/>
    <m/>
    <m/>
    <m/>
    <m/>
    <m/>
    <m/>
    <m/>
    <m/>
    <m/>
    <m/>
    <m/>
    <m/>
    <m/>
    <m/>
    <m/>
    <m/>
    <m/>
    <m/>
    <m/>
    <m/>
    <m/>
    <m/>
    <m/>
    <m/>
    <m/>
    <m/>
    <m/>
    <m/>
    <m/>
    <m/>
    <m/>
    <m/>
    <m/>
    <m/>
    <m/>
    <m/>
    <m/>
    <m/>
    <m/>
    <m/>
  </r>
  <r>
    <x v="145"/>
    <n v="2003"/>
    <n v="6"/>
    <x v="3"/>
    <x v="3"/>
    <x v="1"/>
    <n v="4"/>
    <s v="2003_06_004.gif"/>
    <m/>
    <m/>
    <m/>
    <b v="0"/>
    <n v="0"/>
    <x v="0"/>
    <n v="146"/>
    <s v="Vector Components,Projectiles at an Angle"/>
    <n v="4374"/>
    <x v="3"/>
    <m/>
    <m/>
    <m/>
    <m/>
    <m/>
    <m/>
    <m/>
    <m/>
    <m/>
    <m/>
    <m/>
    <m/>
    <n v="1"/>
    <m/>
    <m/>
    <n v="1"/>
    <m/>
    <m/>
    <m/>
    <m/>
    <m/>
    <m/>
    <m/>
    <m/>
    <m/>
    <m/>
    <m/>
    <m/>
    <m/>
    <m/>
    <m/>
    <m/>
    <m/>
    <m/>
    <m/>
    <m/>
    <m/>
    <m/>
    <m/>
    <m/>
    <m/>
    <m/>
    <m/>
    <m/>
    <m/>
    <m/>
    <m/>
    <m/>
    <m/>
    <m/>
    <m/>
    <m/>
    <m/>
    <m/>
    <m/>
    <m/>
    <m/>
    <m/>
    <m/>
    <m/>
  </r>
  <r>
    <x v="146"/>
    <n v="2003"/>
    <n v="6"/>
    <x v="4"/>
    <x v="1"/>
    <x v="0"/>
    <n v="1"/>
    <s v="2003_06_005.gif"/>
    <m/>
    <m/>
    <m/>
    <b v="0"/>
    <n v="0"/>
    <x v="0"/>
    <n v="147"/>
    <s v="Newton's 2nd Law (F=MA),Weight and Mass"/>
    <n v="4375"/>
    <x v="3"/>
    <m/>
    <m/>
    <m/>
    <m/>
    <m/>
    <m/>
    <m/>
    <m/>
    <m/>
    <m/>
    <m/>
    <m/>
    <m/>
    <m/>
    <m/>
    <m/>
    <m/>
    <m/>
    <m/>
    <m/>
    <m/>
    <m/>
    <m/>
    <m/>
    <m/>
    <m/>
    <n v="1"/>
    <n v="1"/>
    <m/>
    <m/>
    <m/>
    <m/>
    <m/>
    <m/>
    <m/>
    <m/>
    <m/>
    <m/>
    <m/>
    <m/>
    <m/>
    <m/>
    <m/>
    <m/>
    <m/>
    <m/>
    <m/>
    <m/>
    <m/>
    <m/>
    <m/>
    <m/>
    <m/>
    <m/>
    <m/>
    <m/>
    <m/>
    <m/>
    <m/>
    <m/>
  </r>
  <r>
    <x v="147"/>
    <n v="2003"/>
    <n v="6"/>
    <x v="5"/>
    <x v="3"/>
    <x v="2"/>
    <n v="3"/>
    <s v="2003_06_006.gif"/>
    <m/>
    <m/>
    <m/>
    <b v="0"/>
    <n v="0"/>
    <x v="0"/>
    <n v="148"/>
    <s v="Horizontal Projectile Range,Mathematical Relationships (Numberless Problems)"/>
    <n v="4376"/>
    <x v="3"/>
    <m/>
    <m/>
    <m/>
    <m/>
    <m/>
    <m/>
    <m/>
    <m/>
    <m/>
    <m/>
    <m/>
    <m/>
    <m/>
    <m/>
    <m/>
    <m/>
    <n v="1"/>
    <m/>
    <m/>
    <m/>
    <m/>
    <m/>
    <m/>
    <m/>
    <m/>
    <m/>
    <m/>
    <m/>
    <m/>
    <m/>
    <m/>
    <m/>
    <m/>
    <m/>
    <m/>
    <m/>
    <m/>
    <m/>
    <m/>
    <m/>
    <m/>
    <m/>
    <m/>
    <m/>
    <m/>
    <m/>
    <m/>
    <m/>
    <m/>
    <m/>
    <m/>
    <m/>
    <m/>
    <m/>
    <m/>
    <m/>
    <m/>
    <m/>
    <n v="1"/>
    <m/>
  </r>
  <r>
    <x v="148"/>
    <n v="2003"/>
    <n v="6"/>
    <x v="6"/>
    <x v="3"/>
    <x v="0"/>
    <n v="2"/>
    <s v="2003_06_007.gif"/>
    <m/>
    <m/>
    <m/>
    <b v="0"/>
    <n v="0"/>
    <x v="0"/>
    <n v="149"/>
    <s v="Max Height of Projectile"/>
    <n v="4377"/>
    <x v="3"/>
    <m/>
    <m/>
    <m/>
    <m/>
    <m/>
    <m/>
    <m/>
    <m/>
    <m/>
    <m/>
    <m/>
    <m/>
    <m/>
    <m/>
    <m/>
    <m/>
    <m/>
    <m/>
    <n v="1"/>
    <m/>
    <m/>
    <m/>
    <m/>
    <m/>
    <m/>
    <m/>
    <m/>
    <m/>
    <m/>
    <m/>
    <m/>
    <m/>
    <m/>
    <m/>
    <m/>
    <m/>
    <m/>
    <m/>
    <m/>
    <m/>
    <m/>
    <m/>
    <m/>
    <m/>
    <m/>
    <m/>
    <m/>
    <m/>
    <m/>
    <m/>
    <m/>
    <m/>
    <m/>
    <m/>
    <m/>
    <m/>
    <m/>
    <m/>
    <m/>
    <m/>
  </r>
  <r>
    <x v="149"/>
    <n v="2003"/>
    <n v="6"/>
    <x v="7"/>
    <x v="1"/>
    <x v="0"/>
    <n v="4"/>
    <s v="2003_06_008.gif"/>
    <m/>
    <m/>
    <m/>
    <b v="0"/>
    <n v="0"/>
    <x v="0"/>
    <n v="150"/>
    <s v="Newton's 1st Law (Inertia),Newton's 2nd Law (F=MA)"/>
    <n v="4378"/>
    <x v="3"/>
    <m/>
    <m/>
    <m/>
    <m/>
    <m/>
    <m/>
    <m/>
    <m/>
    <m/>
    <m/>
    <m/>
    <m/>
    <m/>
    <m/>
    <m/>
    <m/>
    <m/>
    <m/>
    <m/>
    <m/>
    <m/>
    <m/>
    <m/>
    <m/>
    <m/>
    <n v="1"/>
    <n v="1"/>
    <m/>
    <m/>
    <m/>
    <m/>
    <m/>
    <m/>
    <m/>
    <m/>
    <m/>
    <m/>
    <m/>
    <m/>
    <m/>
    <m/>
    <m/>
    <m/>
    <m/>
    <m/>
    <m/>
    <m/>
    <m/>
    <m/>
    <m/>
    <m/>
    <m/>
    <m/>
    <m/>
    <m/>
    <m/>
    <m/>
    <m/>
    <m/>
    <m/>
  </r>
  <r>
    <x v="150"/>
    <n v="2003"/>
    <n v="6"/>
    <x v="8"/>
    <x v="1"/>
    <x v="2"/>
    <n v="2"/>
    <s v="2003_06_009.gif"/>
    <m/>
    <m/>
    <m/>
    <b v="0"/>
    <n v="0"/>
    <x v="0"/>
    <n v="151"/>
    <s v="Law of Gravity,Mathematical Relationships (Numberless Problems)"/>
    <n v="4379"/>
    <x v="3"/>
    <m/>
    <m/>
    <m/>
    <m/>
    <m/>
    <m/>
    <m/>
    <m/>
    <m/>
    <m/>
    <m/>
    <m/>
    <m/>
    <m/>
    <m/>
    <m/>
    <m/>
    <m/>
    <m/>
    <m/>
    <m/>
    <m/>
    <m/>
    <m/>
    <n v="1"/>
    <m/>
    <m/>
    <m/>
    <m/>
    <m/>
    <m/>
    <m/>
    <m/>
    <m/>
    <m/>
    <m/>
    <m/>
    <m/>
    <m/>
    <m/>
    <m/>
    <m/>
    <m/>
    <m/>
    <m/>
    <m/>
    <m/>
    <m/>
    <m/>
    <m/>
    <m/>
    <m/>
    <m/>
    <m/>
    <m/>
    <m/>
    <m/>
    <m/>
    <n v="1"/>
    <m/>
  </r>
  <r>
    <x v="151"/>
    <n v="2003"/>
    <n v="6"/>
    <x v="9"/>
    <x v="5"/>
    <x v="0"/>
    <n v="1"/>
    <s v="2003_06_010.gif"/>
    <m/>
    <m/>
    <m/>
    <b v="0"/>
    <n v="0"/>
    <x v="0"/>
    <n v="152"/>
    <s v="PE of Spring"/>
    <n v="4380"/>
    <x v="3"/>
    <m/>
    <m/>
    <m/>
    <m/>
    <m/>
    <m/>
    <m/>
    <m/>
    <m/>
    <m/>
    <m/>
    <m/>
    <m/>
    <m/>
    <m/>
    <m/>
    <m/>
    <m/>
    <m/>
    <m/>
    <m/>
    <m/>
    <m/>
    <m/>
    <m/>
    <m/>
    <m/>
    <m/>
    <m/>
    <m/>
    <m/>
    <m/>
    <m/>
    <m/>
    <n v="1"/>
    <m/>
    <m/>
    <m/>
    <m/>
    <m/>
    <m/>
    <m/>
    <m/>
    <m/>
    <m/>
    <m/>
    <m/>
    <m/>
    <m/>
    <m/>
    <m/>
    <m/>
    <m/>
    <m/>
    <m/>
    <m/>
    <m/>
    <m/>
    <m/>
    <m/>
  </r>
  <r>
    <x v="152"/>
    <n v="2003"/>
    <n v="6"/>
    <x v="10"/>
    <x v="1"/>
    <x v="0"/>
    <n v="3"/>
    <s v="2003_06_011.gif"/>
    <m/>
    <m/>
    <m/>
    <b v="0"/>
    <n v="0"/>
    <x v="0"/>
    <n v="153"/>
    <s v="Newton's 1st Law (Inertia),Newton's 2nd Law (F=MA)"/>
    <n v="4381"/>
    <x v="3"/>
    <m/>
    <m/>
    <m/>
    <m/>
    <m/>
    <m/>
    <m/>
    <m/>
    <m/>
    <m/>
    <m/>
    <m/>
    <m/>
    <m/>
    <m/>
    <m/>
    <m/>
    <m/>
    <m/>
    <m/>
    <m/>
    <m/>
    <m/>
    <m/>
    <m/>
    <n v="1"/>
    <n v="1"/>
    <m/>
    <m/>
    <m/>
    <m/>
    <m/>
    <m/>
    <m/>
    <m/>
    <m/>
    <m/>
    <m/>
    <m/>
    <m/>
    <m/>
    <m/>
    <m/>
    <m/>
    <m/>
    <m/>
    <m/>
    <m/>
    <m/>
    <m/>
    <m/>
    <m/>
    <m/>
    <m/>
    <m/>
    <m/>
    <m/>
    <m/>
    <m/>
    <m/>
  </r>
  <r>
    <x v="153"/>
    <n v="2003"/>
    <n v="6"/>
    <x v="11"/>
    <x v="4"/>
    <x v="0"/>
    <n v="3"/>
    <s v="2003_06_012.gif"/>
    <m/>
    <m/>
    <m/>
    <b v="0"/>
    <n v="0"/>
    <x v="0"/>
    <n v="154"/>
    <s v="Conservation of Momentum"/>
    <n v="4382"/>
    <x v="3"/>
    <m/>
    <m/>
    <m/>
    <m/>
    <m/>
    <m/>
    <m/>
    <m/>
    <m/>
    <m/>
    <m/>
    <m/>
    <m/>
    <m/>
    <m/>
    <m/>
    <m/>
    <m/>
    <m/>
    <m/>
    <m/>
    <m/>
    <m/>
    <m/>
    <m/>
    <m/>
    <m/>
    <m/>
    <n v="1"/>
    <m/>
    <m/>
    <m/>
    <m/>
    <m/>
    <m/>
    <m/>
    <m/>
    <m/>
    <m/>
    <m/>
    <m/>
    <m/>
    <m/>
    <m/>
    <m/>
    <m/>
    <m/>
    <m/>
    <m/>
    <m/>
    <m/>
    <m/>
    <m/>
    <m/>
    <m/>
    <m/>
    <m/>
    <m/>
    <m/>
    <m/>
  </r>
  <r>
    <x v="154"/>
    <n v="2003"/>
    <n v="6"/>
    <x v="12"/>
    <x v="4"/>
    <x v="0"/>
    <n v="4"/>
    <s v="2003_06_013.gif"/>
    <m/>
    <m/>
    <m/>
    <b v="0"/>
    <n v="0"/>
    <x v="0"/>
    <n v="155"/>
    <s v="Impulse"/>
    <n v="4383"/>
    <x v="3"/>
    <m/>
    <m/>
    <m/>
    <m/>
    <m/>
    <m/>
    <m/>
    <m/>
    <m/>
    <m/>
    <m/>
    <m/>
    <m/>
    <m/>
    <m/>
    <m/>
    <m/>
    <m/>
    <m/>
    <m/>
    <m/>
    <m/>
    <m/>
    <m/>
    <m/>
    <m/>
    <m/>
    <m/>
    <m/>
    <n v="1"/>
    <m/>
    <m/>
    <m/>
    <m/>
    <m/>
    <m/>
    <m/>
    <m/>
    <m/>
    <m/>
    <m/>
    <m/>
    <m/>
    <m/>
    <m/>
    <m/>
    <m/>
    <m/>
    <m/>
    <m/>
    <m/>
    <m/>
    <m/>
    <m/>
    <m/>
    <m/>
    <m/>
    <m/>
    <m/>
    <m/>
  </r>
  <r>
    <x v="155"/>
    <n v="2003"/>
    <n v="6"/>
    <x v="13"/>
    <x v="12"/>
    <x v="4"/>
    <n v="2"/>
    <s v="2003_06_014.gif"/>
    <m/>
    <m/>
    <m/>
    <b v="0"/>
    <n v="0"/>
    <x v="0"/>
    <n v="156"/>
    <s v="Magnetism"/>
    <n v="4384"/>
    <x v="3"/>
    <m/>
    <m/>
    <m/>
    <m/>
    <m/>
    <m/>
    <m/>
    <m/>
    <m/>
    <m/>
    <m/>
    <m/>
    <m/>
    <m/>
    <m/>
    <m/>
    <m/>
    <m/>
    <m/>
    <m/>
    <m/>
    <m/>
    <m/>
    <m/>
    <m/>
    <m/>
    <m/>
    <m/>
    <m/>
    <m/>
    <m/>
    <m/>
    <m/>
    <m/>
    <m/>
    <m/>
    <m/>
    <m/>
    <m/>
    <m/>
    <m/>
    <m/>
    <m/>
    <m/>
    <m/>
    <m/>
    <m/>
    <m/>
    <m/>
    <m/>
    <m/>
    <m/>
    <m/>
    <m/>
    <m/>
    <m/>
    <m/>
    <m/>
    <m/>
    <n v="1"/>
  </r>
  <r>
    <x v="156"/>
    <n v="2003"/>
    <n v="6"/>
    <x v="14"/>
    <x v="1"/>
    <x v="0"/>
    <n v="1"/>
    <s v="2003_06_015.gif"/>
    <m/>
    <m/>
    <m/>
    <b v="0"/>
    <n v="0"/>
    <x v="0"/>
    <n v="157"/>
    <s v="Weight and Mass"/>
    <n v="4385"/>
    <x v="3"/>
    <m/>
    <m/>
    <m/>
    <m/>
    <m/>
    <m/>
    <m/>
    <m/>
    <m/>
    <m/>
    <m/>
    <m/>
    <m/>
    <m/>
    <m/>
    <m/>
    <m/>
    <m/>
    <m/>
    <m/>
    <m/>
    <m/>
    <m/>
    <m/>
    <m/>
    <m/>
    <m/>
    <n v="1"/>
    <m/>
    <m/>
    <m/>
    <m/>
    <m/>
    <m/>
    <m/>
    <m/>
    <m/>
    <m/>
    <m/>
    <m/>
    <m/>
    <m/>
    <m/>
    <m/>
    <m/>
    <m/>
    <m/>
    <m/>
    <m/>
    <m/>
    <m/>
    <m/>
    <m/>
    <m/>
    <m/>
    <m/>
    <m/>
    <m/>
    <m/>
    <m/>
  </r>
  <r>
    <x v="157"/>
    <n v="2003"/>
    <n v="6"/>
    <x v="15"/>
    <x v="3"/>
    <x v="2"/>
    <n v="4"/>
    <s v="2003_06_016.gif"/>
    <m/>
    <m/>
    <m/>
    <b v="0"/>
    <n v="0"/>
    <x v="0"/>
    <n v="158"/>
    <s v="Centripetal Motion - Calculation,Mathematical Relationships (Numberless Problems)"/>
    <n v="4386"/>
    <x v="3"/>
    <m/>
    <m/>
    <m/>
    <m/>
    <m/>
    <m/>
    <m/>
    <m/>
    <m/>
    <m/>
    <m/>
    <m/>
    <m/>
    <m/>
    <m/>
    <m/>
    <m/>
    <m/>
    <m/>
    <m/>
    <n v="1"/>
    <m/>
    <m/>
    <m/>
    <m/>
    <m/>
    <m/>
    <m/>
    <m/>
    <m/>
    <m/>
    <m/>
    <m/>
    <m/>
    <m/>
    <m/>
    <m/>
    <m/>
    <m/>
    <m/>
    <m/>
    <m/>
    <m/>
    <m/>
    <m/>
    <m/>
    <m/>
    <m/>
    <m/>
    <m/>
    <m/>
    <m/>
    <m/>
    <m/>
    <m/>
    <m/>
    <m/>
    <m/>
    <n v="1"/>
    <m/>
  </r>
  <r>
    <x v="158"/>
    <n v="2003"/>
    <n v="6"/>
    <x v="16"/>
    <x v="6"/>
    <x v="2"/>
    <n v="1"/>
    <s v="2003_06_017.gif"/>
    <m/>
    <m/>
    <m/>
    <b v="0"/>
    <n v="0"/>
    <x v="0"/>
    <n v="159"/>
    <s v="Coulomb's Law,Mathematical Relationships (Numberless Problems)"/>
    <n v="4387"/>
    <x v="3"/>
    <m/>
    <m/>
    <m/>
    <m/>
    <m/>
    <m/>
    <m/>
    <m/>
    <m/>
    <m/>
    <m/>
    <m/>
    <m/>
    <m/>
    <m/>
    <m/>
    <m/>
    <m/>
    <m/>
    <m/>
    <m/>
    <m/>
    <m/>
    <m/>
    <m/>
    <m/>
    <m/>
    <m/>
    <m/>
    <m/>
    <m/>
    <m/>
    <m/>
    <m/>
    <m/>
    <m/>
    <m/>
    <m/>
    <m/>
    <m/>
    <m/>
    <m/>
    <m/>
    <m/>
    <m/>
    <n v="1"/>
    <m/>
    <m/>
    <m/>
    <m/>
    <m/>
    <m/>
    <m/>
    <m/>
    <m/>
    <m/>
    <m/>
    <m/>
    <n v="1"/>
    <m/>
  </r>
  <r>
    <x v="159"/>
    <n v="2003"/>
    <n v="6"/>
    <x v="17"/>
    <x v="5"/>
    <x v="0"/>
    <n v="3"/>
    <s v="2003_06_018.gif"/>
    <m/>
    <m/>
    <m/>
    <b v="0"/>
    <n v="0"/>
    <x v="0"/>
    <n v="160"/>
    <s v="Conservation of Energy"/>
    <n v="4388"/>
    <x v="3"/>
    <m/>
    <m/>
    <m/>
    <m/>
    <m/>
    <m/>
    <m/>
    <m/>
    <m/>
    <m/>
    <m/>
    <m/>
    <m/>
    <m/>
    <m/>
    <m/>
    <m/>
    <m/>
    <m/>
    <m/>
    <m/>
    <m/>
    <m/>
    <m/>
    <m/>
    <m/>
    <m/>
    <m/>
    <m/>
    <m/>
    <m/>
    <n v="1"/>
    <m/>
    <m/>
    <m/>
    <m/>
    <m/>
    <m/>
    <m/>
    <m/>
    <m/>
    <m/>
    <m/>
    <m/>
    <m/>
    <m/>
    <m/>
    <m/>
    <m/>
    <m/>
    <m/>
    <m/>
    <m/>
    <m/>
    <m/>
    <m/>
    <m/>
    <m/>
    <m/>
    <m/>
  </r>
  <r>
    <x v="160"/>
    <n v="2003"/>
    <n v="6"/>
    <x v="18"/>
    <x v="5"/>
    <x v="0"/>
    <n v="2"/>
    <s v="2003_06_019.gif"/>
    <m/>
    <m/>
    <m/>
    <b v="0"/>
    <n v="0"/>
    <x v="0"/>
    <n v="161"/>
    <s v="Conservation of Energy,Gravitational PE"/>
    <n v="4389"/>
    <x v="3"/>
    <m/>
    <m/>
    <m/>
    <m/>
    <m/>
    <m/>
    <m/>
    <m/>
    <m/>
    <m/>
    <m/>
    <m/>
    <m/>
    <m/>
    <m/>
    <m/>
    <m/>
    <m/>
    <m/>
    <m/>
    <m/>
    <m/>
    <m/>
    <m/>
    <m/>
    <m/>
    <m/>
    <m/>
    <m/>
    <m/>
    <m/>
    <n v="1"/>
    <n v="1"/>
    <m/>
    <m/>
    <m/>
    <m/>
    <m/>
    <m/>
    <m/>
    <m/>
    <m/>
    <m/>
    <m/>
    <m/>
    <m/>
    <m/>
    <m/>
    <m/>
    <m/>
    <m/>
    <m/>
    <m/>
    <m/>
    <m/>
    <m/>
    <m/>
    <m/>
    <m/>
    <m/>
  </r>
  <r>
    <x v="161"/>
    <n v="2003"/>
    <n v="6"/>
    <x v="19"/>
    <x v="5"/>
    <x v="0"/>
    <n v="3"/>
    <s v="2003_06_020.gif"/>
    <m/>
    <m/>
    <m/>
    <b v="0"/>
    <n v="0"/>
    <x v="0"/>
    <n v="162"/>
    <s v="Work/Power"/>
    <n v="4390"/>
    <x v="3"/>
    <m/>
    <m/>
    <m/>
    <m/>
    <m/>
    <m/>
    <m/>
    <m/>
    <m/>
    <m/>
    <m/>
    <m/>
    <m/>
    <m/>
    <m/>
    <m/>
    <m/>
    <m/>
    <m/>
    <m/>
    <m/>
    <m/>
    <m/>
    <m/>
    <m/>
    <m/>
    <m/>
    <m/>
    <m/>
    <m/>
    <m/>
    <m/>
    <m/>
    <m/>
    <m/>
    <n v="1"/>
    <m/>
    <m/>
    <m/>
    <m/>
    <m/>
    <m/>
    <m/>
    <m/>
    <m/>
    <m/>
    <m/>
    <m/>
    <m/>
    <m/>
    <m/>
    <m/>
    <m/>
    <m/>
    <m/>
    <m/>
    <m/>
    <m/>
    <m/>
    <m/>
  </r>
  <r>
    <x v="162"/>
    <n v="2003"/>
    <n v="6"/>
    <x v="20"/>
    <x v="6"/>
    <x v="0"/>
    <n v="3"/>
    <s v="2003_06_021.gif"/>
    <m/>
    <m/>
    <m/>
    <b v="0"/>
    <n v="0"/>
    <x v="0"/>
    <n v="163"/>
    <s v="Electric Fields and Potential"/>
    <n v="4391"/>
    <x v="3"/>
    <m/>
    <m/>
    <m/>
    <m/>
    <m/>
    <m/>
    <m/>
    <m/>
    <m/>
    <m/>
    <m/>
    <m/>
    <m/>
    <m/>
    <m/>
    <m/>
    <m/>
    <m/>
    <m/>
    <m/>
    <m/>
    <m/>
    <m/>
    <m/>
    <m/>
    <m/>
    <m/>
    <m/>
    <m/>
    <m/>
    <m/>
    <m/>
    <m/>
    <m/>
    <m/>
    <m/>
    <m/>
    <m/>
    <m/>
    <m/>
    <m/>
    <m/>
    <m/>
    <m/>
    <m/>
    <m/>
    <m/>
    <n v="1"/>
    <m/>
    <m/>
    <m/>
    <m/>
    <m/>
    <m/>
    <m/>
    <m/>
    <m/>
    <m/>
    <m/>
    <m/>
  </r>
  <r>
    <x v="163"/>
    <n v="2003"/>
    <n v="6"/>
    <x v="21"/>
    <x v="6"/>
    <x v="0"/>
    <n v="2"/>
    <s v="2003_06_022.gif"/>
    <m/>
    <m/>
    <m/>
    <b v="0"/>
    <n v="0"/>
    <x v="0"/>
    <n v="164"/>
    <s v="Electric Fields and Potential"/>
    <n v="4392"/>
    <x v="3"/>
    <m/>
    <m/>
    <m/>
    <m/>
    <m/>
    <m/>
    <m/>
    <m/>
    <m/>
    <m/>
    <m/>
    <m/>
    <m/>
    <m/>
    <m/>
    <m/>
    <m/>
    <m/>
    <m/>
    <m/>
    <m/>
    <m/>
    <m/>
    <m/>
    <m/>
    <m/>
    <m/>
    <m/>
    <m/>
    <m/>
    <m/>
    <m/>
    <m/>
    <m/>
    <m/>
    <m/>
    <m/>
    <m/>
    <m/>
    <m/>
    <m/>
    <m/>
    <m/>
    <m/>
    <m/>
    <m/>
    <m/>
    <n v="1"/>
    <m/>
    <m/>
    <m/>
    <m/>
    <m/>
    <m/>
    <m/>
    <m/>
    <m/>
    <m/>
    <m/>
    <m/>
  </r>
  <r>
    <x v="164"/>
    <n v="2003"/>
    <n v="6"/>
    <x v="22"/>
    <x v="9"/>
    <x v="0"/>
    <n v="3"/>
    <s v="2003_06_023.gif"/>
    <m/>
    <m/>
    <m/>
    <b v="0"/>
    <n v="0"/>
    <x v="0"/>
    <n v="165"/>
    <s v="Refraction and Snell's Law"/>
    <n v="4393"/>
    <x v="3"/>
    <m/>
    <m/>
    <m/>
    <m/>
    <m/>
    <m/>
    <m/>
    <m/>
    <m/>
    <m/>
    <m/>
    <m/>
    <m/>
    <m/>
    <m/>
    <m/>
    <m/>
    <m/>
    <m/>
    <m/>
    <m/>
    <m/>
    <m/>
    <m/>
    <m/>
    <m/>
    <m/>
    <m/>
    <m/>
    <m/>
    <m/>
    <m/>
    <m/>
    <m/>
    <m/>
    <m/>
    <m/>
    <m/>
    <m/>
    <m/>
    <m/>
    <m/>
    <m/>
    <n v="1"/>
    <m/>
    <m/>
    <m/>
    <m/>
    <m/>
    <m/>
    <m/>
    <m/>
    <m/>
    <m/>
    <m/>
    <m/>
    <m/>
    <m/>
    <m/>
    <m/>
  </r>
  <r>
    <x v="165"/>
    <n v="2003"/>
    <n v="6"/>
    <x v="23"/>
    <x v="8"/>
    <x v="0"/>
    <n v="3"/>
    <s v="2003_06_024.gif"/>
    <m/>
    <m/>
    <m/>
    <b v="0"/>
    <n v="0"/>
    <x v="0"/>
    <n v="166"/>
    <s v="Series and Parallel"/>
    <n v="4394"/>
    <x v="3"/>
    <m/>
    <m/>
    <m/>
    <m/>
    <m/>
    <m/>
    <m/>
    <m/>
    <m/>
    <m/>
    <m/>
    <m/>
    <m/>
    <m/>
    <m/>
    <m/>
    <m/>
    <m/>
    <m/>
    <m/>
    <m/>
    <m/>
    <m/>
    <m/>
    <m/>
    <m/>
    <m/>
    <m/>
    <m/>
    <m/>
    <m/>
    <m/>
    <m/>
    <m/>
    <m/>
    <m/>
    <m/>
    <m/>
    <m/>
    <m/>
    <m/>
    <m/>
    <m/>
    <m/>
    <m/>
    <m/>
    <m/>
    <m/>
    <m/>
    <m/>
    <m/>
    <m/>
    <n v="1"/>
    <m/>
    <m/>
    <m/>
    <m/>
    <m/>
    <m/>
    <m/>
  </r>
  <r>
    <x v="166"/>
    <n v="2003"/>
    <n v="6"/>
    <x v="24"/>
    <x v="9"/>
    <x v="5"/>
    <n v="4"/>
    <s v="2003_06_025.gif"/>
    <m/>
    <m/>
    <m/>
    <b v="0"/>
    <n v="0"/>
    <x v="0"/>
    <n v="167"/>
    <s v="Wave Vocabulary,Light and Sound"/>
    <n v="4395"/>
    <x v="3"/>
    <m/>
    <m/>
    <m/>
    <m/>
    <m/>
    <m/>
    <m/>
    <m/>
    <m/>
    <m/>
    <m/>
    <m/>
    <m/>
    <m/>
    <m/>
    <m/>
    <m/>
    <m/>
    <m/>
    <m/>
    <m/>
    <m/>
    <m/>
    <m/>
    <m/>
    <m/>
    <m/>
    <m/>
    <m/>
    <m/>
    <m/>
    <m/>
    <m/>
    <m/>
    <m/>
    <m/>
    <m/>
    <m/>
    <m/>
    <n v="1"/>
    <m/>
    <m/>
    <n v="1"/>
    <m/>
    <m/>
    <m/>
    <m/>
    <m/>
    <m/>
    <m/>
    <m/>
    <m/>
    <m/>
    <m/>
    <m/>
    <m/>
    <m/>
    <m/>
    <m/>
    <m/>
  </r>
  <r>
    <x v="167"/>
    <n v="2003"/>
    <n v="6"/>
    <x v="25"/>
    <x v="7"/>
    <x v="0"/>
    <n v="3"/>
    <s v="2003_06_026.gif"/>
    <m/>
    <m/>
    <m/>
    <b v="0"/>
    <n v="0"/>
    <x v="0"/>
    <n v="168"/>
    <s v="Wave Vocabulary"/>
    <n v="4396"/>
    <x v="3"/>
    <m/>
    <m/>
    <m/>
    <m/>
    <m/>
    <m/>
    <m/>
    <m/>
    <m/>
    <m/>
    <m/>
    <m/>
    <m/>
    <m/>
    <m/>
    <m/>
    <m/>
    <m/>
    <m/>
    <m/>
    <m/>
    <m/>
    <m/>
    <m/>
    <m/>
    <m/>
    <m/>
    <m/>
    <m/>
    <m/>
    <m/>
    <m/>
    <m/>
    <m/>
    <m/>
    <m/>
    <m/>
    <m/>
    <m/>
    <n v="1"/>
    <m/>
    <m/>
    <m/>
    <m/>
    <m/>
    <m/>
    <m/>
    <m/>
    <m/>
    <m/>
    <m/>
    <m/>
    <m/>
    <m/>
    <m/>
    <m/>
    <m/>
    <m/>
    <m/>
    <m/>
  </r>
  <r>
    <x v="168"/>
    <n v="2003"/>
    <n v="6"/>
    <x v="26"/>
    <x v="9"/>
    <x v="0"/>
    <n v="2"/>
    <s v="2003_06_027.gif"/>
    <m/>
    <m/>
    <m/>
    <b v="0"/>
    <n v="0"/>
    <x v="0"/>
    <n v="169"/>
    <s v="Refraction and Snell's Law"/>
    <n v="4397"/>
    <x v="3"/>
    <m/>
    <m/>
    <m/>
    <m/>
    <m/>
    <m/>
    <m/>
    <m/>
    <m/>
    <m/>
    <m/>
    <m/>
    <m/>
    <m/>
    <m/>
    <m/>
    <m/>
    <m/>
    <m/>
    <m/>
    <m/>
    <m/>
    <m/>
    <m/>
    <m/>
    <m/>
    <m/>
    <m/>
    <m/>
    <m/>
    <m/>
    <m/>
    <m/>
    <m/>
    <m/>
    <m/>
    <m/>
    <m/>
    <m/>
    <m/>
    <m/>
    <m/>
    <m/>
    <n v="1"/>
    <m/>
    <m/>
    <m/>
    <m/>
    <m/>
    <m/>
    <m/>
    <m/>
    <m/>
    <m/>
    <m/>
    <m/>
    <m/>
    <m/>
    <m/>
    <m/>
  </r>
  <r>
    <x v="169"/>
    <n v="2003"/>
    <n v="6"/>
    <x v="27"/>
    <x v="9"/>
    <x v="0"/>
    <n v="1"/>
    <s v="2003_06_028.gif"/>
    <m/>
    <m/>
    <m/>
    <b v="0"/>
    <n v="0"/>
    <x v="0"/>
    <n v="170"/>
    <s v="Diffraction"/>
    <n v="4398"/>
    <x v="3"/>
    <m/>
    <m/>
    <m/>
    <m/>
    <m/>
    <m/>
    <m/>
    <m/>
    <m/>
    <m/>
    <m/>
    <m/>
    <m/>
    <m/>
    <m/>
    <m/>
    <m/>
    <m/>
    <m/>
    <m/>
    <m/>
    <m/>
    <m/>
    <m/>
    <m/>
    <m/>
    <m/>
    <m/>
    <m/>
    <m/>
    <m/>
    <m/>
    <m/>
    <m/>
    <m/>
    <m/>
    <m/>
    <m/>
    <m/>
    <m/>
    <n v="1"/>
    <m/>
    <m/>
    <m/>
    <m/>
    <m/>
    <m/>
    <m/>
    <m/>
    <m/>
    <m/>
    <m/>
    <m/>
    <m/>
    <m/>
    <m/>
    <m/>
    <m/>
    <m/>
    <m/>
  </r>
  <r>
    <x v="170"/>
    <n v="2003"/>
    <n v="6"/>
    <x v="28"/>
    <x v="7"/>
    <x v="0"/>
    <n v="4"/>
    <s v="2003_06_029.gif"/>
    <m/>
    <m/>
    <m/>
    <b v="0"/>
    <n v="0"/>
    <x v="0"/>
    <n v="171"/>
    <s v="Superposition and Standing Waves"/>
    <n v="4399"/>
    <x v="3"/>
    <m/>
    <m/>
    <m/>
    <m/>
    <m/>
    <m/>
    <m/>
    <m/>
    <m/>
    <m/>
    <m/>
    <m/>
    <m/>
    <m/>
    <m/>
    <m/>
    <m/>
    <m/>
    <m/>
    <m/>
    <m/>
    <m/>
    <m/>
    <m/>
    <m/>
    <m/>
    <m/>
    <m/>
    <m/>
    <m/>
    <m/>
    <m/>
    <m/>
    <m/>
    <m/>
    <m/>
    <m/>
    <n v="1"/>
    <m/>
    <m/>
    <m/>
    <m/>
    <m/>
    <m/>
    <m/>
    <m/>
    <m/>
    <m/>
    <m/>
    <m/>
    <m/>
    <m/>
    <m/>
    <m/>
    <m/>
    <m/>
    <m/>
    <m/>
    <m/>
    <m/>
  </r>
  <r>
    <x v="171"/>
    <n v="2003"/>
    <n v="6"/>
    <x v="29"/>
    <x v="9"/>
    <x v="0"/>
    <n v="2"/>
    <s v="2003_06_030.gif"/>
    <m/>
    <m/>
    <m/>
    <b v="0"/>
    <n v="0"/>
    <x v="0"/>
    <n v="172"/>
    <s v="Doppler Effect"/>
    <n v="4400"/>
    <x v="3"/>
    <m/>
    <m/>
    <m/>
    <m/>
    <m/>
    <m/>
    <m/>
    <m/>
    <m/>
    <m/>
    <m/>
    <m/>
    <m/>
    <m/>
    <m/>
    <m/>
    <m/>
    <m/>
    <m/>
    <m/>
    <m/>
    <m/>
    <m/>
    <m/>
    <m/>
    <m/>
    <m/>
    <m/>
    <m/>
    <m/>
    <m/>
    <m/>
    <m/>
    <m/>
    <m/>
    <m/>
    <m/>
    <m/>
    <m/>
    <m/>
    <m/>
    <n v="1"/>
    <m/>
    <m/>
    <m/>
    <m/>
    <m/>
    <m/>
    <m/>
    <m/>
    <m/>
    <m/>
    <m/>
    <m/>
    <m/>
    <m/>
    <m/>
    <m/>
    <m/>
    <m/>
  </r>
  <r>
    <x v="172"/>
    <n v="2003"/>
    <n v="6"/>
    <x v="30"/>
    <x v="10"/>
    <x v="0"/>
    <n v="2"/>
    <s v="2003_06_031.gif"/>
    <m/>
    <m/>
    <m/>
    <b v="0"/>
    <n v="0"/>
    <x v="0"/>
    <n v="173"/>
    <s v="Energy/Frequency of Photon"/>
    <n v="4401"/>
    <x v="3"/>
    <m/>
    <m/>
    <m/>
    <m/>
    <m/>
    <m/>
    <m/>
    <m/>
    <m/>
    <m/>
    <m/>
    <m/>
    <m/>
    <m/>
    <m/>
    <m/>
    <m/>
    <m/>
    <m/>
    <m/>
    <m/>
    <m/>
    <m/>
    <m/>
    <m/>
    <m/>
    <m/>
    <m/>
    <m/>
    <m/>
    <m/>
    <m/>
    <m/>
    <m/>
    <m/>
    <m/>
    <m/>
    <m/>
    <m/>
    <m/>
    <m/>
    <m/>
    <m/>
    <m/>
    <m/>
    <m/>
    <m/>
    <m/>
    <m/>
    <m/>
    <m/>
    <m/>
    <m/>
    <m/>
    <n v="1"/>
    <m/>
    <m/>
    <m/>
    <m/>
    <m/>
  </r>
  <r>
    <x v="173"/>
    <n v="2003"/>
    <n v="6"/>
    <x v="31"/>
    <x v="10"/>
    <x v="0"/>
    <n v="1"/>
    <s v="2003_06_032.gif"/>
    <m/>
    <m/>
    <m/>
    <b v="0"/>
    <n v="0"/>
    <x v="0"/>
    <n v="174"/>
    <s v="Energy/Frequency of Photon"/>
    <n v="4402"/>
    <x v="3"/>
    <m/>
    <m/>
    <m/>
    <m/>
    <m/>
    <m/>
    <m/>
    <m/>
    <m/>
    <m/>
    <m/>
    <m/>
    <m/>
    <m/>
    <m/>
    <m/>
    <m/>
    <m/>
    <m/>
    <m/>
    <m/>
    <m/>
    <m/>
    <m/>
    <m/>
    <m/>
    <m/>
    <m/>
    <m/>
    <m/>
    <m/>
    <m/>
    <m/>
    <m/>
    <m/>
    <m/>
    <m/>
    <m/>
    <m/>
    <m/>
    <m/>
    <m/>
    <m/>
    <m/>
    <m/>
    <m/>
    <m/>
    <m/>
    <m/>
    <m/>
    <m/>
    <m/>
    <m/>
    <m/>
    <n v="1"/>
    <m/>
    <m/>
    <m/>
    <m/>
    <m/>
  </r>
  <r>
    <x v="174"/>
    <n v="2003"/>
    <n v="6"/>
    <x v="32"/>
    <x v="10"/>
    <x v="0"/>
    <n v="2"/>
    <s v="2003_06_033.gif"/>
    <m/>
    <m/>
    <m/>
    <b v="0"/>
    <n v="0"/>
    <x v="0"/>
    <n v="175"/>
    <s v="Particle Physics"/>
    <n v="4403"/>
    <x v="3"/>
    <m/>
    <m/>
    <m/>
    <m/>
    <m/>
    <m/>
    <m/>
    <m/>
    <m/>
    <m/>
    <m/>
    <m/>
    <m/>
    <m/>
    <m/>
    <m/>
    <m/>
    <m/>
    <m/>
    <m/>
    <m/>
    <m/>
    <m/>
    <m/>
    <m/>
    <m/>
    <m/>
    <m/>
    <m/>
    <m/>
    <m/>
    <m/>
    <m/>
    <m/>
    <m/>
    <m/>
    <m/>
    <m/>
    <m/>
    <m/>
    <m/>
    <m/>
    <m/>
    <m/>
    <m/>
    <m/>
    <m/>
    <m/>
    <m/>
    <m/>
    <m/>
    <m/>
    <m/>
    <m/>
    <m/>
    <m/>
    <n v="1"/>
    <m/>
    <m/>
    <m/>
  </r>
  <r>
    <x v="175"/>
    <n v="2003"/>
    <n v="6"/>
    <x v="33"/>
    <x v="10"/>
    <x v="0"/>
    <n v="4"/>
    <s v="2003_06_034.gif"/>
    <m/>
    <m/>
    <m/>
    <b v="0"/>
    <n v="0"/>
    <x v="0"/>
    <n v="176"/>
    <s v="Particle Physics"/>
    <n v="4404"/>
    <x v="3"/>
    <m/>
    <m/>
    <m/>
    <m/>
    <m/>
    <m/>
    <m/>
    <m/>
    <m/>
    <m/>
    <m/>
    <m/>
    <m/>
    <m/>
    <m/>
    <m/>
    <m/>
    <m/>
    <m/>
    <m/>
    <m/>
    <m/>
    <m/>
    <m/>
    <m/>
    <m/>
    <m/>
    <m/>
    <m/>
    <m/>
    <m/>
    <m/>
    <m/>
    <m/>
    <m/>
    <m/>
    <m/>
    <m/>
    <m/>
    <m/>
    <m/>
    <m/>
    <m/>
    <m/>
    <m/>
    <m/>
    <m/>
    <m/>
    <m/>
    <m/>
    <m/>
    <m/>
    <m/>
    <m/>
    <m/>
    <m/>
    <n v="1"/>
    <m/>
    <m/>
    <m/>
  </r>
  <r>
    <x v="176"/>
    <n v="2003"/>
    <n v="6"/>
    <x v="34"/>
    <x v="10"/>
    <x v="0"/>
    <n v="2"/>
    <s v="2003_06_035.gif"/>
    <m/>
    <m/>
    <m/>
    <b v="0"/>
    <n v="0"/>
    <x v="0"/>
    <n v="177"/>
    <s v="Energy/Mass Equivalency"/>
    <n v="4405"/>
    <x v="3"/>
    <m/>
    <m/>
    <m/>
    <m/>
    <m/>
    <m/>
    <m/>
    <m/>
    <m/>
    <m/>
    <m/>
    <m/>
    <m/>
    <m/>
    <m/>
    <m/>
    <m/>
    <m/>
    <m/>
    <m/>
    <m/>
    <m/>
    <m/>
    <m/>
    <m/>
    <m/>
    <m/>
    <m/>
    <m/>
    <m/>
    <m/>
    <m/>
    <m/>
    <m/>
    <m/>
    <m/>
    <m/>
    <m/>
    <m/>
    <m/>
    <m/>
    <m/>
    <m/>
    <m/>
    <m/>
    <m/>
    <m/>
    <m/>
    <m/>
    <m/>
    <m/>
    <m/>
    <m/>
    <m/>
    <m/>
    <n v="1"/>
    <m/>
    <m/>
    <m/>
    <m/>
  </r>
  <r>
    <x v="177"/>
    <n v="2003"/>
    <n v="6"/>
    <x v="35"/>
    <x v="0"/>
    <x v="0"/>
    <n v="2"/>
    <s v="2003_06_036.gif"/>
    <m/>
    <m/>
    <m/>
    <b v="0"/>
    <n v="0"/>
    <x v="1"/>
    <n v="178"/>
    <s v="Adding Vectors"/>
    <n v="4406"/>
    <x v="3"/>
    <m/>
    <m/>
    <m/>
    <m/>
    <m/>
    <m/>
    <m/>
    <m/>
    <m/>
    <m/>
    <m/>
    <n v="1"/>
    <m/>
    <m/>
    <m/>
    <m/>
    <m/>
    <m/>
    <m/>
    <m/>
    <m/>
    <m/>
    <m/>
    <m/>
    <m/>
    <m/>
    <m/>
    <m/>
    <m/>
    <m/>
    <m/>
    <m/>
    <m/>
    <m/>
    <m/>
    <m/>
    <m/>
    <m/>
    <m/>
    <m/>
    <m/>
    <m/>
    <m/>
    <m/>
    <m/>
    <m/>
    <m/>
    <m/>
    <m/>
    <m/>
    <m/>
    <m/>
    <m/>
    <m/>
    <m/>
    <m/>
    <m/>
    <m/>
    <m/>
    <m/>
  </r>
  <r>
    <x v="178"/>
    <n v="2003"/>
    <n v="6"/>
    <x v="36"/>
    <x v="6"/>
    <x v="0"/>
    <n v="2"/>
    <s v="2003_06_037.gif"/>
    <m/>
    <m/>
    <m/>
    <b v="0"/>
    <n v="0"/>
    <x v="1"/>
    <n v="179"/>
    <s v="Electric Fields and Potential"/>
    <n v="4407"/>
    <x v="3"/>
    <m/>
    <m/>
    <m/>
    <m/>
    <m/>
    <m/>
    <m/>
    <m/>
    <m/>
    <m/>
    <m/>
    <m/>
    <m/>
    <m/>
    <m/>
    <m/>
    <m/>
    <m/>
    <m/>
    <m/>
    <m/>
    <m/>
    <m/>
    <m/>
    <m/>
    <m/>
    <m/>
    <m/>
    <m/>
    <m/>
    <m/>
    <m/>
    <m/>
    <m/>
    <m/>
    <m/>
    <m/>
    <m/>
    <m/>
    <m/>
    <m/>
    <m/>
    <m/>
    <m/>
    <m/>
    <m/>
    <m/>
    <n v="1"/>
    <m/>
    <m/>
    <m/>
    <m/>
    <m/>
    <m/>
    <m/>
    <m/>
    <m/>
    <m/>
    <m/>
    <m/>
  </r>
  <r>
    <x v="179"/>
    <n v="2003"/>
    <n v="6"/>
    <x v="37"/>
    <x v="11"/>
    <x v="0"/>
    <n v="3"/>
    <s v="2003_06_038.gif"/>
    <m/>
    <m/>
    <m/>
    <b v="0"/>
    <n v="0"/>
    <x v="1"/>
    <n v="180"/>
    <s v="Estimation"/>
    <n v="4408"/>
    <x v="3"/>
    <m/>
    <m/>
    <n v="1"/>
    <m/>
    <m/>
    <m/>
    <m/>
    <m/>
    <m/>
    <m/>
    <m/>
    <m/>
    <m/>
    <m/>
    <m/>
    <m/>
    <m/>
    <m/>
    <m/>
    <m/>
    <m/>
    <m/>
    <m/>
    <m/>
    <m/>
    <m/>
    <m/>
    <m/>
    <m/>
    <m/>
    <m/>
    <m/>
    <m/>
    <m/>
    <m/>
    <m/>
    <m/>
    <m/>
    <m/>
    <m/>
    <m/>
    <m/>
    <m/>
    <m/>
    <m/>
    <m/>
    <m/>
    <m/>
    <m/>
    <m/>
    <m/>
    <m/>
    <m/>
    <m/>
    <m/>
    <m/>
    <m/>
    <m/>
    <m/>
    <m/>
  </r>
  <r>
    <x v="180"/>
    <n v="2003"/>
    <n v="6"/>
    <x v="38"/>
    <x v="9"/>
    <x v="0"/>
    <n v="3"/>
    <s v="2003_06_039.gif"/>
    <m/>
    <m/>
    <m/>
    <b v="0"/>
    <n v="0"/>
    <x v="1"/>
    <n v="181"/>
    <s v="Refraction and Snell's Law"/>
    <n v="4409"/>
    <x v="3"/>
    <m/>
    <m/>
    <m/>
    <m/>
    <m/>
    <m/>
    <m/>
    <m/>
    <m/>
    <m/>
    <m/>
    <m/>
    <m/>
    <m/>
    <m/>
    <m/>
    <m/>
    <m/>
    <m/>
    <m/>
    <m/>
    <m/>
    <m/>
    <m/>
    <m/>
    <m/>
    <m/>
    <m/>
    <m/>
    <m/>
    <m/>
    <m/>
    <m/>
    <m/>
    <m/>
    <m/>
    <m/>
    <m/>
    <m/>
    <m/>
    <m/>
    <m/>
    <m/>
    <n v="1"/>
    <m/>
    <m/>
    <m/>
    <m/>
    <m/>
    <m/>
    <m/>
    <m/>
    <m/>
    <m/>
    <m/>
    <m/>
    <m/>
    <m/>
    <m/>
    <m/>
  </r>
  <r>
    <x v="181"/>
    <n v="2003"/>
    <n v="6"/>
    <x v="39"/>
    <x v="8"/>
    <x v="2"/>
    <n v="3"/>
    <s v="2003_06_040.gif"/>
    <m/>
    <m/>
    <m/>
    <b v="0"/>
    <n v="0"/>
    <x v="1"/>
    <n v="182"/>
    <s v="Electrical Power,Graph Interpretation"/>
    <n v="4410"/>
    <x v="3"/>
    <m/>
    <m/>
    <m/>
    <m/>
    <m/>
    <m/>
    <m/>
    <m/>
    <m/>
    <m/>
    <m/>
    <m/>
    <m/>
    <m/>
    <m/>
    <m/>
    <m/>
    <m/>
    <m/>
    <m/>
    <m/>
    <m/>
    <m/>
    <m/>
    <m/>
    <m/>
    <m/>
    <m/>
    <m/>
    <m/>
    <m/>
    <m/>
    <m/>
    <m/>
    <m/>
    <m/>
    <m/>
    <m/>
    <m/>
    <m/>
    <m/>
    <m/>
    <m/>
    <m/>
    <m/>
    <m/>
    <m/>
    <m/>
    <m/>
    <n v="1"/>
    <m/>
    <m/>
    <m/>
    <m/>
    <m/>
    <m/>
    <m/>
    <n v="1"/>
    <m/>
    <m/>
  </r>
  <r>
    <x v="182"/>
    <n v="2003"/>
    <n v="6"/>
    <x v="40"/>
    <x v="5"/>
    <x v="6"/>
    <n v="3"/>
    <s v="2003_06_041.gif"/>
    <m/>
    <m/>
    <m/>
    <b v="0"/>
    <n v="0"/>
    <x v="1"/>
    <n v="183"/>
    <s v="Law of Gravity,Coulomb's Law"/>
    <n v="4411"/>
    <x v="3"/>
    <m/>
    <m/>
    <m/>
    <m/>
    <m/>
    <m/>
    <m/>
    <m/>
    <m/>
    <m/>
    <m/>
    <m/>
    <m/>
    <m/>
    <m/>
    <m/>
    <m/>
    <m/>
    <m/>
    <m/>
    <m/>
    <m/>
    <m/>
    <m/>
    <n v="1"/>
    <m/>
    <m/>
    <m/>
    <m/>
    <m/>
    <m/>
    <m/>
    <m/>
    <m/>
    <m/>
    <m/>
    <m/>
    <m/>
    <m/>
    <m/>
    <m/>
    <m/>
    <m/>
    <m/>
    <m/>
    <n v="1"/>
    <m/>
    <m/>
    <m/>
    <m/>
    <m/>
    <m/>
    <m/>
    <m/>
    <m/>
    <m/>
    <m/>
    <m/>
    <m/>
    <m/>
  </r>
  <r>
    <x v="183"/>
    <n v="2003"/>
    <n v="6"/>
    <x v="41"/>
    <x v="5"/>
    <x v="2"/>
    <n v="4"/>
    <s v="2003_06_042.gif"/>
    <m/>
    <m/>
    <m/>
    <b v="0"/>
    <n v="0"/>
    <x v="1"/>
    <n v="184"/>
    <s v="Kinetic Energy,Graph Interpretation"/>
    <n v="4412"/>
    <x v="3"/>
    <m/>
    <m/>
    <m/>
    <m/>
    <m/>
    <m/>
    <m/>
    <m/>
    <m/>
    <m/>
    <m/>
    <m/>
    <m/>
    <m/>
    <m/>
    <m/>
    <m/>
    <m/>
    <m/>
    <m/>
    <m/>
    <m/>
    <m/>
    <m/>
    <m/>
    <m/>
    <m/>
    <m/>
    <m/>
    <m/>
    <m/>
    <m/>
    <m/>
    <n v="1"/>
    <m/>
    <m/>
    <m/>
    <m/>
    <m/>
    <m/>
    <m/>
    <m/>
    <m/>
    <m/>
    <m/>
    <m/>
    <m/>
    <m/>
    <m/>
    <m/>
    <m/>
    <m/>
    <m/>
    <m/>
    <m/>
    <m/>
    <m/>
    <n v="1"/>
    <m/>
    <m/>
  </r>
  <r>
    <x v="184"/>
    <n v="2003"/>
    <n v="6"/>
    <x v="42"/>
    <x v="8"/>
    <x v="0"/>
    <n v="4"/>
    <s v="2003_06_043.gif"/>
    <m/>
    <m/>
    <m/>
    <b v="0"/>
    <n v="0"/>
    <x v="1"/>
    <n v="185"/>
    <s v="Electrical Meters"/>
    <n v="4413"/>
    <x v="3"/>
    <m/>
    <m/>
    <m/>
    <m/>
    <m/>
    <m/>
    <m/>
    <m/>
    <m/>
    <m/>
    <m/>
    <m/>
    <m/>
    <m/>
    <m/>
    <m/>
    <m/>
    <m/>
    <m/>
    <m/>
    <m/>
    <m/>
    <m/>
    <m/>
    <m/>
    <m/>
    <m/>
    <m/>
    <m/>
    <m/>
    <m/>
    <m/>
    <m/>
    <m/>
    <m/>
    <m/>
    <m/>
    <m/>
    <m/>
    <m/>
    <m/>
    <m/>
    <m/>
    <m/>
    <m/>
    <m/>
    <m/>
    <m/>
    <m/>
    <m/>
    <m/>
    <m/>
    <m/>
    <n v="1"/>
    <m/>
    <m/>
    <m/>
    <m/>
    <m/>
    <m/>
  </r>
  <r>
    <x v="185"/>
    <n v="2003"/>
    <n v="6"/>
    <x v="43"/>
    <x v="8"/>
    <x v="0"/>
    <n v="4"/>
    <s v="2003_06_044.gif"/>
    <m/>
    <m/>
    <m/>
    <b v="0"/>
    <n v="0"/>
    <x v="1"/>
    <n v="186"/>
    <s v="Electrical Power,Series and Parallel"/>
    <n v="4414"/>
    <x v="3"/>
    <m/>
    <m/>
    <m/>
    <m/>
    <m/>
    <m/>
    <m/>
    <m/>
    <m/>
    <m/>
    <m/>
    <m/>
    <m/>
    <m/>
    <m/>
    <m/>
    <m/>
    <m/>
    <m/>
    <m/>
    <m/>
    <m/>
    <m/>
    <m/>
    <m/>
    <m/>
    <m/>
    <m/>
    <m/>
    <m/>
    <m/>
    <m/>
    <m/>
    <m/>
    <m/>
    <m/>
    <m/>
    <m/>
    <m/>
    <m/>
    <m/>
    <m/>
    <m/>
    <m/>
    <m/>
    <m/>
    <m/>
    <m/>
    <m/>
    <n v="1"/>
    <m/>
    <m/>
    <n v="1"/>
    <m/>
    <m/>
    <m/>
    <m/>
    <m/>
    <m/>
    <m/>
  </r>
  <r>
    <x v="186"/>
    <n v="2003"/>
    <n v="6"/>
    <x v="44"/>
    <x v="7"/>
    <x v="0"/>
    <n v="3"/>
    <s v="2003_06_045.gif"/>
    <m/>
    <m/>
    <m/>
    <b v="0"/>
    <n v="0"/>
    <x v="1"/>
    <n v="187"/>
    <s v="Superposition and Standing Waves"/>
    <n v="4415"/>
    <x v="3"/>
    <m/>
    <m/>
    <m/>
    <m/>
    <m/>
    <m/>
    <m/>
    <m/>
    <m/>
    <m/>
    <m/>
    <m/>
    <m/>
    <m/>
    <m/>
    <m/>
    <m/>
    <m/>
    <m/>
    <m/>
    <m/>
    <m/>
    <m/>
    <m/>
    <m/>
    <m/>
    <m/>
    <m/>
    <m/>
    <m/>
    <m/>
    <m/>
    <m/>
    <m/>
    <m/>
    <m/>
    <m/>
    <n v="1"/>
    <m/>
    <m/>
    <m/>
    <m/>
    <m/>
    <m/>
    <m/>
    <m/>
    <m/>
    <m/>
    <m/>
    <m/>
    <m/>
    <m/>
    <m/>
    <m/>
    <m/>
    <m/>
    <m/>
    <m/>
    <m/>
    <m/>
  </r>
  <r>
    <x v="187"/>
    <n v="2003"/>
    <n v="6"/>
    <x v="45"/>
    <x v="2"/>
    <x v="0"/>
    <n v="2"/>
    <s v="2003_06_046.gif"/>
    <m/>
    <m/>
    <m/>
    <b v="0"/>
    <n v="0"/>
    <x v="1"/>
    <n v="188"/>
    <s v="DT/VT Graphs"/>
    <n v="4416"/>
    <x v="3"/>
    <m/>
    <m/>
    <m/>
    <m/>
    <n v="1"/>
    <m/>
    <m/>
    <m/>
    <m/>
    <m/>
    <m/>
    <m/>
    <m/>
    <m/>
    <m/>
    <m/>
    <m/>
    <m/>
    <m/>
    <m/>
    <m/>
    <m/>
    <m/>
    <m/>
    <m/>
    <m/>
    <m/>
    <m/>
    <m/>
    <m/>
    <m/>
    <m/>
    <m/>
    <m/>
    <m/>
    <m/>
    <m/>
    <m/>
    <m/>
    <m/>
    <m/>
    <m/>
    <m/>
    <m/>
    <m/>
    <m/>
    <m/>
    <m/>
    <m/>
    <m/>
    <m/>
    <m/>
    <m/>
    <m/>
    <m/>
    <m/>
    <m/>
    <m/>
    <m/>
    <m/>
  </r>
  <r>
    <x v="188"/>
    <n v="2003"/>
    <n v="6"/>
    <x v="46"/>
    <x v="1"/>
    <x v="0"/>
    <n v="4"/>
    <s v="2003_06_047.gif"/>
    <m/>
    <m/>
    <m/>
    <b v="0"/>
    <n v="0"/>
    <x v="1"/>
    <n v="189"/>
    <s v="Newton's 2nd Law (F=MA)"/>
    <n v="4417"/>
    <x v="3"/>
    <m/>
    <m/>
    <m/>
    <m/>
    <m/>
    <m/>
    <m/>
    <m/>
    <m/>
    <m/>
    <m/>
    <m/>
    <m/>
    <m/>
    <m/>
    <m/>
    <m/>
    <m/>
    <m/>
    <m/>
    <m/>
    <m/>
    <m/>
    <m/>
    <m/>
    <m/>
    <n v="1"/>
    <m/>
    <m/>
    <m/>
    <m/>
    <m/>
    <m/>
    <m/>
    <m/>
    <m/>
    <m/>
    <m/>
    <m/>
    <m/>
    <m/>
    <m/>
    <m/>
    <m/>
    <m/>
    <m/>
    <m/>
    <m/>
    <m/>
    <m/>
    <m/>
    <m/>
    <m/>
    <m/>
    <m/>
    <m/>
    <m/>
    <m/>
    <m/>
    <m/>
  </r>
  <r>
    <x v="189"/>
    <n v="2004"/>
    <n v="1"/>
    <x v="0"/>
    <x v="2"/>
    <x v="1"/>
    <n v="1"/>
    <s v="2004_01_001.gif"/>
    <m/>
    <m/>
    <m/>
    <b v="0"/>
    <n v="0"/>
    <x v="0"/>
    <n v="190"/>
    <s v="Basic Motion Concepts,Vector vs. Scalar"/>
    <n v="4442"/>
    <x v="4"/>
    <m/>
    <m/>
    <m/>
    <m/>
    <m/>
    <m/>
    <m/>
    <n v="1"/>
    <m/>
    <m/>
    <m/>
    <m/>
    <m/>
    <n v="1"/>
    <m/>
    <m/>
    <m/>
    <m/>
    <m/>
    <m/>
    <m/>
    <m/>
    <m/>
    <m/>
    <m/>
    <m/>
    <m/>
    <m/>
    <m/>
    <m/>
    <m/>
    <m/>
    <m/>
    <m/>
    <m/>
    <m/>
    <m/>
    <m/>
    <m/>
    <m/>
    <m/>
    <m/>
    <m/>
    <m/>
    <m/>
    <m/>
    <m/>
    <m/>
    <m/>
    <m/>
    <m/>
    <m/>
    <m/>
    <m/>
    <m/>
    <m/>
    <m/>
    <m/>
    <m/>
    <m/>
  </r>
  <r>
    <x v="190"/>
    <n v="2004"/>
    <n v="1"/>
    <x v="1"/>
    <x v="2"/>
    <x v="0"/>
    <n v="4"/>
    <s v="2004_01_002.gif"/>
    <m/>
    <m/>
    <m/>
    <b v="0"/>
    <n v="0"/>
    <x v="0"/>
    <n v="191"/>
    <s v="Basic Motion Concepts"/>
    <n v="4443"/>
    <x v="4"/>
    <m/>
    <m/>
    <m/>
    <m/>
    <m/>
    <m/>
    <m/>
    <n v="1"/>
    <m/>
    <m/>
    <m/>
    <m/>
    <m/>
    <m/>
    <m/>
    <m/>
    <m/>
    <m/>
    <m/>
    <m/>
    <m/>
    <m/>
    <m/>
    <m/>
    <m/>
    <m/>
    <m/>
    <m/>
    <m/>
    <m/>
    <m/>
    <m/>
    <m/>
    <m/>
    <m/>
    <m/>
    <m/>
    <m/>
    <m/>
    <m/>
    <m/>
    <m/>
    <m/>
    <m/>
    <m/>
    <m/>
    <m/>
    <m/>
    <m/>
    <m/>
    <m/>
    <m/>
    <m/>
    <m/>
    <m/>
    <m/>
    <m/>
    <m/>
    <m/>
    <m/>
  </r>
  <r>
    <x v="191"/>
    <n v="2004"/>
    <n v="1"/>
    <x v="2"/>
    <x v="2"/>
    <x v="0"/>
    <n v="1"/>
    <s v="2004_01_003.gif"/>
    <m/>
    <m/>
    <m/>
    <b v="0"/>
    <n v="0"/>
    <x v="0"/>
    <n v="192"/>
    <s v="Horizontal Constant Acceleration Problems"/>
    <n v="4444"/>
    <x v="4"/>
    <m/>
    <m/>
    <m/>
    <m/>
    <m/>
    <m/>
    <m/>
    <m/>
    <m/>
    <n v="1"/>
    <m/>
    <m/>
    <m/>
    <m/>
    <m/>
    <m/>
    <m/>
    <m/>
    <m/>
    <m/>
    <m/>
    <m/>
    <m/>
    <m/>
    <m/>
    <m/>
    <m/>
    <m/>
    <m/>
    <m/>
    <m/>
    <m/>
    <m/>
    <m/>
    <m/>
    <m/>
    <m/>
    <m/>
    <m/>
    <m/>
    <m/>
    <m/>
    <m/>
    <m/>
    <m/>
    <m/>
    <m/>
    <m/>
    <m/>
    <m/>
    <m/>
    <m/>
    <m/>
    <m/>
    <m/>
    <m/>
    <m/>
    <m/>
    <m/>
    <m/>
  </r>
  <r>
    <x v="192"/>
    <n v="2004"/>
    <n v="1"/>
    <x v="3"/>
    <x v="2"/>
    <x v="0"/>
    <n v="1"/>
    <s v="2004_01_004.gif"/>
    <m/>
    <m/>
    <m/>
    <b v="0"/>
    <n v="0"/>
    <x v="0"/>
    <n v="193"/>
    <s v="Vertical Constant Acceleration Problems"/>
    <n v="4445"/>
    <x v="4"/>
    <m/>
    <m/>
    <m/>
    <m/>
    <m/>
    <m/>
    <m/>
    <m/>
    <m/>
    <m/>
    <n v="1"/>
    <m/>
    <m/>
    <m/>
    <m/>
    <m/>
    <m/>
    <m/>
    <m/>
    <m/>
    <m/>
    <m/>
    <m/>
    <m/>
    <m/>
    <m/>
    <m/>
    <m/>
    <m/>
    <m/>
    <m/>
    <m/>
    <m/>
    <m/>
    <m/>
    <m/>
    <m/>
    <m/>
    <m/>
    <m/>
    <m/>
    <m/>
    <m/>
    <m/>
    <m/>
    <m/>
    <m/>
    <m/>
    <m/>
    <m/>
    <m/>
    <m/>
    <m/>
    <m/>
    <m/>
    <m/>
    <m/>
    <m/>
    <m/>
    <m/>
  </r>
  <r>
    <x v="193"/>
    <n v="2004"/>
    <n v="1"/>
    <x v="4"/>
    <x v="1"/>
    <x v="0"/>
    <n v="4"/>
    <s v="2004_01_005.gif"/>
    <m/>
    <m/>
    <m/>
    <b v="0"/>
    <n v="0"/>
    <x v="0"/>
    <n v="194"/>
    <s v="Weight and Mass"/>
    <n v="4446"/>
    <x v="4"/>
    <m/>
    <m/>
    <m/>
    <m/>
    <m/>
    <m/>
    <m/>
    <m/>
    <m/>
    <m/>
    <m/>
    <m/>
    <m/>
    <m/>
    <m/>
    <m/>
    <m/>
    <m/>
    <m/>
    <m/>
    <m/>
    <m/>
    <m/>
    <m/>
    <m/>
    <m/>
    <m/>
    <n v="1"/>
    <m/>
    <m/>
    <m/>
    <m/>
    <m/>
    <m/>
    <m/>
    <m/>
    <m/>
    <m/>
    <m/>
    <m/>
    <m/>
    <m/>
    <m/>
    <m/>
    <m/>
    <m/>
    <m/>
    <m/>
    <m/>
    <m/>
    <m/>
    <m/>
    <m/>
    <m/>
    <m/>
    <m/>
    <m/>
    <m/>
    <m/>
    <m/>
  </r>
  <r>
    <x v="194"/>
    <n v="2004"/>
    <n v="1"/>
    <x v="5"/>
    <x v="0"/>
    <x v="9"/>
    <n v="3"/>
    <s v="2004_01_006.gif"/>
    <m/>
    <m/>
    <m/>
    <b v="0"/>
    <n v="0"/>
    <x v="0"/>
    <n v="195"/>
    <s v="Vector Components,Projectiles at an Angle"/>
    <n v="4447"/>
    <x v="4"/>
    <m/>
    <m/>
    <m/>
    <m/>
    <m/>
    <m/>
    <m/>
    <m/>
    <m/>
    <m/>
    <m/>
    <m/>
    <n v="1"/>
    <m/>
    <m/>
    <n v="1"/>
    <m/>
    <m/>
    <m/>
    <m/>
    <m/>
    <m/>
    <m/>
    <m/>
    <m/>
    <m/>
    <m/>
    <m/>
    <m/>
    <m/>
    <m/>
    <m/>
    <m/>
    <m/>
    <m/>
    <m/>
    <m/>
    <m/>
    <m/>
    <m/>
    <m/>
    <m/>
    <m/>
    <m/>
    <m/>
    <m/>
    <m/>
    <m/>
    <m/>
    <m/>
    <m/>
    <m/>
    <m/>
    <m/>
    <m/>
    <m/>
    <m/>
    <m/>
    <m/>
    <m/>
  </r>
  <r>
    <x v="195"/>
    <n v="2004"/>
    <n v="1"/>
    <x v="6"/>
    <x v="3"/>
    <x v="0"/>
    <n v="1"/>
    <s v="2004_01_007.gif"/>
    <m/>
    <m/>
    <m/>
    <b v="0"/>
    <n v="0"/>
    <x v="0"/>
    <n v="196"/>
    <s v="Projectiles at an Angle,Max Height of Projectile"/>
    <n v="4448"/>
    <x v="4"/>
    <m/>
    <m/>
    <m/>
    <m/>
    <m/>
    <m/>
    <m/>
    <m/>
    <m/>
    <m/>
    <m/>
    <m/>
    <m/>
    <m/>
    <m/>
    <n v="1"/>
    <m/>
    <m/>
    <n v="1"/>
    <m/>
    <m/>
    <m/>
    <m/>
    <m/>
    <m/>
    <m/>
    <m/>
    <m/>
    <m/>
    <m/>
    <m/>
    <m/>
    <m/>
    <m/>
    <m/>
    <m/>
    <m/>
    <m/>
    <m/>
    <m/>
    <m/>
    <m/>
    <m/>
    <m/>
    <m/>
    <m/>
    <m/>
    <m/>
    <m/>
    <m/>
    <m/>
    <m/>
    <m/>
    <m/>
    <m/>
    <m/>
    <m/>
    <m/>
    <m/>
    <m/>
  </r>
  <r>
    <x v="196"/>
    <n v="2004"/>
    <n v="1"/>
    <x v="7"/>
    <x v="3"/>
    <x v="2"/>
    <n v="2"/>
    <s v="2004_01_008.gif"/>
    <m/>
    <m/>
    <m/>
    <b v="0"/>
    <n v="0"/>
    <x v="0"/>
    <n v="197"/>
    <s v="Centripetal Motion - Calculation,Mathematical Relationships (Numberless Problems)"/>
    <n v="4449"/>
    <x v="4"/>
    <m/>
    <m/>
    <m/>
    <m/>
    <m/>
    <m/>
    <m/>
    <m/>
    <m/>
    <m/>
    <m/>
    <m/>
    <m/>
    <m/>
    <m/>
    <m/>
    <m/>
    <m/>
    <m/>
    <m/>
    <n v="1"/>
    <m/>
    <m/>
    <m/>
    <m/>
    <m/>
    <m/>
    <m/>
    <m/>
    <m/>
    <m/>
    <m/>
    <m/>
    <m/>
    <m/>
    <m/>
    <m/>
    <m/>
    <m/>
    <m/>
    <m/>
    <m/>
    <m/>
    <m/>
    <m/>
    <m/>
    <m/>
    <m/>
    <m/>
    <m/>
    <m/>
    <m/>
    <m/>
    <m/>
    <m/>
    <m/>
    <m/>
    <m/>
    <n v="1"/>
    <m/>
  </r>
  <r>
    <x v="197"/>
    <n v="2004"/>
    <n v="1"/>
    <x v="8"/>
    <x v="6"/>
    <x v="2"/>
    <n v="4"/>
    <s v="2004_01_009.gif"/>
    <m/>
    <m/>
    <m/>
    <b v="0"/>
    <n v="0"/>
    <x v="0"/>
    <n v="198"/>
    <s v="Coulomb's Law,Mathematical Relationships (Numberless Problems)"/>
    <n v="4450"/>
    <x v="4"/>
    <m/>
    <m/>
    <m/>
    <m/>
    <m/>
    <m/>
    <m/>
    <m/>
    <m/>
    <m/>
    <m/>
    <m/>
    <m/>
    <m/>
    <m/>
    <m/>
    <m/>
    <m/>
    <m/>
    <m/>
    <m/>
    <m/>
    <m/>
    <m/>
    <m/>
    <m/>
    <m/>
    <m/>
    <m/>
    <m/>
    <m/>
    <m/>
    <m/>
    <m/>
    <m/>
    <m/>
    <m/>
    <m/>
    <m/>
    <m/>
    <m/>
    <m/>
    <m/>
    <m/>
    <m/>
    <n v="1"/>
    <m/>
    <m/>
    <m/>
    <m/>
    <m/>
    <m/>
    <m/>
    <m/>
    <m/>
    <m/>
    <m/>
    <m/>
    <n v="1"/>
    <m/>
  </r>
  <r>
    <x v="198"/>
    <n v="2004"/>
    <n v="1"/>
    <x v="9"/>
    <x v="1"/>
    <x v="0"/>
    <n v="1"/>
    <s v="2004_01_010.gif"/>
    <m/>
    <m/>
    <m/>
    <b v="0"/>
    <n v="0"/>
    <x v="0"/>
    <n v="199"/>
    <s v="Friction"/>
    <n v="4451"/>
    <x v="4"/>
    <m/>
    <m/>
    <m/>
    <m/>
    <m/>
    <m/>
    <m/>
    <m/>
    <m/>
    <m/>
    <m/>
    <m/>
    <m/>
    <m/>
    <m/>
    <m/>
    <m/>
    <m/>
    <m/>
    <m/>
    <m/>
    <n v="1"/>
    <m/>
    <m/>
    <m/>
    <m/>
    <m/>
    <m/>
    <m/>
    <m/>
    <m/>
    <m/>
    <m/>
    <m/>
    <m/>
    <m/>
    <m/>
    <m/>
    <m/>
    <m/>
    <m/>
    <m/>
    <m/>
    <m/>
    <m/>
    <m/>
    <m/>
    <m/>
    <m/>
    <m/>
    <m/>
    <m/>
    <m/>
    <m/>
    <m/>
    <m/>
    <m/>
    <m/>
    <m/>
    <m/>
  </r>
  <r>
    <x v="199"/>
    <n v="2004"/>
    <n v="1"/>
    <x v="10"/>
    <x v="4"/>
    <x v="0"/>
    <n v="3"/>
    <s v="2004_01_011.gif"/>
    <m/>
    <m/>
    <m/>
    <b v="0"/>
    <n v="0"/>
    <x v="0"/>
    <n v="200"/>
    <s v="Impulse"/>
    <n v="4452"/>
    <x v="4"/>
    <m/>
    <m/>
    <m/>
    <m/>
    <m/>
    <m/>
    <m/>
    <m/>
    <m/>
    <m/>
    <m/>
    <m/>
    <m/>
    <m/>
    <m/>
    <m/>
    <m/>
    <m/>
    <m/>
    <m/>
    <m/>
    <m/>
    <m/>
    <m/>
    <m/>
    <m/>
    <m/>
    <m/>
    <m/>
    <n v="1"/>
    <m/>
    <m/>
    <m/>
    <m/>
    <m/>
    <m/>
    <m/>
    <m/>
    <m/>
    <m/>
    <m/>
    <m/>
    <m/>
    <m/>
    <m/>
    <m/>
    <m/>
    <m/>
    <m/>
    <m/>
    <m/>
    <m/>
    <m/>
    <m/>
    <m/>
    <m/>
    <m/>
    <m/>
    <m/>
    <m/>
  </r>
  <r>
    <x v="200"/>
    <n v="2004"/>
    <n v="1"/>
    <x v="11"/>
    <x v="4"/>
    <x v="0"/>
    <n v="2"/>
    <s v="2004_01_012.gif"/>
    <m/>
    <m/>
    <m/>
    <b v="0"/>
    <n v="0"/>
    <x v="0"/>
    <n v="201"/>
    <s v="Conservation of Momentum"/>
    <n v="4453"/>
    <x v="4"/>
    <m/>
    <m/>
    <m/>
    <m/>
    <m/>
    <m/>
    <m/>
    <m/>
    <m/>
    <m/>
    <m/>
    <m/>
    <m/>
    <m/>
    <m/>
    <m/>
    <m/>
    <m/>
    <m/>
    <m/>
    <m/>
    <m/>
    <m/>
    <m/>
    <m/>
    <m/>
    <m/>
    <m/>
    <n v="1"/>
    <m/>
    <m/>
    <m/>
    <m/>
    <m/>
    <m/>
    <m/>
    <m/>
    <m/>
    <m/>
    <m/>
    <m/>
    <m/>
    <m/>
    <m/>
    <m/>
    <m/>
    <m/>
    <m/>
    <m/>
    <m/>
    <m/>
    <m/>
    <m/>
    <m/>
    <m/>
    <m/>
    <m/>
    <m/>
    <m/>
    <m/>
  </r>
  <r>
    <x v="201"/>
    <n v="2004"/>
    <n v="1"/>
    <x v="12"/>
    <x v="6"/>
    <x v="10"/>
    <n v="4"/>
    <s v="2004_01_013.gif"/>
    <m/>
    <m/>
    <m/>
    <b v="0"/>
    <n v="0"/>
    <x v="0"/>
    <n v="202"/>
    <s v="Coulomb's Law,Electric Fields and Potential"/>
    <n v="4454"/>
    <x v="4"/>
    <m/>
    <m/>
    <m/>
    <m/>
    <m/>
    <m/>
    <m/>
    <m/>
    <m/>
    <m/>
    <m/>
    <m/>
    <m/>
    <m/>
    <m/>
    <m/>
    <m/>
    <m/>
    <m/>
    <m/>
    <m/>
    <m/>
    <m/>
    <m/>
    <m/>
    <m/>
    <m/>
    <m/>
    <m/>
    <m/>
    <m/>
    <m/>
    <m/>
    <m/>
    <m/>
    <m/>
    <m/>
    <m/>
    <m/>
    <m/>
    <m/>
    <m/>
    <m/>
    <m/>
    <m/>
    <n v="1"/>
    <m/>
    <n v="1"/>
    <m/>
    <m/>
    <m/>
    <m/>
    <m/>
    <m/>
    <m/>
    <m/>
    <m/>
    <m/>
    <m/>
    <m/>
  </r>
  <r>
    <x v="202"/>
    <n v="2004"/>
    <n v="1"/>
    <x v="13"/>
    <x v="5"/>
    <x v="2"/>
    <n v="1"/>
    <s v="2004_01_014.gif"/>
    <m/>
    <m/>
    <m/>
    <b v="0"/>
    <n v="0"/>
    <x v="0"/>
    <n v="203"/>
    <s v="Kinetic Energy,Mathematical Relationships (Numberless Problems)"/>
    <n v="4455"/>
    <x v="4"/>
    <m/>
    <m/>
    <m/>
    <m/>
    <m/>
    <m/>
    <m/>
    <m/>
    <m/>
    <m/>
    <m/>
    <m/>
    <m/>
    <m/>
    <m/>
    <m/>
    <m/>
    <m/>
    <m/>
    <m/>
    <m/>
    <m/>
    <m/>
    <m/>
    <m/>
    <m/>
    <m/>
    <m/>
    <m/>
    <m/>
    <m/>
    <m/>
    <m/>
    <n v="1"/>
    <m/>
    <m/>
    <m/>
    <m/>
    <m/>
    <m/>
    <m/>
    <m/>
    <m/>
    <m/>
    <m/>
    <m/>
    <m/>
    <m/>
    <m/>
    <m/>
    <m/>
    <m/>
    <m/>
    <m/>
    <m/>
    <m/>
    <m/>
    <m/>
    <n v="1"/>
    <m/>
  </r>
  <r>
    <x v="203"/>
    <n v="2004"/>
    <n v="1"/>
    <x v="14"/>
    <x v="8"/>
    <x v="0"/>
    <n v="4"/>
    <s v="2004_01_015.gif"/>
    <m/>
    <m/>
    <m/>
    <b v="0"/>
    <n v="0"/>
    <x v="0"/>
    <n v="204"/>
    <s v="Series and Parallel"/>
    <n v="4456"/>
    <x v="4"/>
    <m/>
    <m/>
    <m/>
    <m/>
    <m/>
    <m/>
    <m/>
    <m/>
    <m/>
    <m/>
    <m/>
    <m/>
    <m/>
    <m/>
    <m/>
    <m/>
    <m/>
    <m/>
    <m/>
    <m/>
    <m/>
    <m/>
    <m/>
    <m/>
    <m/>
    <m/>
    <m/>
    <m/>
    <m/>
    <m/>
    <m/>
    <m/>
    <m/>
    <m/>
    <m/>
    <m/>
    <m/>
    <m/>
    <m/>
    <m/>
    <m/>
    <m/>
    <m/>
    <m/>
    <m/>
    <m/>
    <m/>
    <m/>
    <m/>
    <m/>
    <m/>
    <m/>
    <n v="1"/>
    <m/>
    <m/>
    <m/>
    <m/>
    <m/>
    <m/>
    <m/>
  </r>
  <r>
    <x v="204"/>
    <n v="2004"/>
    <n v="1"/>
    <x v="15"/>
    <x v="5"/>
    <x v="0"/>
    <n v="4"/>
    <s v="2004_01_016.gif"/>
    <m/>
    <m/>
    <m/>
    <b v="0"/>
    <n v="0"/>
    <x v="0"/>
    <n v="205"/>
    <s v="Conservation of Energy,Gravitational PE,PE of Spring"/>
    <n v="4457"/>
    <x v="4"/>
    <m/>
    <m/>
    <m/>
    <m/>
    <m/>
    <m/>
    <m/>
    <m/>
    <m/>
    <m/>
    <m/>
    <m/>
    <m/>
    <m/>
    <m/>
    <m/>
    <m/>
    <m/>
    <m/>
    <m/>
    <m/>
    <m/>
    <m/>
    <m/>
    <m/>
    <m/>
    <m/>
    <m/>
    <m/>
    <m/>
    <m/>
    <n v="1"/>
    <n v="1"/>
    <m/>
    <n v="1"/>
    <m/>
    <m/>
    <m/>
    <m/>
    <m/>
    <m/>
    <m/>
    <m/>
    <m/>
    <m/>
    <m/>
    <m/>
    <m/>
    <m/>
    <m/>
    <m/>
    <m/>
    <m/>
    <m/>
    <m/>
    <m/>
    <m/>
    <m/>
    <m/>
    <m/>
  </r>
  <r>
    <x v="205"/>
    <n v="2004"/>
    <n v="1"/>
    <x v="16"/>
    <x v="5"/>
    <x v="0"/>
    <n v="2"/>
    <s v="2004_01_017.gif"/>
    <m/>
    <m/>
    <m/>
    <b v="0"/>
    <n v="0"/>
    <x v="0"/>
    <n v="206"/>
    <s v="Conservation of Energy,Gravitational PE"/>
    <n v="4458"/>
    <x v="4"/>
    <m/>
    <m/>
    <m/>
    <m/>
    <m/>
    <m/>
    <m/>
    <m/>
    <m/>
    <m/>
    <m/>
    <m/>
    <m/>
    <m/>
    <m/>
    <m/>
    <m/>
    <m/>
    <m/>
    <m/>
    <m/>
    <m/>
    <m/>
    <m/>
    <m/>
    <m/>
    <m/>
    <m/>
    <m/>
    <m/>
    <m/>
    <n v="1"/>
    <n v="1"/>
    <m/>
    <m/>
    <m/>
    <m/>
    <m/>
    <m/>
    <m/>
    <m/>
    <m/>
    <m/>
    <m/>
    <m/>
    <m/>
    <m/>
    <m/>
    <m/>
    <m/>
    <m/>
    <m/>
    <m/>
    <m/>
    <m/>
    <m/>
    <m/>
    <m/>
    <m/>
    <m/>
  </r>
  <r>
    <x v="206"/>
    <n v="2004"/>
    <n v="1"/>
    <x v="17"/>
    <x v="5"/>
    <x v="0"/>
    <n v="3"/>
    <s v="2004_01_018.gif"/>
    <m/>
    <m/>
    <m/>
    <b v="0"/>
    <n v="0"/>
    <x v="0"/>
    <n v="207"/>
    <s v="Work/Power"/>
    <n v="4459"/>
    <x v="4"/>
    <m/>
    <m/>
    <m/>
    <m/>
    <m/>
    <m/>
    <m/>
    <m/>
    <m/>
    <m/>
    <m/>
    <m/>
    <m/>
    <m/>
    <m/>
    <m/>
    <m/>
    <m/>
    <m/>
    <m/>
    <m/>
    <m/>
    <m/>
    <m/>
    <m/>
    <m/>
    <m/>
    <m/>
    <m/>
    <m/>
    <m/>
    <m/>
    <m/>
    <m/>
    <m/>
    <n v="1"/>
    <m/>
    <m/>
    <m/>
    <m/>
    <m/>
    <m/>
    <m/>
    <m/>
    <m/>
    <m/>
    <m/>
    <m/>
    <m/>
    <m/>
    <m/>
    <m/>
    <m/>
    <m/>
    <m/>
    <m/>
    <m/>
    <m/>
    <m/>
    <m/>
  </r>
  <r>
    <x v="207"/>
    <n v="2004"/>
    <n v="1"/>
    <x v="18"/>
    <x v="5"/>
    <x v="0"/>
    <n v="4"/>
    <s v="2004_01_019.gif"/>
    <m/>
    <m/>
    <m/>
    <b v="0"/>
    <n v="0"/>
    <x v="0"/>
    <n v="208"/>
    <s v="Work/Power"/>
    <n v="4460"/>
    <x v="4"/>
    <m/>
    <m/>
    <m/>
    <m/>
    <m/>
    <m/>
    <m/>
    <m/>
    <m/>
    <m/>
    <m/>
    <m/>
    <m/>
    <m/>
    <m/>
    <m/>
    <m/>
    <m/>
    <m/>
    <m/>
    <m/>
    <m/>
    <m/>
    <m/>
    <m/>
    <m/>
    <m/>
    <m/>
    <m/>
    <m/>
    <m/>
    <m/>
    <m/>
    <m/>
    <m/>
    <n v="1"/>
    <m/>
    <m/>
    <m/>
    <m/>
    <m/>
    <m/>
    <m/>
    <m/>
    <m/>
    <m/>
    <m/>
    <m/>
    <m/>
    <m/>
    <m/>
    <m/>
    <m/>
    <m/>
    <m/>
    <m/>
    <m/>
    <m/>
    <m/>
    <m/>
  </r>
  <r>
    <x v="208"/>
    <n v="2004"/>
    <n v="1"/>
    <x v="19"/>
    <x v="12"/>
    <x v="4"/>
    <n v="2"/>
    <s v="2004_01_020.gif"/>
    <m/>
    <m/>
    <m/>
    <b v="0"/>
    <n v="0"/>
    <x v="0"/>
    <n v="209"/>
    <s v="Magnetism"/>
    <n v="4461"/>
    <x v="4"/>
    <m/>
    <m/>
    <m/>
    <m/>
    <m/>
    <m/>
    <m/>
    <m/>
    <m/>
    <m/>
    <m/>
    <m/>
    <m/>
    <m/>
    <m/>
    <m/>
    <m/>
    <m/>
    <m/>
    <m/>
    <m/>
    <m/>
    <m/>
    <m/>
    <m/>
    <m/>
    <m/>
    <m/>
    <m/>
    <m/>
    <m/>
    <m/>
    <m/>
    <m/>
    <m/>
    <m/>
    <m/>
    <m/>
    <m/>
    <m/>
    <m/>
    <m/>
    <m/>
    <m/>
    <m/>
    <m/>
    <m/>
    <m/>
    <m/>
    <m/>
    <m/>
    <m/>
    <m/>
    <m/>
    <m/>
    <m/>
    <m/>
    <m/>
    <m/>
    <n v="1"/>
  </r>
  <r>
    <x v="209"/>
    <n v="2004"/>
    <n v="1"/>
    <x v="20"/>
    <x v="8"/>
    <x v="0"/>
    <n v="3"/>
    <s v="2004_01_021.gif"/>
    <m/>
    <m/>
    <m/>
    <b v="0"/>
    <n v="0"/>
    <x v="0"/>
    <n v="210"/>
    <s v="Ohm's Law"/>
    <n v="4462"/>
    <x v="4"/>
    <m/>
    <m/>
    <m/>
    <m/>
    <m/>
    <m/>
    <m/>
    <m/>
    <m/>
    <m/>
    <m/>
    <m/>
    <m/>
    <m/>
    <m/>
    <m/>
    <m/>
    <m/>
    <m/>
    <m/>
    <m/>
    <m/>
    <m/>
    <m/>
    <m/>
    <m/>
    <m/>
    <m/>
    <m/>
    <m/>
    <m/>
    <m/>
    <m/>
    <m/>
    <m/>
    <m/>
    <m/>
    <m/>
    <m/>
    <m/>
    <m/>
    <m/>
    <m/>
    <m/>
    <m/>
    <m/>
    <m/>
    <m/>
    <m/>
    <m/>
    <n v="1"/>
    <m/>
    <m/>
    <m/>
    <m/>
    <m/>
    <m/>
    <m/>
    <m/>
    <m/>
  </r>
  <r>
    <x v="210"/>
    <n v="2004"/>
    <n v="1"/>
    <x v="21"/>
    <x v="7"/>
    <x v="0"/>
    <n v="1"/>
    <s v="2004_01_022.gif"/>
    <m/>
    <m/>
    <m/>
    <b v="0"/>
    <n v="0"/>
    <x v="0"/>
    <n v="211"/>
    <s v="Wave Vocabulary"/>
    <n v="4463"/>
    <x v="4"/>
    <m/>
    <m/>
    <m/>
    <m/>
    <m/>
    <m/>
    <m/>
    <m/>
    <m/>
    <m/>
    <m/>
    <m/>
    <m/>
    <m/>
    <m/>
    <m/>
    <m/>
    <m/>
    <m/>
    <m/>
    <m/>
    <m/>
    <m/>
    <m/>
    <m/>
    <m/>
    <m/>
    <m/>
    <m/>
    <m/>
    <m/>
    <m/>
    <m/>
    <m/>
    <m/>
    <m/>
    <m/>
    <m/>
    <m/>
    <n v="1"/>
    <m/>
    <m/>
    <m/>
    <m/>
    <m/>
    <m/>
    <m/>
    <m/>
    <m/>
    <m/>
    <m/>
    <m/>
    <m/>
    <m/>
    <m/>
    <m/>
    <m/>
    <m/>
    <m/>
    <m/>
  </r>
  <r>
    <x v="211"/>
    <n v="2004"/>
    <n v="1"/>
    <x v="22"/>
    <x v="8"/>
    <x v="0"/>
    <n v="3"/>
    <s v="2004_01_023.gif"/>
    <m/>
    <m/>
    <m/>
    <b v="0"/>
    <n v="0"/>
    <x v="0"/>
    <n v="212"/>
    <s v="Resistance of Wire"/>
    <n v="4464"/>
    <x v="4"/>
    <m/>
    <m/>
    <m/>
    <m/>
    <m/>
    <m/>
    <m/>
    <m/>
    <m/>
    <m/>
    <m/>
    <m/>
    <m/>
    <m/>
    <m/>
    <m/>
    <m/>
    <m/>
    <m/>
    <m/>
    <m/>
    <m/>
    <m/>
    <m/>
    <m/>
    <m/>
    <m/>
    <m/>
    <m/>
    <m/>
    <m/>
    <m/>
    <m/>
    <m/>
    <m/>
    <m/>
    <m/>
    <m/>
    <m/>
    <m/>
    <m/>
    <m/>
    <m/>
    <m/>
    <m/>
    <m/>
    <m/>
    <m/>
    <m/>
    <m/>
    <m/>
    <n v="1"/>
    <m/>
    <m/>
    <m/>
    <m/>
    <m/>
    <m/>
    <m/>
    <m/>
  </r>
  <r>
    <x v="212"/>
    <n v="2004"/>
    <n v="1"/>
    <x v="23"/>
    <x v="5"/>
    <x v="0"/>
    <n v="3"/>
    <s v="2004_01_024.gif"/>
    <m/>
    <m/>
    <m/>
    <b v="0"/>
    <n v="0"/>
    <x v="0"/>
    <n v="213"/>
    <s v="Work/Power"/>
    <n v="4465"/>
    <x v="4"/>
    <m/>
    <m/>
    <m/>
    <m/>
    <m/>
    <m/>
    <m/>
    <m/>
    <m/>
    <m/>
    <m/>
    <m/>
    <m/>
    <m/>
    <m/>
    <m/>
    <m/>
    <m/>
    <m/>
    <m/>
    <m/>
    <m/>
    <m/>
    <m/>
    <m/>
    <m/>
    <m/>
    <m/>
    <m/>
    <m/>
    <m/>
    <m/>
    <m/>
    <m/>
    <m/>
    <n v="1"/>
    <m/>
    <m/>
    <m/>
    <m/>
    <m/>
    <m/>
    <m/>
    <m/>
    <m/>
    <m/>
    <m/>
    <m/>
    <m/>
    <m/>
    <m/>
    <m/>
    <m/>
    <m/>
    <m/>
    <m/>
    <m/>
    <m/>
    <m/>
    <m/>
  </r>
  <r>
    <x v="213"/>
    <n v="2004"/>
    <n v="1"/>
    <x v="24"/>
    <x v="7"/>
    <x v="2"/>
    <n v="1"/>
    <s v="2004_01_025.gif"/>
    <m/>
    <m/>
    <m/>
    <b v="0"/>
    <n v="0"/>
    <x v="0"/>
    <n v="214"/>
    <s v="Wave Vocabulary,Mathematical Relationships (Numberless Problems)"/>
    <n v="4466"/>
    <x v="4"/>
    <m/>
    <m/>
    <m/>
    <m/>
    <m/>
    <m/>
    <m/>
    <m/>
    <m/>
    <m/>
    <m/>
    <m/>
    <m/>
    <m/>
    <m/>
    <m/>
    <m/>
    <m/>
    <m/>
    <m/>
    <m/>
    <m/>
    <m/>
    <m/>
    <m/>
    <m/>
    <m/>
    <m/>
    <m/>
    <m/>
    <m/>
    <m/>
    <m/>
    <m/>
    <m/>
    <m/>
    <m/>
    <m/>
    <m/>
    <n v="1"/>
    <m/>
    <m/>
    <m/>
    <m/>
    <m/>
    <m/>
    <m/>
    <m/>
    <m/>
    <m/>
    <m/>
    <m/>
    <m/>
    <m/>
    <m/>
    <m/>
    <m/>
    <m/>
    <n v="1"/>
    <m/>
  </r>
  <r>
    <x v="214"/>
    <n v="2004"/>
    <n v="1"/>
    <x v="25"/>
    <x v="9"/>
    <x v="11"/>
    <n v="2"/>
    <s v="2004_01_026.gif"/>
    <m/>
    <m/>
    <m/>
    <b v="0"/>
    <n v="0"/>
    <x v="0"/>
    <n v="215"/>
    <s v="Basic Motion Concepts,Light and Sound"/>
    <n v="4467"/>
    <x v="4"/>
    <m/>
    <m/>
    <m/>
    <m/>
    <m/>
    <m/>
    <m/>
    <n v="1"/>
    <m/>
    <m/>
    <m/>
    <m/>
    <m/>
    <m/>
    <m/>
    <m/>
    <m/>
    <m/>
    <m/>
    <m/>
    <m/>
    <m/>
    <m/>
    <m/>
    <m/>
    <m/>
    <m/>
    <m/>
    <m/>
    <m/>
    <m/>
    <m/>
    <m/>
    <m/>
    <m/>
    <m/>
    <m/>
    <m/>
    <m/>
    <m/>
    <m/>
    <m/>
    <n v="1"/>
    <m/>
    <m/>
    <m/>
    <m/>
    <m/>
    <m/>
    <m/>
    <m/>
    <m/>
    <m/>
    <m/>
    <m/>
    <m/>
    <m/>
    <m/>
    <m/>
    <m/>
  </r>
  <r>
    <x v="215"/>
    <n v="2004"/>
    <n v="1"/>
    <x v="26"/>
    <x v="9"/>
    <x v="0"/>
    <n v="4"/>
    <s v="2004_01_027.gif"/>
    <m/>
    <m/>
    <m/>
    <b v="0"/>
    <n v="0"/>
    <x v="0"/>
    <n v="216"/>
    <s v="Refraction and Snell's Law"/>
    <n v="4468"/>
    <x v="4"/>
    <m/>
    <m/>
    <m/>
    <m/>
    <m/>
    <m/>
    <m/>
    <m/>
    <m/>
    <m/>
    <m/>
    <m/>
    <m/>
    <m/>
    <m/>
    <m/>
    <m/>
    <m/>
    <m/>
    <m/>
    <m/>
    <m/>
    <m/>
    <m/>
    <m/>
    <m/>
    <m/>
    <m/>
    <m/>
    <m/>
    <m/>
    <m/>
    <m/>
    <m/>
    <m/>
    <m/>
    <m/>
    <m/>
    <m/>
    <m/>
    <m/>
    <m/>
    <m/>
    <n v="1"/>
    <m/>
    <m/>
    <m/>
    <m/>
    <m/>
    <m/>
    <m/>
    <m/>
    <m/>
    <m/>
    <m/>
    <m/>
    <m/>
    <m/>
    <m/>
    <m/>
  </r>
  <r>
    <x v="216"/>
    <n v="2004"/>
    <n v="1"/>
    <x v="27"/>
    <x v="9"/>
    <x v="0"/>
    <n v="3"/>
    <s v="2004_01_028.gif"/>
    <m/>
    <m/>
    <m/>
    <b v="0"/>
    <n v="0"/>
    <x v="0"/>
    <n v="217"/>
    <s v="Refraction and Snell's Law"/>
    <n v="4469"/>
    <x v="4"/>
    <m/>
    <m/>
    <m/>
    <m/>
    <m/>
    <m/>
    <m/>
    <m/>
    <m/>
    <m/>
    <m/>
    <m/>
    <m/>
    <m/>
    <m/>
    <m/>
    <m/>
    <m/>
    <m/>
    <m/>
    <m/>
    <m/>
    <m/>
    <m/>
    <m/>
    <m/>
    <m/>
    <m/>
    <m/>
    <m/>
    <m/>
    <m/>
    <m/>
    <m/>
    <m/>
    <m/>
    <m/>
    <m/>
    <m/>
    <m/>
    <m/>
    <m/>
    <m/>
    <n v="1"/>
    <m/>
    <m/>
    <m/>
    <m/>
    <m/>
    <m/>
    <m/>
    <m/>
    <m/>
    <m/>
    <m/>
    <m/>
    <m/>
    <m/>
    <m/>
    <m/>
  </r>
  <r>
    <x v="217"/>
    <n v="2004"/>
    <n v="1"/>
    <x v="28"/>
    <x v="9"/>
    <x v="0"/>
    <n v="1"/>
    <s v="2004_01_029.gif"/>
    <m/>
    <m/>
    <m/>
    <b v="0"/>
    <n v="0"/>
    <x v="0"/>
    <n v="218"/>
    <s v="Diffraction"/>
    <n v="4470"/>
    <x v="4"/>
    <m/>
    <m/>
    <m/>
    <m/>
    <m/>
    <m/>
    <m/>
    <m/>
    <m/>
    <m/>
    <m/>
    <m/>
    <m/>
    <m/>
    <m/>
    <m/>
    <m/>
    <m/>
    <m/>
    <m/>
    <m/>
    <m/>
    <m/>
    <m/>
    <m/>
    <m/>
    <m/>
    <m/>
    <m/>
    <m/>
    <m/>
    <m/>
    <m/>
    <m/>
    <m/>
    <m/>
    <m/>
    <m/>
    <m/>
    <m/>
    <n v="1"/>
    <m/>
    <m/>
    <m/>
    <m/>
    <m/>
    <m/>
    <m/>
    <m/>
    <m/>
    <m/>
    <m/>
    <m/>
    <m/>
    <m/>
    <m/>
    <m/>
    <m/>
    <m/>
    <m/>
  </r>
  <r>
    <x v="218"/>
    <n v="2004"/>
    <n v="1"/>
    <x v="29"/>
    <x v="7"/>
    <x v="0"/>
    <n v="1"/>
    <s v="2004_01_030.gif"/>
    <m/>
    <m/>
    <m/>
    <b v="0"/>
    <n v="0"/>
    <x v="0"/>
    <n v="219"/>
    <s v="Superposition and Standing Waves"/>
    <n v="4471"/>
    <x v="4"/>
    <m/>
    <m/>
    <m/>
    <m/>
    <m/>
    <m/>
    <m/>
    <m/>
    <m/>
    <m/>
    <m/>
    <m/>
    <m/>
    <m/>
    <m/>
    <m/>
    <m/>
    <m/>
    <m/>
    <m/>
    <m/>
    <m/>
    <m/>
    <m/>
    <m/>
    <m/>
    <m/>
    <m/>
    <m/>
    <m/>
    <m/>
    <m/>
    <m/>
    <m/>
    <m/>
    <m/>
    <m/>
    <n v="1"/>
    <m/>
    <m/>
    <m/>
    <m/>
    <m/>
    <m/>
    <m/>
    <m/>
    <m/>
    <m/>
    <m/>
    <m/>
    <m/>
    <m/>
    <m/>
    <m/>
    <m/>
    <m/>
    <m/>
    <m/>
    <m/>
    <m/>
  </r>
  <r>
    <x v="219"/>
    <n v="2004"/>
    <n v="1"/>
    <x v="30"/>
    <x v="10"/>
    <x v="0"/>
    <n v="3"/>
    <s v="2004_01_031.gif"/>
    <m/>
    <m/>
    <m/>
    <b v="0"/>
    <n v="0"/>
    <x v="0"/>
    <n v="220"/>
    <s v="Energy/Frequency of Photon"/>
    <n v="4472"/>
    <x v="4"/>
    <m/>
    <m/>
    <m/>
    <m/>
    <m/>
    <m/>
    <m/>
    <m/>
    <m/>
    <m/>
    <m/>
    <m/>
    <m/>
    <m/>
    <m/>
    <m/>
    <m/>
    <m/>
    <m/>
    <m/>
    <m/>
    <m/>
    <m/>
    <m/>
    <m/>
    <m/>
    <m/>
    <m/>
    <m/>
    <m/>
    <m/>
    <m/>
    <m/>
    <m/>
    <m/>
    <m/>
    <m/>
    <m/>
    <m/>
    <m/>
    <m/>
    <m/>
    <m/>
    <m/>
    <m/>
    <m/>
    <m/>
    <m/>
    <m/>
    <m/>
    <m/>
    <m/>
    <m/>
    <m/>
    <n v="1"/>
    <m/>
    <m/>
    <m/>
    <m/>
    <m/>
  </r>
  <r>
    <x v="220"/>
    <n v="2004"/>
    <n v="1"/>
    <x v="31"/>
    <x v="7"/>
    <x v="0"/>
    <n v="2"/>
    <s v="2004_01_032.gif"/>
    <m/>
    <m/>
    <m/>
    <b v="0"/>
    <n v="0"/>
    <x v="0"/>
    <n v="221"/>
    <s v="Superposition and Standing Waves"/>
    <n v="4473"/>
    <x v="4"/>
    <m/>
    <m/>
    <m/>
    <m/>
    <m/>
    <m/>
    <m/>
    <m/>
    <m/>
    <m/>
    <m/>
    <m/>
    <m/>
    <m/>
    <m/>
    <m/>
    <m/>
    <m/>
    <m/>
    <m/>
    <m/>
    <m/>
    <m/>
    <m/>
    <m/>
    <m/>
    <m/>
    <m/>
    <m/>
    <m/>
    <m/>
    <m/>
    <m/>
    <m/>
    <m/>
    <m/>
    <m/>
    <n v="1"/>
    <m/>
    <m/>
    <m/>
    <m/>
    <m/>
    <m/>
    <m/>
    <m/>
    <m/>
    <m/>
    <m/>
    <m/>
    <m/>
    <m/>
    <m/>
    <m/>
    <m/>
    <m/>
    <m/>
    <m/>
    <m/>
    <m/>
  </r>
  <r>
    <x v="221"/>
    <n v="2004"/>
    <n v="1"/>
    <x v="32"/>
    <x v="10"/>
    <x v="0"/>
    <n v="3"/>
    <s v="2004_01_033.gif"/>
    <m/>
    <m/>
    <m/>
    <b v="0"/>
    <n v="0"/>
    <x v="0"/>
    <n v="222"/>
    <s v="Particle Physics"/>
    <n v="4474"/>
    <x v="4"/>
    <m/>
    <m/>
    <m/>
    <m/>
    <m/>
    <m/>
    <m/>
    <m/>
    <m/>
    <m/>
    <m/>
    <m/>
    <m/>
    <m/>
    <m/>
    <m/>
    <m/>
    <m/>
    <m/>
    <m/>
    <m/>
    <m/>
    <m/>
    <m/>
    <m/>
    <m/>
    <m/>
    <m/>
    <m/>
    <m/>
    <m/>
    <m/>
    <m/>
    <m/>
    <m/>
    <m/>
    <m/>
    <m/>
    <m/>
    <m/>
    <m/>
    <m/>
    <m/>
    <m/>
    <m/>
    <m/>
    <m/>
    <m/>
    <m/>
    <m/>
    <m/>
    <m/>
    <m/>
    <m/>
    <m/>
    <m/>
    <n v="1"/>
    <m/>
    <m/>
    <m/>
  </r>
  <r>
    <x v="222"/>
    <n v="2004"/>
    <n v="1"/>
    <x v="33"/>
    <x v="10"/>
    <x v="0"/>
    <n v="2"/>
    <s v="2004_01_034.gif"/>
    <m/>
    <m/>
    <m/>
    <b v="0"/>
    <n v="0"/>
    <x v="0"/>
    <n v="223"/>
    <s v="Particle Physics"/>
    <n v="4475"/>
    <x v="4"/>
    <m/>
    <m/>
    <m/>
    <m/>
    <m/>
    <m/>
    <m/>
    <m/>
    <m/>
    <m/>
    <m/>
    <m/>
    <m/>
    <m/>
    <m/>
    <m/>
    <m/>
    <m/>
    <m/>
    <m/>
    <m/>
    <m/>
    <m/>
    <m/>
    <m/>
    <m/>
    <m/>
    <m/>
    <m/>
    <m/>
    <m/>
    <m/>
    <m/>
    <m/>
    <m/>
    <m/>
    <m/>
    <m/>
    <m/>
    <m/>
    <m/>
    <m/>
    <m/>
    <m/>
    <m/>
    <m/>
    <m/>
    <m/>
    <m/>
    <m/>
    <m/>
    <m/>
    <m/>
    <m/>
    <m/>
    <m/>
    <n v="1"/>
    <m/>
    <m/>
    <m/>
  </r>
  <r>
    <x v="223"/>
    <n v="2004"/>
    <n v="1"/>
    <x v="34"/>
    <x v="10"/>
    <x v="0"/>
    <n v="3"/>
    <s v="2004_01_035.gif"/>
    <m/>
    <m/>
    <m/>
    <b v="0"/>
    <n v="0"/>
    <x v="0"/>
    <n v="224"/>
    <s v="Energy/Mass Equivalency"/>
    <n v="4476"/>
    <x v="4"/>
    <m/>
    <m/>
    <m/>
    <m/>
    <m/>
    <m/>
    <m/>
    <m/>
    <m/>
    <m/>
    <m/>
    <m/>
    <m/>
    <m/>
    <m/>
    <m/>
    <m/>
    <m/>
    <m/>
    <m/>
    <m/>
    <m/>
    <m/>
    <m/>
    <m/>
    <m/>
    <m/>
    <m/>
    <m/>
    <m/>
    <m/>
    <m/>
    <m/>
    <m/>
    <m/>
    <m/>
    <m/>
    <m/>
    <m/>
    <m/>
    <m/>
    <m/>
    <m/>
    <m/>
    <m/>
    <m/>
    <m/>
    <m/>
    <m/>
    <m/>
    <m/>
    <m/>
    <m/>
    <m/>
    <m/>
    <n v="1"/>
    <m/>
    <m/>
    <m/>
    <m/>
  </r>
  <r>
    <x v="224"/>
    <n v="2004"/>
    <n v="1"/>
    <x v="35"/>
    <x v="1"/>
    <x v="0"/>
    <n v="3"/>
    <s v="2004_01_036.gif"/>
    <m/>
    <m/>
    <m/>
    <b v="0"/>
    <n v="0"/>
    <x v="1"/>
    <n v="225"/>
    <s v="Law of Gravity"/>
    <n v="4477"/>
    <x v="4"/>
    <m/>
    <m/>
    <m/>
    <m/>
    <m/>
    <m/>
    <m/>
    <m/>
    <m/>
    <m/>
    <m/>
    <m/>
    <m/>
    <m/>
    <m/>
    <m/>
    <m/>
    <m/>
    <m/>
    <m/>
    <m/>
    <m/>
    <m/>
    <m/>
    <n v="1"/>
    <m/>
    <m/>
    <m/>
    <m/>
    <m/>
    <m/>
    <m/>
    <m/>
    <m/>
    <m/>
    <m/>
    <m/>
    <m/>
    <m/>
    <m/>
    <m/>
    <m/>
    <m/>
    <m/>
    <m/>
    <m/>
    <m/>
    <m/>
    <m/>
    <m/>
    <m/>
    <m/>
    <m/>
    <m/>
    <m/>
    <m/>
    <m/>
    <m/>
    <m/>
    <m/>
  </r>
  <r>
    <x v="225"/>
    <n v="2004"/>
    <n v="1"/>
    <x v="36"/>
    <x v="1"/>
    <x v="0"/>
    <n v="2"/>
    <s v="2004_01_037.gif"/>
    <m/>
    <m/>
    <m/>
    <b v="0"/>
    <n v="0"/>
    <x v="1"/>
    <n v="226"/>
    <s v="Law of Gravity"/>
    <n v="4478"/>
    <x v="4"/>
    <m/>
    <m/>
    <m/>
    <m/>
    <m/>
    <m/>
    <m/>
    <m/>
    <m/>
    <m/>
    <m/>
    <m/>
    <m/>
    <m/>
    <m/>
    <m/>
    <m/>
    <m/>
    <m/>
    <m/>
    <m/>
    <m/>
    <m/>
    <m/>
    <n v="1"/>
    <m/>
    <m/>
    <m/>
    <m/>
    <m/>
    <m/>
    <m/>
    <m/>
    <m/>
    <m/>
    <m/>
    <m/>
    <m/>
    <m/>
    <m/>
    <m/>
    <m/>
    <m/>
    <m/>
    <m/>
    <m/>
    <m/>
    <m/>
    <m/>
    <m/>
    <m/>
    <m/>
    <m/>
    <m/>
    <m/>
    <m/>
    <m/>
    <m/>
    <m/>
    <m/>
  </r>
  <r>
    <x v="226"/>
    <n v="2004"/>
    <n v="1"/>
    <x v="37"/>
    <x v="11"/>
    <x v="0"/>
    <n v="3"/>
    <s v="2004_01_038.gif"/>
    <m/>
    <m/>
    <m/>
    <b v="0"/>
    <n v="0"/>
    <x v="1"/>
    <n v="227"/>
    <s v="Estimation"/>
    <n v="4479"/>
    <x v="4"/>
    <m/>
    <m/>
    <n v="1"/>
    <m/>
    <m/>
    <m/>
    <m/>
    <m/>
    <m/>
    <m/>
    <m/>
    <m/>
    <m/>
    <m/>
    <m/>
    <m/>
    <m/>
    <m/>
    <m/>
    <m/>
    <m/>
    <m/>
    <m/>
    <m/>
    <m/>
    <m/>
    <m/>
    <m/>
    <m/>
    <m/>
    <m/>
    <m/>
    <m/>
    <m/>
    <m/>
    <m/>
    <m/>
    <m/>
    <m/>
    <m/>
    <m/>
    <m/>
    <m/>
    <m/>
    <m/>
    <m/>
    <m/>
    <m/>
    <m/>
    <m/>
    <m/>
    <m/>
    <m/>
    <m/>
    <m/>
    <m/>
    <m/>
    <m/>
    <m/>
    <m/>
  </r>
  <r>
    <x v="227"/>
    <n v="2004"/>
    <n v="1"/>
    <x v="38"/>
    <x v="0"/>
    <x v="0"/>
    <n v="4"/>
    <s v="2004_01_039.gif"/>
    <m/>
    <m/>
    <m/>
    <b v="0"/>
    <n v="0"/>
    <x v="1"/>
    <n v="228"/>
    <s v="Adding Vectors"/>
    <n v="4480"/>
    <x v="4"/>
    <m/>
    <m/>
    <m/>
    <m/>
    <m/>
    <m/>
    <m/>
    <m/>
    <m/>
    <m/>
    <m/>
    <n v="1"/>
    <m/>
    <m/>
    <m/>
    <m/>
    <m/>
    <m/>
    <m/>
    <m/>
    <m/>
    <m/>
    <m/>
    <m/>
    <m/>
    <m/>
    <m/>
    <m/>
    <m/>
    <m/>
    <m/>
    <m/>
    <m/>
    <m/>
    <m/>
    <m/>
    <m/>
    <m/>
    <m/>
    <m/>
    <m/>
    <m/>
    <m/>
    <m/>
    <m/>
    <m/>
    <m/>
    <m/>
    <m/>
    <m/>
    <m/>
    <m/>
    <m/>
    <m/>
    <m/>
    <m/>
    <m/>
    <m/>
    <m/>
    <m/>
  </r>
  <r>
    <x v="228"/>
    <n v="2004"/>
    <n v="1"/>
    <x v="39"/>
    <x v="5"/>
    <x v="8"/>
    <n v="4"/>
    <s v="2004_01_040.gif"/>
    <m/>
    <m/>
    <m/>
    <b v="0"/>
    <n v="0"/>
    <x v="1"/>
    <n v="229"/>
    <s v="Work/Power,Graph Interpretation"/>
    <n v="4481"/>
    <x v="4"/>
    <m/>
    <m/>
    <m/>
    <m/>
    <m/>
    <m/>
    <m/>
    <m/>
    <m/>
    <m/>
    <m/>
    <m/>
    <m/>
    <m/>
    <m/>
    <m/>
    <m/>
    <m/>
    <m/>
    <m/>
    <m/>
    <m/>
    <m/>
    <m/>
    <m/>
    <m/>
    <m/>
    <m/>
    <m/>
    <m/>
    <m/>
    <m/>
    <m/>
    <m/>
    <m/>
    <n v="1"/>
    <m/>
    <m/>
    <m/>
    <m/>
    <m/>
    <m/>
    <m/>
    <m/>
    <m/>
    <m/>
    <m/>
    <m/>
    <m/>
    <m/>
    <m/>
    <m/>
    <m/>
    <m/>
    <m/>
    <m/>
    <m/>
    <n v="1"/>
    <m/>
    <m/>
  </r>
  <r>
    <x v="229"/>
    <n v="2004"/>
    <n v="1"/>
    <x v="40"/>
    <x v="7"/>
    <x v="12"/>
    <n v="2"/>
    <s v="2004_01_041.gif"/>
    <m/>
    <m/>
    <m/>
    <b v="0"/>
    <n v="0"/>
    <x v="1"/>
    <n v="230"/>
    <s v="Wave Vocabulary,Light and Sound"/>
    <n v="4482"/>
    <x v="4"/>
    <m/>
    <m/>
    <m/>
    <m/>
    <m/>
    <m/>
    <m/>
    <m/>
    <m/>
    <m/>
    <m/>
    <m/>
    <m/>
    <m/>
    <m/>
    <m/>
    <m/>
    <m/>
    <m/>
    <m/>
    <m/>
    <m/>
    <m/>
    <m/>
    <m/>
    <m/>
    <m/>
    <m/>
    <m/>
    <m/>
    <m/>
    <m/>
    <m/>
    <m/>
    <m/>
    <m/>
    <m/>
    <m/>
    <m/>
    <n v="1"/>
    <m/>
    <m/>
    <n v="1"/>
    <m/>
    <m/>
    <m/>
    <m/>
    <m/>
    <m/>
    <m/>
    <m/>
    <m/>
    <m/>
    <m/>
    <m/>
    <m/>
    <m/>
    <m/>
    <m/>
    <m/>
  </r>
  <r>
    <x v="230"/>
    <n v="2004"/>
    <n v="1"/>
    <x v="41"/>
    <x v="7"/>
    <x v="12"/>
    <n v="4"/>
    <s v="2004_01_042.gif"/>
    <m/>
    <m/>
    <m/>
    <b v="0"/>
    <n v="0"/>
    <x v="1"/>
    <n v="231"/>
    <s v="Wave Vocabulary,Light and Sound"/>
    <n v="4483"/>
    <x v="4"/>
    <m/>
    <m/>
    <m/>
    <m/>
    <m/>
    <m/>
    <m/>
    <m/>
    <m/>
    <m/>
    <m/>
    <m/>
    <m/>
    <m/>
    <m/>
    <m/>
    <m/>
    <m/>
    <m/>
    <m/>
    <m/>
    <m/>
    <m/>
    <m/>
    <m/>
    <m/>
    <m/>
    <m/>
    <m/>
    <m/>
    <m/>
    <m/>
    <m/>
    <m/>
    <m/>
    <m/>
    <m/>
    <m/>
    <m/>
    <n v="1"/>
    <m/>
    <m/>
    <n v="1"/>
    <m/>
    <m/>
    <m/>
    <m/>
    <m/>
    <m/>
    <m/>
    <m/>
    <m/>
    <m/>
    <m/>
    <m/>
    <m/>
    <m/>
    <m/>
    <m/>
    <m/>
  </r>
  <r>
    <x v="231"/>
    <n v="2004"/>
    <n v="1"/>
    <x v="42"/>
    <x v="9"/>
    <x v="0"/>
    <n v="1"/>
    <s v="2004_01_043.gif"/>
    <m/>
    <m/>
    <m/>
    <b v="0"/>
    <n v="0"/>
    <x v="1"/>
    <n v="232"/>
    <s v="Doppler Effect"/>
    <n v="4484"/>
    <x v="4"/>
    <m/>
    <m/>
    <m/>
    <m/>
    <m/>
    <m/>
    <m/>
    <m/>
    <m/>
    <m/>
    <m/>
    <m/>
    <m/>
    <m/>
    <m/>
    <m/>
    <m/>
    <m/>
    <m/>
    <m/>
    <m/>
    <m/>
    <m/>
    <m/>
    <m/>
    <m/>
    <m/>
    <m/>
    <m/>
    <m/>
    <m/>
    <m/>
    <m/>
    <m/>
    <m/>
    <m/>
    <m/>
    <m/>
    <m/>
    <m/>
    <m/>
    <n v="1"/>
    <m/>
    <m/>
    <m/>
    <m/>
    <m/>
    <m/>
    <m/>
    <m/>
    <m/>
    <m/>
    <m/>
    <m/>
    <m/>
    <m/>
    <m/>
    <m/>
    <m/>
    <m/>
  </r>
  <r>
    <x v="232"/>
    <n v="2004"/>
    <n v="1"/>
    <x v="43"/>
    <x v="8"/>
    <x v="0"/>
    <n v="2"/>
    <s v="2004_01_044.gif"/>
    <m/>
    <m/>
    <m/>
    <b v="0"/>
    <n v="0"/>
    <x v="1"/>
    <n v="233"/>
    <s v="Resistance of Wire"/>
    <n v="4485"/>
    <x v="4"/>
    <m/>
    <m/>
    <m/>
    <m/>
    <m/>
    <m/>
    <m/>
    <m/>
    <m/>
    <m/>
    <m/>
    <m/>
    <m/>
    <m/>
    <m/>
    <m/>
    <m/>
    <m/>
    <m/>
    <m/>
    <m/>
    <m/>
    <m/>
    <m/>
    <m/>
    <m/>
    <m/>
    <m/>
    <m/>
    <m/>
    <m/>
    <m/>
    <m/>
    <m/>
    <m/>
    <m/>
    <m/>
    <m/>
    <m/>
    <m/>
    <m/>
    <m/>
    <m/>
    <m/>
    <m/>
    <m/>
    <m/>
    <m/>
    <m/>
    <m/>
    <m/>
    <n v="1"/>
    <m/>
    <m/>
    <m/>
    <m/>
    <m/>
    <m/>
    <m/>
    <m/>
  </r>
  <r>
    <x v="233"/>
    <n v="2004"/>
    <n v="1"/>
    <x v="44"/>
    <x v="8"/>
    <x v="0"/>
    <n v="2"/>
    <s v="2004_01_045.gif"/>
    <m/>
    <m/>
    <m/>
    <b v="0"/>
    <n v="0"/>
    <x v="1"/>
    <n v="234"/>
    <s v="Series and Parallel"/>
    <n v="4486"/>
    <x v="4"/>
    <m/>
    <m/>
    <m/>
    <m/>
    <m/>
    <m/>
    <m/>
    <m/>
    <m/>
    <m/>
    <m/>
    <m/>
    <m/>
    <m/>
    <m/>
    <m/>
    <m/>
    <m/>
    <m/>
    <m/>
    <m/>
    <m/>
    <m/>
    <m/>
    <m/>
    <m/>
    <m/>
    <m/>
    <m/>
    <m/>
    <m/>
    <m/>
    <m/>
    <m/>
    <m/>
    <m/>
    <m/>
    <m/>
    <m/>
    <m/>
    <m/>
    <m/>
    <m/>
    <m/>
    <m/>
    <m/>
    <m/>
    <m/>
    <m/>
    <m/>
    <m/>
    <m/>
    <n v="1"/>
    <m/>
    <m/>
    <m/>
    <m/>
    <m/>
    <m/>
    <m/>
  </r>
  <r>
    <x v="234"/>
    <n v="2004"/>
    <n v="1"/>
    <x v="45"/>
    <x v="8"/>
    <x v="0"/>
    <n v="3"/>
    <s v="2004_01_046.gif"/>
    <m/>
    <m/>
    <m/>
    <b v="0"/>
    <n v="0"/>
    <x v="1"/>
    <n v="235"/>
    <s v="Series and Parallel"/>
    <n v="4487"/>
    <x v="4"/>
    <m/>
    <m/>
    <m/>
    <m/>
    <m/>
    <m/>
    <m/>
    <m/>
    <m/>
    <m/>
    <m/>
    <m/>
    <m/>
    <m/>
    <m/>
    <m/>
    <m/>
    <m/>
    <m/>
    <m/>
    <m/>
    <m/>
    <m/>
    <m/>
    <m/>
    <m/>
    <m/>
    <m/>
    <m/>
    <m/>
    <m/>
    <m/>
    <m/>
    <m/>
    <m/>
    <m/>
    <m/>
    <m/>
    <m/>
    <m/>
    <m/>
    <m/>
    <m/>
    <m/>
    <m/>
    <m/>
    <m/>
    <m/>
    <m/>
    <m/>
    <m/>
    <m/>
    <n v="1"/>
    <m/>
    <m/>
    <m/>
    <m/>
    <m/>
    <m/>
    <m/>
  </r>
  <r>
    <x v="235"/>
    <n v="2004"/>
    <n v="1"/>
    <x v="46"/>
    <x v="10"/>
    <x v="0"/>
    <n v="2"/>
    <s v="2004_01_047.gif"/>
    <m/>
    <m/>
    <m/>
    <b v="0"/>
    <n v="0"/>
    <x v="1"/>
    <n v="236"/>
    <s v="Energy/Frequency of Photon"/>
    <n v="4488"/>
    <x v="4"/>
    <m/>
    <m/>
    <m/>
    <m/>
    <m/>
    <m/>
    <m/>
    <m/>
    <m/>
    <m/>
    <m/>
    <m/>
    <m/>
    <m/>
    <m/>
    <m/>
    <m/>
    <m/>
    <m/>
    <m/>
    <m/>
    <m/>
    <m/>
    <m/>
    <m/>
    <m/>
    <m/>
    <m/>
    <m/>
    <m/>
    <m/>
    <m/>
    <m/>
    <m/>
    <m/>
    <m/>
    <m/>
    <m/>
    <m/>
    <m/>
    <m/>
    <m/>
    <m/>
    <m/>
    <m/>
    <m/>
    <m/>
    <m/>
    <m/>
    <m/>
    <m/>
    <m/>
    <m/>
    <m/>
    <n v="1"/>
    <m/>
    <m/>
    <m/>
    <m/>
    <m/>
  </r>
  <r>
    <x v="236"/>
    <n v="2004"/>
    <n v="1"/>
    <x v="47"/>
    <x v="10"/>
    <x v="0"/>
    <n v="3"/>
    <s v="2004_01_048.gif"/>
    <m/>
    <m/>
    <m/>
    <b v="0"/>
    <n v="0"/>
    <x v="1"/>
    <n v="237"/>
    <s v="Energy/Frequency of Photon"/>
    <n v="4489"/>
    <x v="4"/>
    <m/>
    <m/>
    <m/>
    <m/>
    <m/>
    <m/>
    <m/>
    <m/>
    <m/>
    <m/>
    <m/>
    <m/>
    <m/>
    <m/>
    <m/>
    <m/>
    <m/>
    <m/>
    <m/>
    <m/>
    <m/>
    <m/>
    <m/>
    <m/>
    <m/>
    <m/>
    <m/>
    <m/>
    <m/>
    <m/>
    <m/>
    <m/>
    <m/>
    <m/>
    <m/>
    <m/>
    <m/>
    <m/>
    <m/>
    <m/>
    <m/>
    <m/>
    <m/>
    <m/>
    <m/>
    <m/>
    <m/>
    <m/>
    <m/>
    <m/>
    <m/>
    <m/>
    <m/>
    <m/>
    <n v="1"/>
    <m/>
    <m/>
    <m/>
    <m/>
    <m/>
  </r>
  <r>
    <x v="237"/>
    <n v="2004"/>
    <n v="6"/>
    <x v="0"/>
    <x v="2"/>
    <x v="1"/>
    <n v="4"/>
    <s v="2004_06_001.gif"/>
    <m/>
    <m/>
    <m/>
    <b v="0"/>
    <n v="0"/>
    <x v="0"/>
    <n v="238"/>
    <s v="Basic Motion Concepts,Vector vs. Scalar"/>
    <n v="4516"/>
    <x v="5"/>
    <m/>
    <m/>
    <m/>
    <m/>
    <m/>
    <m/>
    <m/>
    <n v="1"/>
    <m/>
    <m/>
    <m/>
    <m/>
    <m/>
    <n v="1"/>
    <m/>
    <m/>
    <m/>
    <m/>
    <m/>
    <m/>
    <m/>
    <m/>
    <m/>
    <m/>
    <m/>
    <m/>
    <m/>
    <m/>
    <m/>
    <m/>
    <m/>
    <m/>
    <m/>
    <m/>
    <m/>
    <m/>
    <m/>
    <m/>
    <m/>
    <m/>
    <m/>
    <m/>
    <m/>
    <m/>
    <m/>
    <m/>
    <m/>
    <m/>
    <m/>
    <m/>
    <m/>
    <m/>
    <m/>
    <m/>
    <m/>
    <m/>
    <m/>
    <m/>
    <m/>
    <m/>
  </r>
  <r>
    <x v="238"/>
    <n v="2004"/>
    <n v="6"/>
    <x v="1"/>
    <x v="0"/>
    <x v="0"/>
    <n v="1"/>
    <s v="2004_06_002.gif"/>
    <m/>
    <m/>
    <m/>
    <b v="0"/>
    <n v="0"/>
    <x v="0"/>
    <n v="239"/>
    <s v="Adding Vectors"/>
    <n v="4517"/>
    <x v="5"/>
    <m/>
    <m/>
    <m/>
    <m/>
    <m/>
    <m/>
    <m/>
    <m/>
    <m/>
    <m/>
    <m/>
    <n v="1"/>
    <m/>
    <m/>
    <m/>
    <m/>
    <m/>
    <m/>
    <m/>
    <m/>
    <m/>
    <m/>
    <m/>
    <m/>
    <m/>
    <m/>
    <m/>
    <m/>
    <m/>
    <m/>
    <m/>
    <m/>
    <m/>
    <m/>
    <m/>
    <m/>
    <m/>
    <m/>
    <m/>
    <m/>
    <m/>
    <m/>
    <m/>
    <m/>
    <m/>
    <m/>
    <m/>
    <m/>
    <m/>
    <m/>
    <m/>
    <m/>
    <m/>
    <m/>
    <m/>
    <m/>
    <m/>
    <m/>
    <m/>
    <m/>
  </r>
  <r>
    <x v="239"/>
    <n v="2004"/>
    <n v="6"/>
    <x v="2"/>
    <x v="1"/>
    <x v="0"/>
    <n v="4"/>
    <s v="2004_06_003.gif"/>
    <m/>
    <m/>
    <m/>
    <b v="0"/>
    <n v="0"/>
    <x v="0"/>
    <n v="240"/>
    <s v="Newton's 2nd Law (F=MA),Weight and Mass"/>
    <n v="4518"/>
    <x v="5"/>
    <m/>
    <m/>
    <m/>
    <m/>
    <m/>
    <m/>
    <m/>
    <m/>
    <m/>
    <m/>
    <m/>
    <m/>
    <m/>
    <m/>
    <m/>
    <m/>
    <m/>
    <m/>
    <m/>
    <m/>
    <m/>
    <m/>
    <m/>
    <m/>
    <m/>
    <m/>
    <n v="1"/>
    <n v="1"/>
    <m/>
    <m/>
    <m/>
    <m/>
    <m/>
    <m/>
    <m/>
    <m/>
    <m/>
    <m/>
    <m/>
    <m/>
    <m/>
    <m/>
    <m/>
    <m/>
    <m/>
    <m/>
    <m/>
    <m/>
    <m/>
    <m/>
    <m/>
    <m/>
    <m/>
    <m/>
    <m/>
    <m/>
    <m/>
    <m/>
    <m/>
    <m/>
  </r>
  <r>
    <x v="240"/>
    <n v="2004"/>
    <n v="6"/>
    <x v="3"/>
    <x v="3"/>
    <x v="0"/>
    <n v="3"/>
    <s v="2004_06_004.gif"/>
    <m/>
    <m/>
    <m/>
    <b v="0"/>
    <n v="0"/>
    <x v="0"/>
    <n v="241"/>
    <s v="Acceleration of Projectile"/>
    <n v="4519"/>
    <x v="5"/>
    <m/>
    <m/>
    <m/>
    <m/>
    <m/>
    <m/>
    <m/>
    <m/>
    <m/>
    <m/>
    <m/>
    <m/>
    <m/>
    <m/>
    <n v="1"/>
    <m/>
    <m/>
    <m/>
    <m/>
    <m/>
    <m/>
    <m/>
    <m/>
    <m/>
    <m/>
    <m/>
    <m/>
    <m/>
    <m/>
    <m/>
    <m/>
    <m/>
    <m/>
    <m/>
    <m/>
    <m/>
    <m/>
    <m/>
    <m/>
    <m/>
    <m/>
    <m/>
    <m/>
    <m/>
    <m/>
    <m/>
    <m/>
    <m/>
    <m/>
    <m/>
    <m/>
    <m/>
    <m/>
    <m/>
    <m/>
    <m/>
    <m/>
    <m/>
    <m/>
    <m/>
  </r>
  <r>
    <x v="241"/>
    <n v="2004"/>
    <n v="6"/>
    <x v="4"/>
    <x v="3"/>
    <x v="0"/>
    <n v="3"/>
    <s v="2004_06_005.gif"/>
    <m/>
    <m/>
    <m/>
    <b v="0"/>
    <n v="0"/>
    <x v="0"/>
    <n v="242"/>
    <s v="Horizontal Projectile Range"/>
    <n v="4520"/>
    <x v="5"/>
    <m/>
    <m/>
    <m/>
    <m/>
    <m/>
    <m/>
    <m/>
    <m/>
    <m/>
    <m/>
    <m/>
    <m/>
    <m/>
    <m/>
    <m/>
    <m/>
    <n v="1"/>
    <m/>
    <m/>
    <m/>
    <m/>
    <m/>
    <m/>
    <m/>
    <m/>
    <m/>
    <m/>
    <m/>
    <m/>
    <m/>
    <m/>
    <m/>
    <m/>
    <m/>
    <m/>
    <m/>
    <m/>
    <m/>
    <m/>
    <m/>
    <m/>
    <m/>
    <m/>
    <m/>
    <m/>
    <m/>
    <m/>
    <m/>
    <m/>
    <m/>
    <m/>
    <m/>
    <m/>
    <m/>
    <m/>
    <m/>
    <m/>
    <m/>
    <m/>
    <m/>
  </r>
  <r>
    <x v="242"/>
    <n v="2004"/>
    <n v="6"/>
    <x v="5"/>
    <x v="1"/>
    <x v="0"/>
    <n v="1"/>
    <s v="2004_06_006.gif"/>
    <m/>
    <m/>
    <m/>
    <b v="0"/>
    <n v="0"/>
    <x v="0"/>
    <n v="243"/>
    <s v="Newton's 2nd Law (F=MA),Weight and Mass"/>
    <n v="4521"/>
    <x v="5"/>
    <m/>
    <m/>
    <m/>
    <m/>
    <m/>
    <m/>
    <m/>
    <m/>
    <m/>
    <m/>
    <m/>
    <m/>
    <m/>
    <m/>
    <m/>
    <m/>
    <m/>
    <m/>
    <m/>
    <m/>
    <m/>
    <m/>
    <m/>
    <m/>
    <m/>
    <m/>
    <n v="1"/>
    <n v="1"/>
    <m/>
    <m/>
    <m/>
    <m/>
    <m/>
    <m/>
    <m/>
    <m/>
    <m/>
    <m/>
    <m/>
    <m/>
    <m/>
    <m/>
    <m/>
    <m/>
    <m/>
    <m/>
    <m/>
    <m/>
    <m/>
    <m/>
    <m/>
    <m/>
    <m/>
    <m/>
    <m/>
    <m/>
    <m/>
    <m/>
    <m/>
    <m/>
  </r>
  <r>
    <x v="243"/>
    <n v="2004"/>
    <n v="6"/>
    <x v="6"/>
    <x v="2"/>
    <x v="0"/>
    <n v="2"/>
    <s v="2004_06_007.gif"/>
    <m/>
    <m/>
    <m/>
    <b v="0"/>
    <n v="0"/>
    <x v="0"/>
    <n v="244"/>
    <s v="Vertical Constant Acceleration Problems"/>
    <n v="4522"/>
    <x v="5"/>
    <m/>
    <m/>
    <m/>
    <m/>
    <m/>
    <m/>
    <m/>
    <m/>
    <m/>
    <m/>
    <n v="1"/>
    <m/>
    <m/>
    <m/>
    <m/>
    <m/>
    <m/>
    <m/>
    <m/>
    <m/>
    <m/>
    <m/>
    <m/>
    <m/>
    <m/>
    <m/>
    <m/>
    <m/>
    <m/>
    <m/>
    <m/>
    <m/>
    <m/>
    <m/>
    <m/>
    <m/>
    <m/>
    <m/>
    <m/>
    <m/>
    <m/>
    <m/>
    <m/>
    <m/>
    <m/>
    <m/>
    <m/>
    <m/>
    <m/>
    <m/>
    <m/>
    <m/>
    <m/>
    <m/>
    <m/>
    <m/>
    <m/>
    <m/>
    <m/>
    <m/>
  </r>
  <r>
    <x v="244"/>
    <n v="2004"/>
    <n v="6"/>
    <x v="7"/>
    <x v="1"/>
    <x v="0"/>
    <n v="2"/>
    <s v="2004_06_008.gif"/>
    <m/>
    <m/>
    <m/>
    <b v="0"/>
    <n v="0"/>
    <x v="0"/>
    <n v="245"/>
    <s v="Friction"/>
    <n v="4523"/>
    <x v="5"/>
    <m/>
    <m/>
    <m/>
    <m/>
    <m/>
    <m/>
    <m/>
    <m/>
    <m/>
    <m/>
    <m/>
    <m/>
    <m/>
    <m/>
    <m/>
    <m/>
    <m/>
    <m/>
    <m/>
    <m/>
    <m/>
    <n v="1"/>
    <m/>
    <m/>
    <m/>
    <m/>
    <m/>
    <m/>
    <m/>
    <m/>
    <m/>
    <m/>
    <m/>
    <m/>
    <m/>
    <m/>
    <m/>
    <m/>
    <m/>
    <m/>
    <m/>
    <m/>
    <m/>
    <m/>
    <m/>
    <m/>
    <m/>
    <m/>
    <m/>
    <m/>
    <m/>
    <m/>
    <m/>
    <m/>
    <m/>
    <m/>
    <m/>
    <m/>
    <m/>
    <m/>
  </r>
  <r>
    <x v="245"/>
    <n v="2004"/>
    <n v="6"/>
    <x v="8"/>
    <x v="4"/>
    <x v="0"/>
    <n v="1"/>
    <s v="2004_06_009.gif"/>
    <m/>
    <m/>
    <m/>
    <b v="0"/>
    <n v="0"/>
    <x v="0"/>
    <n v="246"/>
    <s v="Impulse"/>
    <n v="4524"/>
    <x v="5"/>
    <m/>
    <m/>
    <m/>
    <m/>
    <m/>
    <m/>
    <m/>
    <m/>
    <m/>
    <m/>
    <m/>
    <m/>
    <m/>
    <m/>
    <m/>
    <m/>
    <m/>
    <m/>
    <m/>
    <m/>
    <m/>
    <m/>
    <m/>
    <m/>
    <m/>
    <m/>
    <m/>
    <m/>
    <m/>
    <n v="1"/>
    <m/>
    <m/>
    <m/>
    <m/>
    <m/>
    <m/>
    <m/>
    <m/>
    <m/>
    <m/>
    <m/>
    <m/>
    <m/>
    <m/>
    <m/>
    <m/>
    <m/>
    <m/>
    <m/>
    <m/>
    <m/>
    <m/>
    <m/>
    <m/>
    <m/>
    <m/>
    <m/>
    <m/>
    <m/>
    <m/>
  </r>
  <r>
    <x v="246"/>
    <n v="2004"/>
    <n v="6"/>
    <x v="9"/>
    <x v="4"/>
    <x v="0"/>
    <n v="4"/>
    <s v="2004_06_010.gif"/>
    <m/>
    <m/>
    <m/>
    <b v="0"/>
    <n v="0"/>
    <x v="0"/>
    <n v="247"/>
    <s v="Newton's 3rd Law (Equal But Opposite)"/>
    <n v="4525"/>
    <x v="5"/>
    <m/>
    <m/>
    <m/>
    <m/>
    <m/>
    <m/>
    <m/>
    <m/>
    <m/>
    <m/>
    <m/>
    <m/>
    <m/>
    <m/>
    <m/>
    <m/>
    <m/>
    <m/>
    <m/>
    <m/>
    <m/>
    <m/>
    <m/>
    <m/>
    <m/>
    <m/>
    <m/>
    <m/>
    <m/>
    <m/>
    <n v="1"/>
    <m/>
    <m/>
    <m/>
    <m/>
    <m/>
    <m/>
    <m/>
    <m/>
    <m/>
    <m/>
    <m/>
    <m/>
    <m/>
    <m/>
    <m/>
    <m/>
    <m/>
    <m/>
    <m/>
    <m/>
    <m/>
    <m/>
    <m/>
    <m/>
    <m/>
    <m/>
    <m/>
    <m/>
    <m/>
  </r>
  <r>
    <x v="247"/>
    <n v="2004"/>
    <n v="6"/>
    <x v="10"/>
    <x v="11"/>
    <x v="0"/>
    <n v="4"/>
    <s v="2004_06_011.gif"/>
    <m/>
    <m/>
    <m/>
    <b v="0"/>
    <n v="0"/>
    <x v="0"/>
    <n v="248"/>
    <s v="Units"/>
    <n v="4526"/>
    <x v="5"/>
    <m/>
    <m/>
    <m/>
    <n v="1"/>
    <m/>
    <m/>
    <m/>
    <m/>
    <m/>
    <m/>
    <m/>
    <m/>
    <m/>
    <m/>
    <m/>
    <m/>
    <m/>
    <m/>
    <m/>
    <m/>
    <m/>
    <m/>
    <m/>
    <m/>
    <m/>
    <m/>
    <m/>
    <m/>
    <m/>
    <m/>
    <m/>
    <m/>
    <m/>
    <m/>
    <m/>
    <m/>
    <m/>
    <m/>
    <m/>
    <m/>
    <m/>
    <m/>
    <m/>
    <m/>
    <m/>
    <m/>
    <m/>
    <m/>
    <m/>
    <m/>
    <m/>
    <m/>
    <m/>
    <m/>
    <m/>
    <m/>
    <m/>
    <m/>
    <m/>
    <m/>
  </r>
  <r>
    <x v="248"/>
    <n v="2004"/>
    <n v="6"/>
    <x v="11"/>
    <x v="5"/>
    <x v="0"/>
    <n v="2"/>
    <s v="2004_06_012.gif"/>
    <m/>
    <m/>
    <m/>
    <b v="0"/>
    <n v="0"/>
    <x v="0"/>
    <n v="249"/>
    <s v="Work/Power"/>
    <n v="4527"/>
    <x v="5"/>
    <m/>
    <m/>
    <m/>
    <m/>
    <m/>
    <m/>
    <m/>
    <m/>
    <m/>
    <m/>
    <m/>
    <m/>
    <m/>
    <m/>
    <m/>
    <m/>
    <m/>
    <m/>
    <m/>
    <m/>
    <m/>
    <m/>
    <m/>
    <m/>
    <m/>
    <m/>
    <m/>
    <m/>
    <m/>
    <m/>
    <m/>
    <m/>
    <m/>
    <m/>
    <m/>
    <n v="1"/>
    <m/>
    <m/>
    <m/>
    <m/>
    <m/>
    <m/>
    <m/>
    <m/>
    <m/>
    <m/>
    <m/>
    <m/>
    <m/>
    <m/>
    <m/>
    <m/>
    <m/>
    <m/>
    <m/>
    <m/>
    <m/>
    <m/>
    <m/>
    <m/>
  </r>
  <r>
    <x v="249"/>
    <n v="2004"/>
    <n v="6"/>
    <x v="12"/>
    <x v="5"/>
    <x v="0"/>
    <n v="4"/>
    <s v="2004_06_013.gif"/>
    <m/>
    <m/>
    <m/>
    <b v="0"/>
    <n v="0"/>
    <x v="0"/>
    <n v="250"/>
    <s v="Kinetic Energy"/>
    <n v="4528"/>
    <x v="5"/>
    <m/>
    <m/>
    <m/>
    <m/>
    <m/>
    <m/>
    <m/>
    <m/>
    <m/>
    <m/>
    <m/>
    <m/>
    <m/>
    <m/>
    <m/>
    <m/>
    <m/>
    <m/>
    <m/>
    <m/>
    <m/>
    <m/>
    <m/>
    <m/>
    <m/>
    <m/>
    <m/>
    <m/>
    <m/>
    <m/>
    <m/>
    <m/>
    <m/>
    <n v="1"/>
    <m/>
    <m/>
    <m/>
    <m/>
    <m/>
    <m/>
    <m/>
    <m/>
    <m/>
    <m/>
    <m/>
    <m/>
    <m/>
    <m/>
    <m/>
    <m/>
    <m/>
    <m/>
    <m/>
    <m/>
    <m/>
    <m/>
    <m/>
    <m/>
    <m/>
    <m/>
  </r>
  <r>
    <x v="250"/>
    <n v="2004"/>
    <n v="6"/>
    <x v="13"/>
    <x v="5"/>
    <x v="0"/>
    <n v="2"/>
    <s v="2004_06_014.gif"/>
    <m/>
    <m/>
    <m/>
    <b v="0"/>
    <n v="0"/>
    <x v="0"/>
    <n v="251"/>
    <s v="PE of Spring"/>
    <n v="4529"/>
    <x v="5"/>
    <m/>
    <m/>
    <m/>
    <m/>
    <m/>
    <m/>
    <m/>
    <m/>
    <m/>
    <m/>
    <m/>
    <m/>
    <m/>
    <m/>
    <m/>
    <m/>
    <m/>
    <m/>
    <m/>
    <m/>
    <m/>
    <m/>
    <m/>
    <m/>
    <m/>
    <m/>
    <m/>
    <m/>
    <m/>
    <m/>
    <m/>
    <m/>
    <m/>
    <m/>
    <n v="1"/>
    <m/>
    <m/>
    <m/>
    <m/>
    <m/>
    <m/>
    <m/>
    <m/>
    <m/>
    <m/>
    <m/>
    <m/>
    <m/>
    <m/>
    <m/>
    <m/>
    <m/>
    <m/>
    <m/>
    <m/>
    <m/>
    <m/>
    <m/>
    <m/>
    <m/>
  </r>
  <r>
    <x v="251"/>
    <n v="2004"/>
    <n v="6"/>
    <x v="14"/>
    <x v="5"/>
    <x v="0"/>
    <n v="2"/>
    <s v="2004_06_015.gif"/>
    <m/>
    <m/>
    <m/>
    <b v="0"/>
    <n v="0"/>
    <x v="0"/>
    <n v="252"/>
    <s v="Work/Power"/>
    <n v="4530"/>
    <x v="5"/>
    <m/>
    <m/>
    <m/>
    <m/>
    <m/>
    <m/>
    <m/>
    <m/>
    <m/>
    <m/>
    <m/>
    <m/>
    <m/>
    <m/>
    <m/>
    <m/>
    <m/>
    <m/>
    <m/>
    <m/>
    <m/>
    <m/>
    <m/>
    <m/>
    <m/>
    <m/>
    <m/>
    <m/>
    <m/>
    <m/>
    <m/>
    <m/>
    <m/>
    <m/>
    <m/>
    <n v="1"/>
    <m/>
    <m/>
    <m/>
    <m/>
    <m/>
    <m/>
    <m/>
    <m/>
    <m/>
    <m/>
    <m/>
    <m/>
    <m/>
    <m/>
    <m/>
    <m/>
    <m/>
    <m/>
    <m/>
    <m/>
    <m/>
    <m/>
    <m/>
    <m/>
  </r>
  <r>
    <x v="252"/>
    <n v="2004"/>
    <n v="6"/>
    <x v="15"/>
    <x v="12"/>
    <x v="4"/>
    <n v="3"/>
    <s v="2004_06_016.gif"/>
    <m/>
    <m/>
    <m/>
    <b v="0"/>
    <n v="0"/>
    <x v="0"/>
    <n v="253"/>
    <s v="Electric Fields and Potential,Magnetism"/>
    <n v="4531"/>
    <x v="5"/>
    <m/>
    <m/>
    <m/>
    <m/>
    <m/>
    <m/>
    <m/>
    <m/>
    <m/>
    <m/>
    <m/>
    <m/>
    <m/>
    <m/>
    <m/>
    <m/>
    <m/>
    <m/>
    <m/>
    <m/>
    <m/>
    <m/>
    <m/>
    <m/>
    <m/>
    <m/>
    <m/>
    <m/>
    <m/>
    <m/>
    <m/>
    <m/>
    <m/>
    <m/>
    <m/>
    <m/>
    <m/>
    <m/>
    <m/>
    <m/>
    <m/>
    <m/>
    <m/>
    <m/>
    <m/>
    <m/>
    <m/>
    <n v="1"/>
    <m/>
    <m/>
    <m/>
    <m/>
    <m/>
    <m/>
    <m/>
    <m/>
    <m/>
    <m/>
    <m/>
    <n v="1"/>
  </r>
  <r>
    <x v="253"/>
    <n v="2004"/>
    <n v="6"/>
    <x v="16"/>
    <x v="6"/>
    <x v="0"/>
    <n v="2"/>
    <s v="2004_06_017.gif"/>
    <m/>
    <m/>
    <m/>
    <b v="0"/>
    <n v="0"/>
    <x v="0"/>
    <n v="254"/>
    <s v="Induction, Conduction, Polarization"/>
    <n v="4532"/>
    <x v="5"/>
    <m/>
    <m/>
    <m/>
    <m/>
    <m/>
    <m/>
    <m/>
    <m/>
    <m/>
    <m/>
    <m/>
    <m/>
    <m/>
    <m/>
    <m/>
    <m/>
    <m/>
    <m/>
    <m/>
    <m/>
    <m/>
    <m/>
    <m/>
    <m/>
    <m/>
    <m/>
    <m/>
    <m/>
    <m/>
    <m/>
    <m/>
    <m/>
    <m/>
    <m/>
    <m/>
    <m/>
    <m/>
    <m/>
    <m/>
    <m/>
    <m/>
    <m/>
    <m/>
    <m/>
    <m/>
    <m/>
    <n v="1"/>
    <m/>
    <m/>
    <m/>
    <m/>
    <m/>
    <m/>
    <m/>
    <m/>
    <m/>
    <m/>
    <m/>
    <m/>
    <m/>
  </r>
  <r>
    <x v="254"/>
    <n v="2004"/>
    <n v="6"/>
    <x v="17"/>
    <x v="6"/>
    <x v="0"/>
    <n v="1"/>
    <s v="2004_06_018.gif"/>
    <m/>
    <m/>
    <m/>
    <b v="0"/>
    <n v="0"/>
    <x v="0"/>
    <n v="255"/>
    <s v="Electric Fields and Potential"/>
    <n v="4533"/>
    <x v="5"/>
    <m/>
    <m/>
    <m/>
    <m/>
    <m/>
    <m/>
    <m/>
    <m/>
    <m/>
    <m/>
    <m/>
    <m/>
    <m/>
    <m/>
    <m/>
    <m/>
    <m/>
    <m/>
    <m/>
    <m/>
    <m/>
    <m/>
    <m/>
    <m/>
    <m/>
    <m/>
    <m/>
    <m/>
    <m/>
    <m/>
    <m/>
    <m/>
    <m/>
    <m/>
    <m/>
    <m/>
    <m/>
    <m/>
    <m/>
    <m/>
    <m/>
    <m/>
    <m/>
    <m/>
    <m/>
    <m/>
    <m/>
    <n v="1"/>
    <m/>
    <m/>
    <m/>
    <m/>
    <m/>
    <m/>
    <m/>
    <m/>
    <m/>
    <m/>
    <m/>
    <m/>
  </r>
  <r>
    <x v="255"/>
    <n v="2004"/>
    <n v="6"/>
    <x v="18"/>
    <x v="8"/>
    <x v="0"/>
    <n v="3"/>
    <s v="2004_06_019.gif"/>
    <m/>
    <m/>
    <m/>
    <b v="0"/>
    <n v="0"/>
    <x v="0"/>
    <n v="256"/>
    <s v="Electrical Definitions"/>
    <n v="4534"/>
    <x v="5"/>
    <m/>
    <m/>
    <m/>
    <m/>
    <m/>
    <m/>
    <m/>
    <m/>
    <m/>
    <m/>
    <m/>
    <m/>
    <m/>
    <m/>
    <m/>
    <m/>
    <m/>
    <m/>
    <m/>
    <m/>
    <m/>
    <m/>
    <m/>
    <m/>
    <m/>
    <m/>
    <m/>
    <m/>
    <m/>
    <m/>
    <m/>
    <m/>
    <m/>
    <m/>
    <m/>
    <m/>
    <m/>
    <m/>
    <m/>
    <m/>
    <m/>
    <m/>
    <m/>
    <m/>
    <m/>
    <m/>
    <m/>
    <m/>
    <n v="1"/>
    <m/>
    <m/>
    <m/>
    <m/>
    <m/>
    <m/>
    <m/>
    <m/>
    <m/>
    <m/>
    <m/>
  </r>
  <r>
    <x v="256"/>
    <n v="2004"/>
    <n v="6"/>
    <x v="19"/>
    <x v="12"/>
    <x v="13"/>
    <n v="3"/>
    <s v="2004_06_020.gif"/>
    <m/>
    <m/>
    <m/>
    <b v="0"/>
    <n v="0"/>
    <x v="0"/>
    <n v="257"/>
    <s v="Electric Fields and Potential"/>
    <n v="4535"/>
    <x v="5"/>
    <m/>
    <m/>
    <m/>
    <m/>
    <m/>
    <m/>
    <m/>
    <m/>
    <m/>
    <m/>
    <m/>
    <m/>
    <m/>
    <m/>
    <m/>
    <m/>
    <m/>
    <m/>
    <m/>
    <m/>
    <m/>
    <m/>
    <m/>
    <m/>
    <m/>
    <m/>
    <m/>
    <m/>
    <m/>
    <m/>
    <m/>
    <m/>
    <m/>
    <m/>
    <m/>
    <m/>
    <m/>
    <m/>
    <m/>
    <m/>
    <m/>
    <m/>
    <m/>
    <m/>
    <m/>
    <m/>
    <m/>
    <n v="1"/>
    <m/>
    <m/>
    <m/>
    <m/>
    <m/>
    <m/>
    <m/>
    <m/>
    <m/>
    <m/>
    <m/>
    <m/>
  </r>
  <r>
    <x v="257"/>
    <n v="2004"/>
    <n v="6"/>
    <x v="20"/>
    <x v="6"/>
    <x v="6"/>
    <n v="2"/>
    <s v="2004_06_021.gif"/>
    <m/>
    <m/>
    <m/>
    <b v="0"/>
    <n v="0"/>
    <x v="0"/>
    <n v="258"/>
    <s v="Law of Gravity,Coulomb's Law"/>
    <n v="4536"/>
    <x v="5"/>
    <m/>
    <m/>
    <m/>
    <m/>
    <m/>
    <m/>
    <m/>
    <m/>
    <m/>
    <m/>
    <m/>
    <m/>
    <m/>
    <m/>
    <m/>
    <m/>
    <m/>
    <m/>
    <m/>
    <m/>
    <m/>
    <m/>
    <m/>
    <m/>
    <n v="1"/>
    <m/>
    <m/>
    <m/>
    <m/>
    <m/>
    <m/>
    <m/>
    <m/>
    <m/>
    <m/>
    <m/>
    <m/>
    <m/>
    <m/>
    <m/>
    <m/>
    <m/>
    <m/>
    <m/>
    <m/>
    <n v="1"/>
    <m/>
    <m/>
    <m/>
    <m/>
    <m/>
    <m/>
    <m/>
    <m/>
    <m/>
    <m/>
    <m/>
    <m/>
    <m/>
    <m/>
  </r>
  <r>
    <x v="258"/>
    <n v="2004"/>
    <n v="6"/>
    <x v="21"/>
    <x v="8"/>
    <x v="0"/>
    <n v="1"/>
    <s v="2004_06_022.gif"/>
    <m/>
    <m/>
    <m/>
    <b v="0"/>
    <n v="0"/>
    <x v="0"/>
    <n v="259"/>
    <s v="Resistance of Wire"/>
    <n v="4537"/>
    <x v="5"/>
    <m/>
    <m/>
    <m/>
    <m/>
    <m/>
    <m/>
    <m/>
    <m/>
    <m/>
    <m/>
    <m/>
    <m/>
    <m/>
    <m/>
    <m/>
    <m/>
    <m/>
    <m/>
    <m/>
    <m/>
    <m/>
    <m/>
    <m/>
    <m/>
    <m/>
    <m/>
    <m/>
    <m/>
    <m/>
    <m/>
    <m/>
    <m/>
    <m/>
    <m/>
    <m/>
    <m/>
    <m/>
    <m/>
    <m/>
    <m/>
    <m/>
    <m/>
    <m/>
    <m/>
    <m/>
    <m/>
    <m/>
    <m/>
    <m/>
    <m/>
    <m/>
    <n v="1"/>
    <m/>
    <m/>
    <m/>
    <m/>
    <m/>
    <m/>
    <m/>
    <m/>
  </r>
  <r>
    <x v="259"/>
    <n v="2004"/>
    <n v="6"/>
    <x v="22"/>
    <x v="8"/>
    <x v="0"/>
    <n v="2"/>
    <s v="2004_06_023.gif"/>
    <m/>
    <m/>
    <m/>
    <b v="0"/>
    <n v="0"/>
    <x v="0"/>
    <n v="260"/>
    <s v="Series and Parallel"/>
    <n v="4538"/>
    <x v="5"/>
    <m/>
    <m/>
    <m/>
    <m/>
    <m/>
    <m/>
    <m/>
    <m/>
    <m/>
    <m/>
    <m/>
    <m/>
    <m/>
    <m/>
    <m/>
    <m/>
    <m/>
    <m/>
    <m/>
    <m/>
    <m/>
    <m/>
    <m/>
    <m/>
    <m/>
    <m/>
    <m/>
    <m/>
    <m/>
    <m/>
    <m/>
    <m/>
    <m/>
    <m/>
    <m/>
    <m/>
    <m/>
    <m/>
    <m/>
    <m/>
    <m/>
    <m/>
    <m/>
    <m/>
    <m/>
    <m/>
    <m/>
    <m/>
    <m/>
    <m/>
    <m/>
    <m/>
    <n v="1"/>
    <m/>
    <m/>
    <m/>
    <m/>
    <m/>
    <m/>
    <m/>
  </r>
  <r>
    <x v="260"/>
    <n v="2004"/>
    <n v="6"/>
    <x v="23"/>
    <x v="10"/>
    <x v="0"/>
    <n v="1"/>
    <s v="2004_06_024.gif"/>
    <m/>
    <m/>
    <m/>
    <b v="0"/>
    <n v="0"/>
    <x v="0"/>
    <n v="261"/>
    <s v="Energy/Mass Equivalency"/>
    <n v="4539"/>
    <x v="5"/>
    <m/>
    <m/>
    <m/>
    <m/>
    <m/>
    <m/>
    <m/>
    <m/>
    <m/>
    <m/>
    <m/>
    <m/>
    <m/>
    <m/>
    <m/>
    <m/>
    <m/>
    <m/>
    <m/>
    <m/>
    <m/>
    <m/>
    <m/>
    <m/>
    <m/>
    <m/>
    <m/>
    <m/>
    <m/>
    <m/>
    <m/>
    <m/>
    <m/>
    <m/>
    <m/>
    <m/>
    <m/>
    <m/>
    <m/>
    <m/>
    <m/>
    <m/>
    <m/>
    <m/>
    <m/>
    <m/>
    <m/>
    <m/>
    <m/>
    <m/>
    <m/>
    <m/>
    <m/>
    <m/>
    <m/>
    <n v="1"/>
    <m/>
    <m/>
    <m/>
    <m/>
  </r>
  <r>
    <x v="261"/>
    <n v="2004"/>
    <n v="6"/>
    <x v="24"/>
    <x v="10"/>
    <x v="0"/>
    <n v="2"/>
    <s v="2004_06_025.gif"/>
    <m/>
    <m/>
    <m/>
    <b v="0"/>
    <n v="0"/>
    <x v="0"/>
    <n v="262"/>
    <s v="Energy/Mass Equivalency"/>
    <n v="4540"/>
    <x v="5"/>
    <m/>
    <m/>
    <m/>
    <m/>
    <m/>
    <m/>
    <m/>
    <m/>
    <m/>
    <m/>
    <m/>
    <m/>
    <m/>
    <m/>
    <m/>
    <m/>
    <m/>
    <m/>
    <m/>
    <m/>
    <m/>
    <m/>
    <m/>
    <m/>
    <m/>
    <m/>
    <m/>
    <m/>
    <m/>
    <m/>
    <m/>
    <m/>
    <m/>
    <m/>
    <m/>
    <m/>
    <m/>
    <m/>
    <m/>
    <m/>
    <m/>
    <m/>
    <m/>
    <m/>
    <m/>
    <m/>
    <m/>
    <m/>
    <m/>
    <m/>
    <m/>
    <m/>
    <m/>
    <m/>
    <m/>
    <n v="1"/>
    <m/>
    <m/>
    <m/>
    <m/>
  </r>
  <r>
    <x v="262"/>
    <n v="2004"/>
    <n v="6"/>
    <x v="25"/>
    <x v="7"/>
    <x v="0"/>
    <n v="4"/>
    <s v="2004_06_026.gif"/>
    <m/>
    <m/>
    <m/>
    <b v="0"/>
    <n v="0"/>
    <x v="0"/>
    <n v="263"/>
    <s v="Wave Vocabulary"/>
    <n v="4541"/>
    <x v="5"/>
    <m/>
    <m/>
    <m/>
    <m/>
    <m/>
    <m/>
    <m/>
    <m/>
    <m/>
    <m/>
    <m/>
    <m/>
    <m/>
    <m/>
    <m/>
    <m/>
    <m/>
    <m/>
    <m/>
    <m/>
    <m/>
    <m/>
    <m/>
    <m/>
    <m/>
    <m/>
    <m/>
    <m/>
    <m/>
    <m/>
    <m/>
    <m/>
    <m/>
    <m/>
    <m/>
    <m/>
    <m/>
    <m/>
    <m/>
    <n v="1"/>
    <m/>
    <m/>
    <m/>
    <m/>
    <m/>
    <m/>
    <m/>
    <m/>
    <m/>
    <m/>
    <m/>
    <m/>
    <m/>
    <m/>
    <m/>
    <m/>
    <m/>
    <m/>
    <m/>
    <m/>
  </r>
  <r>
    <x v="263"/>
    <n v="2004"/>
    <n v="6"/>
    <x v="26"/>
    <x v="9"/>
    <x v="0"/>
    <n v="4"/>
    <s v="2004_06_027.gif"/>
    <m/>
    <m/>
    <m/>
    <b v="0"/>
    <n v="0"/>
    <x v="0"/>
    <n v="264"/>
    <s v="Light and Sound"/>
    <n v="4542"/>
    <x v="5"/>
    <m/>
    <m/>
    <m/>
    <m/>
    <m/>
    <m/>
    <m/>
    <m/>
    <m/>
    <m/>
    <m/>
    <m/>
    <m/>
    <m/>
    <m/>
    <m/>
    <m/>
    <m/>
    <m/>
    <m/>
    <m/>
    <m/>
    <m/>
    <m/>
    <m/>
    <m/>
    <m/>
    <m/>
    <m/>
    <m/>
    <m/>
    <m/>
    <m/>
    <m/>
    <m/>
    <m/>
    <m/>
    <m/>
    <m/>
    <m/>
    <m/>
    <m/>
    <n v="1"/>
    <m/>
    <m/>
    <m/>
    <m/>
    <m/>
    <m/>
    <m/>
    <m/>
    <m/>
    <m/>
    <m/>
    <m/>
    <m/>
    <m/>
    <m/>
    <m/>
    <m/>
  </r>
  <r>
    <x v="264"/>
    <n v="2004"/>
    <n v="6"/>
    <x v="27"/>
    <x v="9"/>
    <x v="0"/>
    <n v="1"/>
    <s v="2004_06_028.gif"/>
    <m/>
    <m/>
    <m/>
    <b v="0"/>
    <n v="0"/>
    <x v="0"/>
    <n v="265"/>
    <s v="Refraction and Snell's Law"/>
    <n v="4543"/>
    <x v="5"/>
    <m/>
    <m/>
    <m/>
    <m/>
    <m/>
    <m/>
    <m/>
    <m/>
    <m/>
    <m/>
    <m/>
    <m/>
    <m/>
    <m/>
    <m/>
    <m/>
    <m/>
    <m/>
    <m/>
    <m/>
    <m/>
    <m/>
    <m/>
    <m/>
    <m/>
    <m/>
    <m/>
    <m/>
    <m/>
    <m/>
    <m/>
    <m/>
    <m/>
    <m/>
    <m/>
    <m/>
    <m/>
    <m/>
    <m/>
    <m/>
    <m/>
    <m/>
    <m/>
    <n v="1"/>
    <m/>
    <m/>
    <m/>
    <m/>
    <m/>
    <m/>
    <m/>
    <m/>
    <m/>
    <m/>
    <m/>
    <m/>
    <m/>
    <m/>
    <m/>
    <m/>
  </r>
  <r>
    <x v="265"/>
    <n v="2004"/>
    <n v="6"/>
    <x v="28"/>
    <x v="7"/>
    <x v="0"/>
    <n v="3"/>
    <s v="2004_06_029.gif"/>
    <m/>
    <m/>
    <m/>
    <b v="0"/>
    <n v="0"/>
    <x v="0"/>
    <n v="266"/>
    <s v="Resonance"/>
    <n v="4544"/>
    <x v="5"/>
    <m/>
    <m/>
    <m/>
    <m/>
    <m/>
    <m/>
    <m/>
    <m/>
    <m/>
    <m/>
    <m/>
    <m/>
    <m/>
    <m/>
    <m/>
    <m/>
    <m/>
    <m/>
    <m/>
    <m/>
    <m/>
    <m/>
    <m/>
    <m/>
    <m/>
    <m/>
    <m/>
    <m/>
    <m/>
    <m/>
    <m/>
    <m/>
    <m/>
    <m/>
    <m/>
    <m/>
    <n v="1"/>
    <m/>
    <m/>
    <m/>
    <m/>
    <m/>
    <m/>
    <m/>
    <m/>
    <m/>
    <m/>
    <m/>
    <m/>
    <m/>
    <m/>
    <m/>
    <m/>
    <m/>
    <m/>
    <m/>
    <m/>
    <m/>
    <m/>
    <m/>
  </r>
  <r>
    <x v="266"/>
    <n v="2004"/>
    <n v="6"/>
    <x v="29"/>
    <x v="9"/>
    <x v="0"/>
    <n v="2"/>
    <s v="2004_06_030.gif"/>
    <m/>
    <m/>
    <m/>
    <b v="0"/>
    <n v="0"/>
    <x v="0"/>
    <n v="267"/>
    <s v="Refraction and Snell's Law"/>
    <n v="4545"/>
    <x v="5"/>
    <m/>
    <m/>
    <m/>
    <m/>
    <m/>
    <m/>
    <m/>
    <m/>
    <m/>
    <m/>
    <m/>
    <m/>
    <m/>
    <m/>
    <m/>
    <m/>
    <m/>
    <m/>
    <m/>
    <m/>
    <m/>
    <m/>
    <m/>
    <m/>
    <m/>
    <m/>
    <m/>
    <m/>
    <m/>
    <m/>
    <m/>
    <m/>
    <m/>
    <m/>
    <m/>
    <m/>
    <m/>
    <m/>
    <m/>
    <m/>
    <m/>
    <m/>
    <m/>
    <n v="1"/>
    <m/>
    <m/>
    <m/>
    <m/>
    <m/>
    <m/>
    <m/>
    <m/>
    <m/>
    <m/>
    <m/>
    <m/>
    <m/>
    <m/>
    <m/>
    <m/>
  </r>
  <r>
    <x v="267"/>
    <n v="2004"/>
    <n v="6"/>
    <x v="30"/>
    <x v="9"/>
    <x v="0"/>
    <n v="3"/>
    <s v="2004_06_031.gif"/>
    <m/>
    <m/>
    <m/>
    <b v="0"/>
    <n v="0"/>
    <x v="0"/>
    <n v="268"/>
    <s v="Diffraction"/>
    <n v="4546"/>
    <x v="5"/>
    <m/>
    <m/>
    <m/>
    <m/>
    <m/>
    <m/>
    <m/>
    <m/>
    <m/>
    <m/>
    <m/>
    <m/>
    <m/>
    <m/>
    <m/>
    <m/>
    <m/>
    <m/>
    <m/>
    <m/>
    <m/>
    <m/>
    <m/>
    <m/>
    <m/>
    <m/>
    <m/>
    <m/>
    <m/>
    <m/>
    <m/>
    <m/>
    <m/>
    <m/>
    <m/>
    <m/>
    <m/>
    <m/>
    <m/>
    <m/>
    <n v="1"/>
    <m/>
    <m/>
    <m/>
    <m/>
    <m/>
    <m/>
    <m/>
    <m/>
    <m/>
    <m/>
    <m/>
    <m/>
    <m/>
    <m/>
    <m/>
    <m/>
    <m/>
    <m/>
    <m/>
  </r>
  <r>
    <x v="268"/>
    <n v="2004"/>
    <n v="6"/>
    <x v="31"/>
    <x v="9"/>
    <x v="0"/>
    <n v="3"/>
    <s v="2004_06_032.gif"/>
    <m/>
    <m/>
    <m/>
    <b v="0"/>
    <n v="0"/>
    <x v="0"/>
    <n v="269"/>
    <s v="Doppler Effect"/>
    <n v="4547"/>
    <x v="5"/>
    <m/>
    <m/>
    <m/>
    <m/>
    <m/>
    <m/>
    <m/>
    <m/>
    <m/>
    <m/>
    <m/>
    <m/>
    <m/>
    <m/>
    <m/>
    <m/>
    <m/>
    <m/>
    <m/>
    <m/>
    <m/>
    <m/>
    <m/>
    <m/>
    <m/>
    <m/>
    <m/>
    <m/>
    <m/>
    <m/>
    <m/>
    <m/>
    <m/>
    <m/>
    <m/>
    <m/>
    <m/>
    <m/>
    <m/>
    <m/>
    <m/>
    <n v="1"/>
    <m/>
    <m/>
    <m/>
    <m/>
    <m/>
    <m/>
    <m/>
    <m/>
    <m/>
    <m/>
    <m/>
    <m/>
    <m/>
    <m/>
    <m/>
    <m/>
    <m/>
    <m/>
  </r>
  <r>
    <x v="269"/>
    <n v="2004"/>
    <n v="6"/>
    <x v="32"/>
    <x v="7"/>
    <x v="0"/>
    <n v="3"/>
    <s v="2004_06_033.gif"/>
    <m/>
    <m/>
    <m/>
    <b v="0"/>
    <n v="0"/>
    <x v="0"/>
    <n v="270"/>
    <s v="Wave Vocabulary"/>
    <n v="4548"/>
    <x v="5"/>
    <m/>
    <m/>
    <m/>
    <m/>
    <m/>
    <m/>
    <m/>
    <m/>
    <m/>
    <m/>
    <m/>
    <m/>
    <m/>
    <m/>
    <m/>
    <m/>
    <m/>
    <m/>
    <m/>
    <m/>
    <m/>
    <m/>
    <m/>
    <m/>
    <m/>
    <m/>
    <m/>
    <m/>
    <m/>
    <m/>
    <m/>
    <m/>
    <m/>
    <m/>
    <m/>
    <m/>
    <m/>
    <m/>
    <m/>
    <n v="1"/>
    <m/>
    <m/>
    <m/>
    <m/>
    <m/>
    <m/>
    <m/>
    <m/>
    <m/>
    <m/>
    <m/>
    <m/>
    <m/>
    <m/>
    <m/>
    <m/>
    <m/>
    <m/>
    <m/>
    <m/>
  </r>
  <r>
    <x v="270"/>
    <n v="2004"/>
    <n v="6"/>
    <x v="33"/>
    <x v="9"/>
    <x v="0"/>
    <n v="1"/>
    <s v="2004_06_034.gif"/>
    <m/>
    <m/>
    <m/>
    <b v="0"/>
    <n v="0"/>
    <x v="0"/>
    <n v="271"/>
    <s v="Refraction and Snell's Law"/>
    <n v="4549"/>
    <x v="5"/>
    <m/>
    <m/>
    <m/>
    <m/>
    <m/>
    <m/>
    <m/>
    <m/>
    <m/>
    <m/>
    <m/>
    <m/>
    <m/>
    <m/>
    <m/>
    <m/>
    <m/>
    <m/>
    <m/>
    <m/>
    <m/>
    <m/>
    <m/>
    <m/>
    <m/>
    <m/>
    <m/>
    <m/>
    <m/>
    <m/>
    <m/>
    <m/>
    <m/>
    <m/>
    <m/>
    <m/>
    <m/>
    <m/>
    <m/>
    <m/>
    <m/>
    <m/>
    <m/>
    <n v="1"/>
    <m/>
    <m/>
    <m/>
    <m/>
    <m/>
    <m/>
    <m/>
    <m/>
    <m/>
    <m/>
    <m/>
    <m/>
    <m/>
    <m/>
    <m/>
    <m/>
  </r>
  <r>
    <x v="271"/>
    <n v="2004"/>
    <n v="6"/>
    <x v="34"/>
    <x v="7"/>
    <x v="0"/>
    <n v="4"/>
    <s v="2004_06_035.gif"/>
    <m/>
    <m/>
    <m/>
    <b v="0"/>
    <n v="0"/>
    <x v="0"/>
    <n v="272"/>
    <s v="Superposition and Standing Waves"/>
    <n v="4550"/>
    <x v="5"/>
    <m/>
    <m/>
    <m/>
    <m/>
    <m/>
    <m/>
    <m/>
    <m/>
    <m/>
    <m/>
    <m/>
    <m/>
    <m/>
    <m/>
    <m/>
    <m/>
    <m/>
    <m/>
    <m/>
    <m/>
    <m/>
    <m/>
    <m/>
    <m/>
    <m/>
    <m/>
    <m/>
    <m/>
    <m/>
    <m/>
    <m/>
    <m/>
    <m/>
    <m/>
    <m/>
    <m/>
    <m/>
    <n v="1"/>
    <m/>
    <m/>
    <m/>
    <m/>
    <m/>
    <m/>
    <m/>
    <m/>
    <m/>
    <m/>
    <m/>
    <m/>
    <m/>
    <m/>
    <m/>
    <m/>
    <m/>
    <m/>
    <m/>
    <m/>
    <m/>
    <m/>
  </r>
  <r>
    <x v="272"/>
    <n v="2004"/>
    <n v="6"/>
    <x v="35"/>
    <x v="1"/>
    <x v="2"/>
    <n v="4"/>
    <s v="2004_06_036.gif"/>
    <m/>
    <m/>
    <m/>
    <b v="0"/>
    <n v="0"/>
    <x v="1"/>
    <n v="273"/>
    <s v="Newton's 2nd Law (F=MA),Graph Interpretation"/>
    <n v="4551"/>
    <x v="5"/>
    <m/>
    <m/>
    <m/>
    <m/>
    <m/>
    <m/>
    <m/>
    <m/>
    <m/>
    <m/>
    <m/>
    <m/>
    <m/>
    <m/>
    <m/>
    <m/>
    <m/>
    <m/>
    <m/>
    <m/>
    <m/>
    <m/>
    <m/>
    <m/>
    <m/>
    <m/>
    <n v="1"/>
    <m/>
    <m/>
    <m/>
    <m/>
    <m/>
    <m/>
    <m/>
    <m/>
    <m/>
    <m/>
    <m/>
    <m/>
    <m/>
    <m/>
    <m/>
    <m/>
    <m/>
    <m/>
    <m/>
    <m/>
    <m/>
    <m/>
    <m/>
    <m/>
    <m/>
    <m/>
    <m/>
    <m/>
    <m/>
    <m/>
    <n v="1"/>
    <m/>
    <m/>
  </r>
  <r>
    <x v="273"/>
    <n v="2004"/>
    <n v="6"/>
    <x v="36"/>
    <x v="5"/>
    <x v="0"/>
    <n v="3"/>
    <s v="2004_06_037.gif"/>
    <m/>
    <m/>
    <m/>
    <b v="0"/>
    <n v="0"/>
    <x v="1"/>
    <n v="274"/>
    <s v="Conservation of Energy"/>
    <n v="4552"/>
    <x v="5"/>
    <m/>
    <m/>
    <m/>
    <m/>
    <m/>
    <m/>
    <m/>
    <m/>
    <m/>
    <m/>
    <m/>
    <m/>
    <m/>
    <m/>
    <m/>
    <m/>
    <m/>
    <m/>
    <m/>
    <m/>
    <m/>
    <m/>
    <m/>
    <m/>
    <m/>
    <m/>
    <m/>
    <m/>
    <m/>
    <m/>
    <m/>
    <n v="1"/>
    <m/>
    <m/>
    <m/>
    <m/>
    <m/>
    <m/>
    <m/>
    <m/>
    <m/>
    <m/>
    <m/>
    <m/>
    <m/>
    <m/>
    <m/>
    <m/>
    <m/>
    <m/>
    <m/>
    <m/>
    <m/>
    <m/>
    <m/>
    <m/>
    <m/>
    <m/>
    <m/>
    <m/>
  </r>
  <r>
    <x v="274"/>
    <n v="2004"/>
    <n v="6"/>
    <x v="37"/>
    <x v="11"/>
    <x v="0"/>
    <n v="3"/>
    <s v="2004_06_038.gif"/>
    <m/>
    <m/>
    <m/>
    <b v="0"/>
    <n v="0"/>
    <x v="1"/>
    <n v="275"/>
    <s v="Estimation"/>
    <n v="4553"/>
    <x v="5"/>
    <m/>
    <m/>
    <n v="1"/>
    <m/>
    <m/>
    <m/>
    <m/>
    <m/>
    <m/>
    <m/>
    <m/>
    <m/>
    <m/>
    <m/>
    <m/>
    <m/>
    <m/>
    <m/>
    <m/>
    <m/>
    <m/>
    <m/>
    <m/>
    <m/>
    <m/>
    <m/>
    <m/>
    <m/>
    <m/>
    <m/>
    <m/>
    <m/>
    <m/>
    <m/>
    <m/>
    <m/>
    <m/>
    <m/>
    <m/>
    <m/>
    <m/>
    <m/>
    <m/>
    <m/>
    <m/>
    <m/>
    <m/>
    <m/>
    <m/>
    <m/>
    <m/>
    <m/>
    <m/>
    <m/>
    <m/>
    <m/>
    <m/>
    <m/>
    <m/>
    <m/>
  </r>
  <r>
    <x v="275"/>
    <n v="2004"/>
    <n v="6"/>
    <x v="38"/>
    <x v="9"/>
    <x v="0"/>
    <n v="1"/>
    <s v="2004_06_039.gif"/>
    <m/>
    <m/>
    <m/>
    <b v="0"/>
    <n v="0"/>
    <x v="1"/>
    <n v="276"/>
    <s v="Light and Sound"/>
    <n v="4554"/>
    <x v="5"/>
    <m/>
    <m/>
    <m/>
    <m/>
    <m/>
    <m/>
    <m/>
    <m/>
    <m/>
    <m/>
    <m/>
    <m/>
    <m/>
    <m/>
    <m/>
    <m/>
    <m/>
    <m/>
    <m/>
    <m/>
    <m/>
    <m/>
    <m/>
    <m/>
    <m/>
    <m/>
    <m/>
    <m/>
    <m/>
    <m/>
    <m/>
    <m/>
    <m/>
    <m/>
    <m/>
    <m/>
    <m/>
    <m/>
    <m/>
    <m/>
    <m/>
    <m/>
    <n v="1"/>
    <m/>
    <m/>
    <m/>
    <m/>
    <m/>
    <m/>
    <m/>
    <m/>
    <m/>
    <m/>
    <m/>
    <m/>
    <m/>
    <m/>
    <m/>
    <m/>
    <m/>
  </r>
  <r>
    <x v="276"/>
    <n v="2004"/>
    <n v="6"/>
    <x v="39"/>
    <x v="10"/>
    <x v="2"/>
    <n v="1"/>
    <s v="2004_06_040.gif"/>
    <m/>
    <m/>
    <m/>
    <b v="0"/>
    <n v="0"/>
    <x v="1"/>
    <n v="277"/>
    <s v="Energy/Frequency of Photon,Graph Interpretation"/>
    <n v="4555"/>
    <x v="5"/>
    <m/>
    <m/>
    <m/>
    <m/>
    <m/>
    <m/>
    <m/>
    <m/>
    <m/>
    <m/>
    <m/>
    <m/>
    <m/>
    <m/>
    <m/>
    <m/>
    <m/>
    <m/>
    <m/>
    <m/>
    <m/>
    <m/>
    <m/>
    <m/>
    <m/>
    <m/>
    <m/>
    <m/>
    <m/>
    <m/>
    <m/>
    <m/>
    <m/>
    <m/>
    <m/>
    <m/>
    <m/>
    <m/>
    <m/>
    <m/>
    <m/>
    <m/>
    <m/>
    <m/>
    <m/>
    <m/>
    <m/>
    <m/>
    <m/>
    <m/>
    <m/>
    <m/>
    <m/>
    <m/>
    <n v="1"/>
    <m/>
    <m/>
    <n v="1"/>
    <m/>
    <m/>
  </r>
  <r>
    <x v="277"/>
    <n v="2004"/>
    <n v="6"/>
    <x v="40"/>
    <x v="10"/>
    <x v="0"/>
    <n v="3"/>
    <s v="2004_06_041.gif"/>
    <m/>
    <m/>
    <m/>
    <b v="0"/>
    <n v="0"/>
    <x v="1"/>
    <n v="278"/>
    <s v="Particle Physics"/>
    <n v="4556"/>
    <x v="5"/>
    <m/>
    <m/>
    <m/>
    <m/>
    <m/>
    <m/>
    <m/>
    <m/>
    <m/>
    <m/>
    <m/>
    <m/>
    <m/>
    <m/>
    <m/>
    <m/>
    <m/>
    <m/>
    <m/>
    <m/>
    <m/>
    <m/>
    <m/>
    <m/>
    <m/>
    <m/>
    <m/>
    <m/>
    <m/>
    <m/>
    <m/>
    <m/>
    <m/>
    <m/>
    <m/>
    <m/>
    <m/>
    <m/>
    <m/>
    <m/>
    <m/>
    <m/>
    <m/>
    <m/>
    <m/>
    <m/>
    <m/>
    <m/>
    <m/>
    <m/>
    <m/>
    <m/>
    <m/>
    <m/>
    <m/>
    <m/>
    <n v="1"/>
    <m/>
    <m/>
    <m/>
  </r>
  <r>
    <x v="278"/>
    <n v="2004"/>
    <n v="6"/>
    <x v="41"/>
    <x v="8"/>
    <x v="0"/>
    <n v="2"/>
    <s v="2004_06_042.gif"/>
    <m/>
    <m/>
    <m/>
    <b v="0"/>
    <n v="0"/>
    <x v="1"/>
    <n v="279"/>
    <s v="Series and Parallel"/>
    <n v="4557"/>
    <x v="5"/>
    <m/>
    <m/>
    <m/>
    <m/>
    <m/>
    <m/>
    <m/>
    <m/>
    <m/>
    <m/>
    <m/>
    <m/>
    <m/>
    <m/>
    <m/>
    <m/>
    <m/>
    <m/>
    <m/>
    <m/>
    <m/>
    <m/>
    <m/>
    <m/>
    <m/>
    <m/>
    <m/>
    <m/>
    <m/>
    <m/>
    <m/>
    <m/>
    <m/>
    <m/>
    <m/>
    <m/>
    <m/>
    <m/>
    <m/>
    <m/>
    <m/>
    <m/>
    <m/>
    <m/>
    <m/>
    <m/>
    <m/>
    <m/>
    <m/>
    <m/>
    <m/>
    <m/>
    <n v="1"/>
    <m/>
    <m/>
    <m/>
    <m/>
    <m/>
    <m/>
    <m/>
  </r>
  <r>
    <x v="279"/>
    <n v="2004"/>
    <n v="6"/>
    <x v="42"/>
    <x v="8"/>
    <x v="0"/>
    <n v="2"/>
    <s v="2004_06_043.gif"/>
    <m/>
    <m/>
    <m/>
    <b v="0"/>
    <n v="0"/>
    <x v="1"/>
    <n v="280"/>
    <s v="Series and Parallel"/>
    <n v="4558"/>
    <x v="5"/>
    <m/>
    <m/>
    <m/>
    <m/>
    <m/>
    <m/>
    <m/>
    <m/>
    <m/>
    <m/>
    <m/>
    <m/>
    <m/>
    <m/>
    <m/>
    <m/>
    <m/>
    <m/>
    <m/>
    <m/>
    <m/>
    <m/>
    <m/>
    <m/>
    <m/>
    <m/>
    <m/>
    <m/>
    <m/>
    <m/>
    <m/>
    <m/>
    <m/>
    <m/>
    <m/>
    <m/>
    <m/>
    <m/>
    <m/>
    <m/>
    <m/>
    <m/>
    <m/>
    <m/>
    <m/>
    <m/>
    <m/>
    <m/>
    <m/>
    <m/>
    <m/>
    <m/>
    <n v="1"/>
    <m/>
    <m/>
    <m/>
    <m/>
    <m/>
    <m/>
    <m/>
  </r>
  <r>
    <x v="280"/>
    <n v="2004"/>
    <n v="6"/>
    <x v="43"/>
    <x v="8"/>
    <x v="0"/>
    <n v="1"/>
    <s v="2004_06_044.gif"/>
    <m/>
    <m/>
    <m/>
    <b v="0"/>
    <n v="0"/>
    <x v="1"/>
    <n v="281"/>
    <s v="Electrical Power,Series and Parallel"/>
    <n v="4559"/>
    <x v="5"/>
    <m/>
    <m/>
    <m/>
    <m/>
    <m/>
    <m/>
    <m/>
    <m/>
    <m/>
    <m/>
    <m/>
    <m/>
    <m/>
    <m/>
    <m/>
    <m/>
    <m/>
    <m/>
    <m/>
    <m/>
    <m/>
    <m/>
    <m/>
    <m/>
    <m/>
    <m/>
    <m/>
    <m/>
    <m/>
    <m/>
    <m/>
    <m/>
    <m/>
    <m/>
    <m/>
    <m/>
    <m/>
    <m/>
    <m/>
    <m/>
    <m/>
    <m/>
    <m/>
    <m/>
    <m/>
    <m/>
    <m/>
    <m/>
    <m/>
    <n v="1"/>
    <m/>
    <m/>
    <n v="1"/>
    <m/>
    <m/>
    <m/>
    <m/>
    <m/>
    <m/>
    <m/>
  </r>
  <r>
    <x v="281"/>
    <n v="2004"/>
    <n v="6"/>
    <x v="44"/>
    <x v="6"/>
    <x v="2"/>
    <n v="4"/>
    <s v="2004_06_045.gif"/>
    <m/>
    <m/>
    <m/>
    <b v="0"/>
    <n v="0"/>
    <x v="1"/>
    <n v="282"/>
    <s v="Electric Fields and Potential,Graph Interpretation"/>
    <n v="4560"/>
    <x v="5"/>
    <m/>
    <m/>
    <m/>
    <m/>
    <m/>
    <m/>
    <m/>
    <m/>
    <m/>
    <m/>
    <m/>
    <m/>
    <m/>
    <m/>
    <m/>
    <m/>
    <m/>
    <m/>
    <m/>
    <m/>
    <m/>
    <m/>
    <m/>
    <m/>
    <m/>
    <m/>
    <m/>
    <m/>
    <m/>
    <m/>
    <m/>
    <m/>
    <m/>
    <m/>
    <m/>
    <m/>
    <m/>
    <m/>
    <m/>
    <m/>
    <m/>
    <m/>
    <m/>
    <m/>
    <m/>
    <m/>
    <m/>
    <n v="1"/>
    <m/>
    <m/>
    <m/>
    <m/>
    <m/>
    <m/>
    <m/>
    <m/>
    <m/>
    <n v="1"/>
    <m/>
    <m/>
  </r>
  <r>
    <x v="282"/>
    <n v="2004"/>
    <n v="6"/>
    <x v="45"/>
    <x v="8"/>
    <x v="2"/>
    <n v="4"/>
    <s v="2004_06_046.gif"/>
    <m/>
    <m/>
    <m/>
    <b v="0"/>
    <n v="0"/>
    <x v="1"/>
    <n v="283"/>
    <s v="Resistance of Wire,Graph Interpretation"/>
    <n v="4561"/>
    <x v="5"/>
    <m/>
    <m/>
    <m/>
    <m/>
    <m/>
    <m/>
    <m/>
    <m/>
    <m/>
    <m/>
    <m/>
    <m/>
    <m/>
    <m/>
    <m/>
    <m/>
    <m/>
    <m/>
    <m/>
    <m/>
    <m/>
    <m/>
    <m/>
    <m/>
    <m/>
    <m/>
    <m/>
    <m/>
    <m/>
    <m/>
    <m/>
    <m/>
    <m/>
    <m/>
    <m/>
    <m/>
    <m/>
    <m/>
    <m/>
    <m/>
    <m/>
    <m/>
    <m/>
    <m/>
    <m/>
    <m/>
    <m/>
    <m/>
    <m/>
    <m/>
    <m/>
    <n v="1"/>
    <m/>
    <m/>
    <m/>
    <m/>
    <m/>
    <n v="1"/>
    <m/>
    <m/>
  </r>
  <r>
    <x v="283"/>
    <n v="2005"/>
    <n v="1"/>
    <x v="0"/>
    <x v="2"/>
    <x v="0"/>
    <n v="2"/>
    <s v="2005_01_001.gif"/>
    <m/>
    <m/>
    <m/>
    <b v="0"/>
    <n v="0"/>
    <x v="0"/>
    <n v="284"/>
    <s v="Vertical Constant Acceleration Problems"/>
    <n v="4588"/>
    <x v="6"/>
    <m/>
    <m/>
    <m/>
    <m/>
    <m/>
    <m/>
    <m/>
    <m/>
    <m/>
    <m/>
    <n v="1"/>
    <m/>
    <m/>
    <m/>
    <m/>
    <m/>
    <m/>
    <m/>
    <m/>
    <m/>
    <m/>
    <m/>
    <m/>
    <m/>
    <m/>
    <m/>
    <m/>
    <m/>
    <m/>
    <m/>
    <m/>
    <m/>
    <m/>
    <m/>
    <m/>
    <m/>
    <m/>
    <m/>
    <m/>
    <m/>
    <m/>
    <m/>
    <m/>
    <m/>
    <m/>
    <m/>
    <m/>
    <m/>
    <m/>
    <m/>
    <m/>
    <m/>
    <m/>
    <m/>
    <m/>
    <m/>
    <m/>
    <m/>
    <m/>
    <m/>
  </r>
  <r>
    <x v="284"/>
    <n v="2005"/>
    <n v="1"/>
    <x v="1"/>
    <x v="2"/>
    <x v="0"/>
    <n v="1"/>
    <s v="2005_01_002.gif"/>
    <m/>
    <m/>
    <m/>
    <b v="0"/>
    <n v="0"/>
    <x v="0"/>
    <n v="285"/>
    <s v="Basic Motion Concepts"/>
    <n v="4589"/>
    <x v="6"/>
    <m/>
    <m/>
    <m/>
    <m/>
    <m/>
    <m/>
    <m/>
    <n v="1"/>
    <m/>
    <m/>
    <m/>
    <m/>
    <m/>
    <m/>
    <m/>
    <m/>
    <m/>
    <m/>
    <m/>
    <m/>
    <m/>
    <m/>
    <m/>
    <m/>
    <m/>
    <m/>
    <m/>
    <m/>
    <m/>
    <m/>
    <m/>
    <m/>
    <m/>
    <m/>
    <m/>
    <m/>
    <m/>
    <m/>
    <m/>
    <m/>
    <m/>
    <m/>
    <m/>
    <m/>
    <m/>
    <m/>
    <m/>
    <m/>
    <m/>
    <m/>
    <m/>
    <m/>
    <m/>
    <m/>
    <m/>
    <m/>
    <m/>
    <m/>
    <m/>
    <m/>
  </r>
  <r>
    <x v="285"/>
    <n v="2005"/>
    <n v="1"/>
    <x v="2"/>
    <x v="3"/>
    <x v="1"/>
    <n v="1"/>
    <s v="2005_01_003.gif"/>
    <m/>
    <m/>
    <m/>
    <b v="0"/>
    <n v="0"/>
    <x v="0"/>
    <n v="286"/>
    <s v="Vector Components,Projectiles at an Angle"/>
    <n v="4590"/>
    <x v="6"/>
    <m/>
    <m/>
    <m/>
    <m/>
    <m/>
    <m/>
    <m/>
    <m/>
    <m/>
    <m/>
    <m/>
    <m/>
    <n v="1"/>
    <m/>
    <m/>
    <n v="1"/>
    <m/>
    <m/>
    <m/>
    <m/>
    <m/>
    <m/>
    <m/>
    <m/>
    <m/>
    <m/>
    <m/>
    <m/>
    <m/>
    <m/>
    <m/>
    <m/>
    <m/>
    <m/>
    <m/>
    <m/>
    <m/>
    <m/>
    <m/>
    <m/>
    <m/>
    <m/>
    <m/>
    <m/>
    <m/>
    <m/>
    <m/>
    <m/>
    <m/>
    <m/>
    <m/>
    <m/>
    <m/>
    <m/>
    <m/>
    <m/>
    <m/>
    <m/>
    <m/>
    <m/>
  </r>
  <r>
    <x v="286"/>
    <n v="2005"/>
    <n v="1"/>
    <x v="3"/>
    <x v="4"/>
    <x v="0"/>
    <n v="2"/>
    <s v="2005_01_004.gif"/>
    <m/>
    <m/>
    <m/>
    <b v="0"/>
    <n v="0"/>
    <x v="0"/>
    <n v="287"/>
    <s v="Impulse"/>
    <n v="4591"/>
    <x v="6"/>
    <m/>
    <m/>
    <m/>
    <m/>
    <m/>
    <m/>
    <m/>
    <m/>
    <m/>
    <m/>
    <m/>
    <m/>
    <m/>
    <m/>
    <m/>
    <m/>
    <m/>
    <m/>
    <m/>
    <m/>
    <m/>
    <m/>
    <m/>
    <m/>
    <m/>
    <m/>
    <m/>
    <m/>
    <m/>
    <n v="1"/>
    <m/>
    <m/>
    <m/>
    <m/>
    <m/>
    <m/>
    <m/>
    <m/>
    <m/>
    <m/>
    <m/>
    <m/>
    <m/>
    <m/>
    <m/>
    <m/>
    <m/>
    <m/>
    <m/>
    <m/>
    <m/>
    <m/>
    <m/>
    <m/>
    <m/>
    <m/>
    <m/>
    <m/>
    <m/>
    <m/>
  </r>
  <r>
    <x v="287"/>
    <n v="2005"/>
    <n v="1"/>
    <x v="4"/>
    <x v="1"/>
    <x v="0"/>
    <n v="3"/>
    <s v="2005_01_005.gif"/>
    <m/>
    <m/>
    <m/>
    <b v="0"/>
    <n v="0"/>
    <x v="0"/>
    <n v="288"/>
    <s v="Weight and Mass"/>
    <n v="4592"/>
    <x v="6"/>
    <m/>
    <m/>
    <m/>
    <m/>
    <m/>
    <m/>
    <m/>
    <m/>
    <m/>
    <m/>
    <m/>
    <m/>
    <m/>
    <m/>
    <m/>
    <m/>
    <m/>
    <m/>
    <m/>
    <m/>
    <m/>
    <m/>
    <m/>
    <m/>
    <m/>
    <m/>
    <m/>
    <n v="1"/>
    <m/>
    <m/>
    <m/>
    <m/>
    <m/>
    <m/>
    <m/>
    <m/>
    <m/>
    <m/>
    <m/>
    <m/>
    <m/>
    <m/>
    <m/>
    <m/>
    <m/>
    <m/>
    <m/>
    <m/>
    <m/>
    <m/>
    <m/>
    <m/>
    <m/>
    <m/>
    <m/>
    <m/>
    <m/>
    <m/>
    <m/>
    <m/>
  </r>
  <r>
    <x v="288"/>
    <n v="2005"/>
    <n v="1"/>
    <x v="5"/>
    <x v="2"/>
    <x v="1"/>
    <n v="4"/>
    <s v="2005_01_006.gif"/>
    <m/>
    <m/>
    <m/>
    <b v="0"/>
    <n v="0"/>
    <x v="0"/>
    <n v="289"/>
    <s v="Basic Motion Concepts,Vector vs. Scalar"/>
    <n v="4593"/>
    <x v="6"/>
    <m/>
    <m/>
    <m/>
    <m/>
    <m/>
    <m/>
    <m/>
    <n v="1"/>
    <m/>
    <m/>
    <m/>
    <m/>
    <m/>
    <n v="1"/>
    <m/>
    <m/>
    <m/>
    <m/>
    <m/>
    <m/>
    <m/>
    <m/>
    <m/>
    <m/>
    <m/>
    <m/>
    <m/>
    <m/>
    <m/>
    <m/>
    <m/>
    <m/>
    <m/>
    <m/>
    <m/>
    <m/>
    <m/>
    <m/>
    <m/>
    <m/>
    <m/>
    <m/>
    <m/>
    <m/>
    <m/>
    <m/>
    <m/>
    <m/>
    <m/>
    <m/>
    <m/>
    <m/>
    <m/>
    <m/>
    <m/>
    <m/>
    <m/>
    <m/>
    <m/>
    <m/>
  </r>
  <r>
    <x v="289"/>
    <n v="2005"/>
    <n v="1"/>
    <x v="6"/>
    <x v="4"/>
    <x v="0"/>
    <n v="1"/>
    <s v="2005_01_007.gif"/>
    <m/>
    <m/>
    <m/>
    <b v="0"/>
    <n v="0"/>
    <x v="0"/>
    <n v="290"/>
    <s v="Newton's 3rd Law (Equal But Opposite)"/>
    <n v="4594"/>
    <x v="6"/>
    <m/>
    <m/>
    <m/>
    <m/>
    <m/>
    <m/>
    <m/>
    <m/>
    <m/>
    <m/>
    <m/>
    <m/>
    <m/>
    <m/>
    <m/>
    <m/>
    <m/>
    <m/>
    <m/>
    <m/>
    <m/>
    <m/>
    <m/>
    <m/>
    <m/>
    <m/>
    <m/>
    <m/>
    <m/>
    <m/>
    <n v="1"/>
    <m/>
    <m/>
    <m/>
    <m/>
    <m/>
    <m/>
    <m/>
    <m/>
    <m/>
    <m/>
    <m/>
    <m/>
    <m/>
    <m/>
    <m/>
    <m/>
    <m/>
    <m/>
    <m/>
    <m/>
    <m/>
    <m/>
    <m/>
    <m/>
    <m/>
    <m/>
    <m/>
    <m/>
    <m/>
  </r>
  <r>
    <x v="290"/>
    <n v="2005"/>
    <n v="1"/>
    <x v="7"/>
    <x v="1"/>
    <x v="0"/>
    <n v="4"/>
    <s v="2005_01_008.gif"/>
    <m/>
    <m/>
    <m/>
    <b v="0"/>
    <n v="0"/>
    <x v="0"/>
    <n v="291"/>
    <s v="Newton's 1st Law (Inertia),Weight and Mass"/>
    <n v="4595"/>
    <x v="6"/>
    <m/>
    <m/>
    <m/>
    <m/>
    <m/>
    <m/>
    <m/>
    <m/>
    <m/>
    <m/>
    <m/>
    <m/>
    <m/>
    <m/>
    <m/>
    <m/>
    <m/>
    <m/>
    <m/>
    <m/>
    <m/>
    <m/>
    <m/>
    <m/>
    <m/>
    <n v="1"/>
    <m/>
    <n v="1"/>
    <m/>
    <m/>
    <m/>
    <m/>
    <m/>
    <m/>
    <m/>
    <m/>
    <m/>
    <m/>
    <m/>
    <m/>
    <m/>
    <m/>
    <m/>
    <m/>
    <m/>
    <m/>
    <m/>
    <m/>
    <m/>
    <m/>
    <m/>
    <m/>
    <m/>
    <m/>
    <m/>
    <m/>
    <m/>
    <m/>
    <m/>
    <m/>
  </r>
  <r>
    <x v="291"/>
    <n v="2005"/>
    <n v="1"/>
    <x v="8"/>
    <x v="1"/>
    <x v="0"/>
    <n v="3"/>
    <s v="2005_01_009.gif"/>
    <m/>
    <m/>
    <m/>
    <b v="0"/>
    <n v="0"/>
    <x v="0"/>
    <n v="292"/>
    <s v="Inclined Plane"/>
    <n v="4596"/>
    <x v="6"/>
    <m/>
    <m/>
    <m/>
    <m/>
    <m/>
    <m/>
    <m/>
    <m/>
    <m/>
    <m/>
    <m/>
    <m/>
    <m/>
    <m/>
    <m/>
    <m/>
    <m/>
    <m/>
    <m/>
    <m/>
    <m/>
    <m/>
    <n v="1"/>
    <m/>
    <m/>
    <m/>
    <m/>
    <m/>
    <m/>
    <m/>
    <m/>
    <m/>
    <m/>
    <m/>
    <m/>
    <m/>
    <m/>
    <m/>
    <m/>
    <m/>
    <m/>
    <m/>
    <m/>
    <m/>
    <m/>
    <m/>
    <m/>
    <m/>
    <m/>
    <m/>
    <m/>
    <m/>
    <m/>
    <m/>
    <m/>
    <m/>
    <m/>
    <m/>
    <m/>
    <m/>
  </r>
  <r>
    <x v="292"/>
    <n v="2005"/>
    <n v="1"/>
    <x v="9"/>
    <x v="7"/>
    <x v="0"/>
    <n v="3"/>
    <s v="2005_01_010.gif"/>
    <m/>
    <m/>
    <m/>
    <b v="0"/>
    <n v="0"/>
    <x v="0"/>
    <n v="293"/>
    <s v="Superposition and Standing Waves"/>
    <n v="4597"/>
    <x v="6"/>
    <m/>
    <m/>
    <m/>
    <m/>
    <m/>
    <m/>
    <m/>
    <m/>
    <m/>
    <m/>
    <m/>
    <m/>
    <m/>
    <m/>
    <m/>
    <m/>
    <m/>
    <m/>
    <m/>
    <m/>
    <m/>
    <m/>
    <m/>
    <m/>
    <m/>
    <m/>
    <m/>
    <m/>
    <m/>
    <m/>
    <m/>
    <m/>
    <m/>
    <m/>
    <m/>
    <m/>
    <m/>
    <n v="1"/>
    <m/>
    <m/>
    <m/>
    <m/>
    <m/>
    <m/>
    <m/>
    <m/>
    <m/>
    <m/>
    <m/>
    <m/>
    <m/>
    <m/>
    <m/>
    <m/>
    <m/>
    <m/>
    <m/>
    <m/>
    <m/>
    <m/>
  </r>
  <r>
    <x v="293"/>
    <n v="2005"/>
    <n v="1"/>
    <x v="10"/>
    <x v="7"/>
    <x v="0"/>
    <n v="4"/>
    <s v="2005_01_011.gif"/>
    <m/>
    <m/>
    <m/>
    <b v="0"/>
    <n v="0"/>
    <x v="0"/>
    <n v="294"/>
    <s v="Superposition and Standing Waves"/>
    <n v="4598"/>
    <x v="6"/>
    <m/>
    <m/>
    <m/>
    <m/>
    <m/>
    <m/>
    <m/>
    <m/>
    <m/>
    <m/>
    <m/>
    <m/>
    <m/>
    <m/>
    <m/>
    <m/>
    <m/>
    <m/>
    <m/>
    <m/>
    <m/>
    <m/>
    <m/>
    <m/>
    <m/>
    <m/>
    <m/>
    <m/>
    <m/>
    <m/>
    <m/>
    <m/>
    <m/>
    <m/>
    <m/>
    <m/>
    <m/>
    <n v="1"/>
    <m/>
    <m/>
    <m/>
    <m/>
    <m/>
    <m/>
    <m/>
    <m/>
    <m/>
    <m/>
    <m/>
    <m/>
    <m/>
    <m/>
    <m/>
    <m/>
    <m/>
    <m/>
    <m/>
    <m/>
    <m/>
    <m/>
  </r>
  <r>
    <x v="294"/>
    <n v="2005"/>
    <n v="1"/>
    <x v="11"/>
    <x v="9"/>
    <x v="0"/>
    <n v="1"/>
    <s v="2005_01_012.gif"/>
    <m/>
    <m/>
    <m/>
    <b v="0"/>
    <n v="0"/>
    <x v="0"/>
    <n v="295"/>
    <s v="Light and Sound"/>
    <n v="4599"/>
    <x v="6"/>
    <m/>
    <m/>
    <m/>
    <m/>
    <m/>
    <m/>
    <m/>
    <m/>
    <m/>
    <m/>
    <m/>
    <m/>
    <m/>
    <m/>
    <m/>
    <m/>
    <m/>
    <m/>
    <m/>
    <m/>
    <m/>
    <m/>
    <m/>
    <m/>
    <m/>
    <m/>
    <m/>
    <m/>
    <m/>
    <m/>
    <m/>
    <m/>
    <m/>
    <m/>
    <m/>
    <m/>
    <m/>
    <m/>
    <m/>
    <m/>
    <m/>
    <m/>
    <n v="1"/>
    <m/>
    <m/>
    <m/>
    <m/>
    <m/>
    <m/>
    <m/>
    <m/>
    <m/>
    <m/>
    <m/>
    <m/>
    <m/>
    <m/>
    <m/>
    <m/>
    <m/>
  </r>
  <r>
    <x v="295"/>
    <n v="2005"/>
    <n v="1"/>
    <x v="12"/>
    <x v="7"/>
    <x v="12"/>
    <n v="3"/>
    <s v="2005_01_013.gif"/>
    <m/>
    <m/>
    <m/>
    <b v="0"/>
    <n v="0"/>
    <x v="0"/>
    <n v="296"/>
    <s v="Wave Vocabulary,Light and Sound"/>
    <n v="4600"/>
    <x v="6"/>
    <m/>
    <m/>
    <m/>
    <m/>
    <m/>
    <m/>
    <m/>
    <m/>
    <m/>
    <m/>
    <m/>
    <m/>
    <m/>
    <m/>
    <m/>
    <m/>
    <m/>
    <m/>
    <m/>
    <m/>
    <m/>
    <m/>
    <m/>
    <m/>
    <m/>
    <m/>
    <m/>
    <m/>
    <m/>
    <m/>
    <m/>
    <m/>
    <m/>
    <m/>
    <m/>
    <m/>
    <m/>
    <m/>
    <m/>
    <n v="1"/>
    <m/>
    <m/>
    <n v="1"/>
    <m/>
    <m/>
    <m/>
    <m/>
    <m/>
    <m/>
    <m/>
    <m/>
    <m/>
    <m/>
    <m/>
    <m/>
    <m/>
    <m/>
    <m/>
    <m/>
    <m/>
  </r>
  <r>
    <x v="296"/>
    <n v="2005"/>
    <n v="1"/>
    <x v="13"/>
    <x v="7"/>
    <x v="0"/>
    <n v="2"/>
    <s v="2005_01_014.gif"/>
    <m/>
    <m/>
    <m/>
    <b v="0"/>
    <n v="0"/>
    <x v="0"/>
    <n v="297"/>
    <s v="Resonance"/>
    <n v="4601"/>
    <x v="6"/>
    <m/>
    <m/>
    <m/>
    <m/>
    <m/>
    <m/>
    <m/>
    <m/>
    <m/>
    <m/>
    <m/>
    <m/>
    <m/>
    <m/>
    <m/>
    <m/>
    <m/>
    <m/>
    <m/>
    <m/>
    <m/>
    <m/>
    <m/>
    <m/>
    <m/>
    <m/>
    <m/>
    <m/>
    <m/>
    <m/>
    <m/>
    <m/>
    <m/>
    <m/>
    <m/>
    <m/>
    <n v="1"/>
    <m/>
    <m/>
    <m/>
    <m/>
    <m/>
    <m/>
    <m/>
    <m/>
    <m/>
    <m/>
    <m/>
    <m/>
    <m/>
    <m/>
    <m/>
    <m/>
    <m/>
    <m/>
    <m/>
    <m/>
    <m/>
    <m/>
    <m/>
  </r>
  <r>
    <x v="297"/>
    <n v="2005"/>
    <n v="1"/>
    <x v="14"/>
    <x v="9"/>
    <x v="0"/>
    <n v="4"/>
    <s v="2005_01_015.gif"/>
    <m/>
    <m/>
    <m/>
    <b v="0"/>
    <n v="0"/>
    <x v="0"/>
    <n v="298"/>
    <s v="Refraction and Snell's Law"/>
    <n v="4602"/>
    <x v="6"/>
    <m/>
    <m/>
    <m/>
    <m/>
    <m/>
    <m/>
    <m/>
    <m/>
    <m/>
    <m/>
    <m/>
    <m/>
    <m/>
    <m/>
    <m/>
    <m/>
    <m/>
    <m/>
    <m/>
    <m/>
    <m/>
    <m/>
    <m/>
    <m/>
    <m/>
    <m/>
    <m/>
    <m/>
    <m/>
    <m/>
    <m/>
    <m/>
    <m/>
    <m/>
    <m/>
    <m/>
    <m/>
    <m/>
    <m/>
    <m/>
    <m/>
    <m/>
    <m/>
    <n v="1"/>
    <m/>
    <m/>
    <m/>
    <m/>
    <m/>
    <m/>
    <m/>
    <m/>
    <m/>
    <m/>
    <m/>
    <m/>
    <m/>
    <m/>
    <m/>
    <m/>
  </r>
  <r>
    <x v="298"/>
    <n v="2005"/>
    <n v="1"/>
    <x v="15"/>
    <x v="9"/>
    <x v="0"/>
    <n v="4"/>
    <s v="2005_01_016.gif"/>
    <m/>
    <m/>
    <m/>
    <b v="0"/>
    <n v="0"/>
    <x v="0"/>
    <n v="299"/>
    <s v="Light and Sound"/>
    <n v="4603"/>
    <x v="6"/>
    <m/>
    <m/>
    <m/>
    <m/>
    <m/>
    <m/>
    <m/>
    <m/>
    <m/>
    <m/>
    <m/>
    <m/>
    <m/>
    <m/>
    <m/>
    <m/>
    <m/>
    <m/>
    <m/>
    <m/>
    <m/>
    <m/>
    <m/>
    <m/>
    <m/>
    <m/>
    <m/>
    <m/>
    <m/>
    <m/>
    <m/>
    <m/>
    <m/>
    <m/>
    <m/>
    <m/>
    <m/>
    <m/>
    <m/>
    <m/>
    <m/>
    <m/>
    <n v="1"/>
    <m/>
    <m/>
    <m/>
    <m/>
    <m/>
    <m/>
    <m/>
    <m/>
    <m/>
    <m/>
    <m/>
    <m/>
    <m/>
    <m/>
    <m/>
    <m/>
    <m/>
  </r>
  <r>
    <x v="299"/>
    <n v="2005"/>
    <n v="1"/>
    <x v="16"/>
    <x v="9"/>
    <x v="0"/>
    <n v="1"/>
    <s v="2005_01_017.gif"/>
    <m/>
    <m/>
    <m/>
    <b v="0"/>
    <n v="0"/>
    <x v="0"/>
    <n v="300"/>
    <s v="Diffraction"/>
    <n v="4604"/>
    <x v="6"/>
    <m/>
    <m/>
    <m/>
    <m/>
    <m/>
    <m/>
    <m/>
    <m/>
    <m/>
    <m/>
    <m/>
    <m/>
    <m/>
    <m/>
    <m/>
    <m/>
    <m/>
    <m/>
    <m/>
    <m/>
    <m/>
    <m/>
    <m/>
    <m/>
    <m/>
    <m/>
    <m/>
    <m/>
    <m/>
    <m/>
    <m/>
    <m/>
    <m/>
    <m/>
    <m/>
    <m/>
    <m/>
    <m/>
    <m/>
    <m/>
    <n v="1"/>
    <m/>
    <m/>
    <m/>
    <m/>
    <m/>
    <m/>
    <m/>
    <m/>
    <m/>
    <m/>
    <m/>
    <m/>
    <m/>
    <m/>
    <m/>
    <m/>
    <m/>
    <m/>
    <m/>
  </r>
  <r>
    <x v="300"/>
    <n v="2005"/>
    <n v="1"/>
    <x v="17"/>
    <x v="7"/>
    <x v="0"/>
    <n v="3"/>
    <s v="2005_01_018.gif"/>
    <m/>
    <m/>
    <m/>
    <b v="0"/>
    <n v="0"/>
    <x v="0"/>
    <n v="301"/>
    <s v="Superposition and Standing Waves"/>
    <n v="4605"/>
    <x v="6"/>
    <m/>
    <m/>
    <m/>
    <m/>
    <m/>
    <m/>
    <m/>
    <m/>
    <m/>
    <m/>
    <m/>
    <m/>
    <m/>
    <m/>
    <m/>
    <m/>
    <m/>
    <m/>
    <m/>
    <m/>
    <m/>
    <m/>
    <m/>
    <m/>
    <m/>
    <m/>
    <m/>
    <m/>
    <m/>
    <m/>
    <m/>
    <m/>
    <m/>
    <m/>
    <m/>
    <m/>
    <m/>
    <n v="1"/>
    <m/>
    <m/>
    <m/>
    <m/>
    <m/>
    <m/>
    <m/>
    <m/>
    <m/>
    <m/>
    <m/>
    <m/>
    <m/>
    <m/>
    <m/>
    <m/>
    <m/>
    <m/>
    <m/>
    <m/>
    <m/>
    <m/>
  </r>
  <r>
    <x v="301"/>
    <n v="2005"/>
    <n v="1"/>
    <x v="18"/>
    <x v="9"/>
    <x v="0"/>
    <n v="1"/>
    <s v="2005_01_019.gif"/>
    <m/>
    <m/>
    <m/>
    <b v="0"/>
    <n v="0"/>
    <x v="0"/>
    <n v="302"/>
    <s v="Doppler Effect"/>
    <n v="4606"/>
    <x v="6"/>
    <m/>
    <m/>
    <m/>
    <m/>
    <m/>
    <m/>
    <m/>
    <m/>
    <m/>
    <m/>
    <m/>
    <m/>
    <m/>
    <m/>
    <m/>
    <m/>
    <m/>
    <m/>
    <m/>
    <m/>
    <m/>
    <m/>
    <m/>
    <m/>
    <m/>
    <m/>
    <m/>
    <m/>
    <m/>
    <m/>
    <m/>
    <m/>
    <m/>
    <m/>
    <m/>
    <m/>
    <m/>
    <m/>
    <m/>
    <m/>
    <m/>
    <n v="1"/>
    <m/>
    <m/>
    <m/>
    <m/>
    <m/>
    <m/>
    <m/>
    <m/>
    <m/>
    <m/>
    <m/>
    <m/>
    <m/>
    <m/>
    <m/>
    <m/>
    <m/>
    <m/>
  </r>
  <r>
    <x v="302"/>
    <n v="2005"/>
    <n v="1"/>
    <x v="19"/>
    <x v="5"/>
    <x v="0"/>
    <n v="2"/>
    <s v="2005_01_020.gif"/>
    <m/>
    <m/>
    <m/>
    <b v="0"/>
    <n v="0"/>
    <x v="0"/>
    <n v="303"/>
    <s v="Gravitational PE"/>
    <n v="4607"/>
    <x v="6"/>
    <m/>
    <m/>
    <m/>
    <m/>
    <m/>
    <m/>
    <m/>
    <m/>
    <m/>
    <m/>
    <m/>
    <m/>
    <m/>
    <m/>
    <m/>
    <m/>
    <m/>
    <m/>
    <m/>
    <m/>
    <m/>
    <m/>
    <m/>
    <m/>
    <m/>
    <m/>
    <m/>
    <m/>
    <m/>
    <m/>
    <m/>
    <m/>
    <n v="1"/>
    <m/>
    <m/>
    <m/>
    <m/>
    <m/>
    <m/>
    <m/>
    <m/>
    <m/>
    <m/>
    <m/>
    <m/>
    <m/>
    <m/>
    <m/>
    <m/>
    <m/>
    <m/>
    <m/>
    <m/>
    <m/>
    <m/>
    <m/>
    <m/>
    <m/>
    <m/>
    <m/>
  </r>
  <r>
    <x v="303"/>
    <n v="2005"/>
    <n v="1"/>
    <x v="20"/>
    <x v="5"/>
    <x v="0"/>
    <n v="2"/>
    <s v="2005_01_021.gif"/>
    <m/>
    <m/>
    <m/>
    <b v="0"/>
    <n v="0"/>
    <x v="0"/>
    <n v="304"/>
    <s v="Kinetic Energy"/>
    <n v="4608"/>
    <x v="6"/>
    <m/>
    <m/>
    <m/>
    <m/>
    <m/>
    <m/>
    <m/>
    <m/>
    <m/>
    <m/>
    <m/>
    <m/>
    <m/>
    <m/>
    <m/>
    <m/>
    <m/>
    <m/>
    <m/>
    <m/>
    <m/>
    <m/>
    <m/>
    <m/>
    <m/>
    <m/>
    <m/>
    <m/>
    <m/>
    <m/>
    <m/>
    <m/>
    <m/>
    <n v="1"/>
    <m/>
    <m/>
    <m/>
    <m/>
    <m/>
    <m/>
    <m/>
    <m/>
    <m/>
    <m/>
    <m/>
    <m/>
    <m/>
    <m/>
    <m/>
    <m/>
    <m/>
    <m/>
    <m/>
    <m/>
    <m/>
    <m/>
    <m/>
    <m/>
    <m/>
    <m/>
  </r>
  <r>
    <x v="304"/>
    <n v="2005"/>
    <n v="1"/>
    <x v="21"/>
    <x v="5"/>
    <x v="0"/>
    <n v="1"/>
    <s v="2005_01_022.gif"/>
    <m/>
    <m/>
    <m/>
    <b v="0"/>
    <n v="0"/>
    <x v="0"/>
    <n v="305"/>
    <s v="Gravitational PE,Work/Power"/>
    <n v="4609"/>
    <x v="6"/>
    <m/>
    <m/>
    <m/>
    <m/>
    <m/>
    <m/>
    <m/>
    <m/>
    <m/>
    <m/>
    <m/>
    <m/>
    <m/>
    <m/>
    <m/>
    <m/>
    <m/>
    <m/>
    <m/>
    <m/>
    <m/>
    <m/>
    <m/>
    <m/>
    <m/>
    <m/>
    <m/>
    <m/>
    <m/>
    <m/>
    <m/>
    <m/>
    <n v="1"/>
    <m/>
    <m/>
    <n v="1"/>
    <m/>
    <m/>
    <m/>
    <m/>
    <m/>
    <m/>
    <m/>
    <m/>
    <m/>
    <m/>
    <m/>
    <m/>
    <m/>
    <m/>
    <m/>
    <m/>
    <m/>
    <m/>
    <m/>
    <m/>
    <m/>
    <m/>
    <m/>
    <m/>
  </r>
  <r>
    <x v="305"/>
    <n v="2005"/>
    <n v="1"/>
    <x v="22"/>
    <x v="5"/>
    <x v="0"/>
    <n v="4"/>
    <s v="2005_01_023.gif"/>
    <m/>
    <m/>
    <m/>
    <b v="0"/>
    <n v="0"/>
    <x v="0"/>
    <n v="306"/>
    <s v="Conservation of Energy"/>
    <n v="4610"/>
    <x v="6"/>
    <m/>
    <m/>
    <m/>
    <m/>
    <m/>
    <m/>
    <m/>
    <m/>
    <m/>
    <m/>
    <m/>
    <m/>
    <m/>
    <m/>
    <m/>
    <m/>
    <m/>
    <m/>
    <m/>
    <m/>
    <m/>
    <m/>
    <m/>
    <m/>
    <m/>
    <m/>
    <m/>
    <m/>
    <m/>
    <m/>
    <m/>
    <n v="1"/>
    <m/>
    <m/>
    <m/>
    <m/>
    <m/>
    <m/>
    <m/>
    <m/>
    <m/>
    <m/>
    <m/>
    <m/>
    <m/>
    <m/>
    <m/>
    <m/>
    <m/>
    <m/>
    <m/>
    <m/>
    <m/>
    <m/>
    <m/>
    <m/>
    <m/>
    <m/>
    <m/>
    <m/>
  </r>
  <r>
    <x v="306"/>
    <n v="2005"/>
    <n v="1"/>
    <x v="23"/>
    <x v="5"/>
    <x v="0"/>
    <n v="3"/>
    <s v="2005_01_024.gif"/>
    <m/>
    <m/>
    <m/>
    <b v="0"/>
    <n v="0"/>
    <x v="0"/>
    <n v="307"/>
    <s v="Gravitational PE,Work/Power"/>
    <n v="4611"/>
    <x v="6"/>
    <m/>
    <m/>
    <m/>
    <m/>
    <m/>
    <m/>
    <m/>
    <m/>
    <m/>
    <m/>
    <m/>
    <m/>
    <m/>
    <m/>
    <m/>
    <m/>
    <m/>
    <m/>
    <m/>
    <m/>
    <m/>
    <m/>
    <m/>
    <m/>
    <m/>
    <m/>
    <m/>
    <m/>
    <m/>
    <m/>
    <m/>
    <m/>
    <n v="1"/>
    <m/>
    <m/>
    <n v="1"/>
    <m/>
    <m/>
    <m/>
    <m/>
    <m/>
    <m/>
    <m/>
    <m/>
    <m/>
    <m/>
    <m/>
    <m/>
    <m/>
    <m/>
    <m/>
    <m/>
    <m/>
    <m/>
    <m/>
    <m/>
    <m/>
    <m/>
    <m/>
    <m/>
  </r>
  <r>
    <x v="307"/>
    <n v="2005"/>
    <n v="1"/>
    <x v="24"/>
    <x v="6"/>
    <x v="0"/>
    <n v="2"/>
    <s v="2005_01_025.gif"/>
    <m/>
    <m/>
    <m/>
    <b v="0"/>
    <n v="0"/>
    <x v="0"/>
    <n v="308"/>
    <s v="Electric Fields and Potential"/>
    <n v="4612"/>
    <x v="6"/>
    <m/>
    <m/>
    <m/>
    <m/>
    <m/>
    <m/>
    <m/>
    <m/>
    <m/>
    <m/>
    <m/>
    <m/>
    <m/>
    <m/>
    <m/>
    <m/>
    <m/>
    <m/>
    <m/>
    <m/>
    <m/>
    <m/>
    <m/>
    <m/>
    <m/>
    <m/>
    <m/>
    <m/>
    <m/>
    <m/>
    <m/>
    <m/>
    <m/>
    <m/>
    <m/>
    <m/>
    <m/>
    <m/>
    <m/>
    <m/>
    <m/>
    <m/>
    <m/>
    <m/>
    <m/>
    <m/>
    <m/>
    <n v="1"/>
    <m/>
    <m/>
    <m/>
    <m/>
    <m/>
    <m/>
    <m/>
    <m/>
    <m/>
    <m/>
    <m/>
    <m/>
  </r>
  <r>
    <x v="308"/>
    <n v="2005"/>
    <n v="1"/>
    <x v="25"/>
    <x v="8"/>
    <x v="0"/>
    <n v="2"/>
    <s v="2005_01_026.gif"/>
    <m/>
    <m/>
    <m/>
    <b v="0"/>
    <n v="0"/>
    <x v="0"/>
    <n v="309"/>
    <s v="Ohm's Law"/>
    <n v="4613"/>
    <x v="6"/>
    <m/>
    <m/>
    <m/>
    <m/>
    <m/>
    <m/>
    <m/>
    <m/>
    <m/>
    <m/>
    <m/>
    <m/>
    <m/>
    <m/>
    <m/>
    <m/>
    <m/>
    <m/>
    <m/>
    <m/>
    <m/>
    <m/>
    <m/>
    <m/>
    <m/>
    <m/>
    <m/>
    <m/>
    <m/>
    <m/>
    <m/>
    <m/>
    <m/>
    <m/>
    <m/>
    <m/>
    <m/>
    <m/>
    <m/>
    <m/>
    <m/>
    <m/>
    <m/>
    <m/>
    <m/>
    <m/>
    <m/>
    <m/>
    <m/>
    <m/>
    <n v="1"/>
    <m/>
    <m/>
    <m/>
    <m/>
    <m/>
    <m/>
    <m/>
    <m/>
    <m/>
  </r>
  <r>
    <x v="309"/>
    <n v="2005"/>
    <n v="1"/>
    <x v="26"/>
    <x v="8"/>
    <x v="0"/>
    <n v="2"/>
    <s v="2005_01_027.gif"/>
    <m/>
    <m/>
    <m/>
    <b v="0"/>
    <n v="0"/>
    <x v="0"/>
    <n v="310"/>
    <s v="Resistance of Wire"/>
    <n v="4614"/>
    <x v="6"/>
    <m/>
    <m/>
    <m/>
    <m/>
    <m/>
    <m/>
    <m/>
    <m/>
    <m/>
    <m/>
    <m/>
    <m/>
    <m/>
    <m/>
    <m/>
    <m/>
    <m/>
    <m/>
    <m/>
    <m/>
    <m/>
    <m/>
    <m/>
    <m/>
    <m/>
    <m/>
    <m/>
    <m/>
    <m/>
    <m/>
    <m/>
    <m/>
    <m/>
    <m/>
    <m/>
    <m/>
    <m/>
    <m/>
    <m/>
    <m/>
    <m/>
    <m/>
    <m/>
    <m/>
    <m/>
    <m/>
    <m/>
    <m/>
    <m/>
    <m/>
    <m/>
    <n v="1"/>
    <m/>
    <m/>
    <m/>
    <m/>
    <m/>
    <m/>
    <m/>
    <m/>
  </r>
  <r>
    <x v="310"/>
    <n v="2005"/>
    <n v="1"/>
    <x v="27"/>
    <x v="8"/>
    <x v="2"/>
    <n v="4"/>
    <s v="2005_01_028.gif"/>
    <m/>
    <m/>
    <m/>
    <b v="0"/>
    <n v="0"/>
    <x v="0"/>
    <n v="311"/>
    <s v="Electrical Definitions,Mathematical Relationships (Numberless Problems)"/>
    <n v="4615"/>
    <x v="6"/>
    <m/>
    <m/>
    <m/>
    <m/>
    <m/>
    <m/>
    <m/>
    <m/>
    <m/>
    <m/>
    <m/>
    <m/>
    <m/>
    <m/>
    <m/>
    <m/>
    <m/>
    <m/>
    <m/>
    <m/>
    <m/>
    <m/>
    <m/>
    <m/>
    <m/>
    <m/>
    <m/>
    <m/>
    <m/>
    <m/>
    <m/>
    <m/>
    <m/>
    <m/>
    <m/>
    <m/>
    <m/>
    <m/>
    <m/>
    <m/>
    <m/>
    <m/>
    <m/>
    <m/>
    <m/>
    <m/>
    <m/>
    <m/>
    <n v="1"/>
    <m/>
    <m/>
    <m/>
    <m/>
    <m/>
    <m/>
    <m/>
    <m/>
    <m/>
    <n v="1"/>
    <m/>
  </r>
  <r>
    <x v="311"/>
    <n v="2005"/>
    <n v="1"/>
    <x v="28"/>
    <x v="8"/>
    <x v="0"/>
    <n v="1"/>
    <s v="2005_01_029.gif"/>
    <m/>
    <m/>
    <m/>
    <b v="0"/>
    <n v="0"/>
    <x v="0"/>
    <n v="312"/>
    <s v="Series and Parallel"/>
    <n v="4616"/>
    <x v="6"/>
    <m/>
    <m/>
    <m/>
    <m/>
    <m/>
    <m/>
    <m/>
    <m/>
    <m/>
    <m/>
    <m/>
    <m/>
    <m/>
    <m/>
    <m/>
    <m/>
    <m/>
    <m/>
    <m/>
    <m/>
    <m/>
    <m/>
    <m/>
    <m/>
    <m/>
    <m/>
    <m/>
    <m/>
    <m/>
    <m/>
    <m/>
    <m/>
    <m/>
    <m/>
    <m/>
    <m/>
    <m/>
    <m/>
    <m/>
    <m/>
    <m/>
    <m/>
    <m/>
    <m/>
    <m/>
    <m/>
    <m/>
    <m/>
    <m/>
    <m/>
    <m/>
    <m/>
    <n v="1"/>
    <m/>
    <m/>
    <m/>
    <m/>
    <m/>
    <m/>
    <m/>
  </r>
  <r>
    <x v="312"/>
    <n v="2005"/>
    <n v="1"/>
    <x v="29"/>
    <x v="8"/>
    <x v="0"/>
    <n v="3"/>
    <s v="2005_01_030.gif"/>
    <m/>
    <m/>
    <m/>
    <b v="0"/>
    <n v="0"/>
    <x v="0"/>
    <n v="313"/>
    <s v="Series and Parallel"/>
    <n v="4617"/>
    <x v="6"/>
    <m/>
    <m/>
    <m/>
    <m/>
    <m/>
    <m/>
    <m/>
    <m/>
    <m/>
    <m/>
    <m/>
    <m/>
    <m/>
    <m/>
    <m/>
    <m/>
    <m/>
    <m/>
    <m/>
    <m/>
    <m/>
    <m/>
    <m/>
    <m/>
    <m/>
    <m/>
    <m/>
    <m/>
    <m/>
    <m/>
    <m/>
    <m/>
    <m/>
    <m/>
    <m/>
    <m/>
    <m/>
    <m/>
    <m/>
    <m/>
    <m/>
    <m/>
    <m/>
    <m/>
    <m/>
    <m/>
    <m/>
    <m/>
    <m/>
    <m/>
    <m/>
    <m/>
    <n v="1"/>
    <m/>
    <m/>
    <m/>
    <m/>
    <m/>
    <m/>
    <m/>
  </r>
  <r>
    <x v="313"/>
    <n v="2005"/>
    <n v="1"/>
    <x v="30"/>
    <x v="8"/>
    <x v="2"/>
    <n v="4"/>
    <s v="2005_01_031.gif"/>
    <m/>
    <m/>
    <m/>
    <b v="0"/>
    <n v="0"/>
    <x v="0"/>
    <n v="314"/>
    <s v="Electrical Power,Mathematical Relationships (Numberless Problems)"/>
    <n v="4618"/>
    <x v="6"/>
    <m/>
    <m/>
    <m/>
    <m/>
    <m/>
    <m/>
    <m/>
    <m/>
    <m/>
    <m/>
    <m/>
    <m/>
    <m/>
    <m/>
    <m/>
    <m/>
    <m/>
    <m/>
    <m/>
    <m/>
    <m/>
    <m/>
    <m/>
    <m/>
    <m/>
    <m/>
    <m/>
    <m/>
    <m/>
    <m/>
    <m/>
    <m/>
    <m/>
    <m/>
    <m/>
    <m/>
    <m/>
    <m/>
    <m/>
    <m/>
    <m/>
    <m/>
    <m/>
    <m/>
    <m/>
    <m/>
    <m/>
    <m/>
    <m/>
    <n v="1"/>
    <m/>
    <m/>
    <m/>
    <m/>
    <m/>
    <m/>
    <m/>
    <m/>
    <n v="1"/>
    <m/>
  </r>
  <r>
    <x v="314"/>
    <n v="2005"/>
    <n v="1"/>
    <x v="31"/>
    <x v="6"/>
    <x v="0"/>
    <n v="3"/>
    <s v="2005_01_032.gif"/>
    <m/>
    <m/>
    <m/>
    <b v="0"/>
    <n v="0"/>
    <x v="0"/>
    <n v="315"/>
    <s v="Electric Fields and Potential"/>
    <n v="4619"/>
    <x v="6"/>
    <m/>
    <m/>
    <m/>
    <m/>
    <m/>
    <m/>
    <m/>
    <m/>
    <m/>
    <m/>
    <m/>
    <m/>
    <m/>
    <m/>
    <m/>
    <m/>
    <m/>
    <m/>
    <m/>
    <m/>
    <m/>
    <m/>
    <m/>
    <m/>
    <m/>
    <m/>
    <m/>
    <m/>
    <m/>
    <m/>
    <m/>
    <m/>
    <m/>
    <m/>
    <m/>
    <m/>
    <m/>
    <m/>
    <m/>
    <m/>
    <m/>
    <m/>
    <m/>
    <m/>
    <m/>
    <m/>
    <m/>
    <n v="1"/>
    <m/>
    <m/>
    <m/>
    <m/>
    <m/>
    <m/>
    <m/>
    <m/>
    <m/>
    <m/>
    <m/>
    <m/>
  </r>
  <r>
    <x v="315"/>
    <n v="2005"/>
    <n v="1"/>
    <x v="32"/>
    <x v="6"/>
    <x v="6"/>
    <n v="1"/>
    <s v="2005_01_033.gif"/>
    <m/>
    <m/>
    <m/>
    <b v="0"/>
    <n v="0"/>
    <x v="0"/>
    <n v="316"/>
    <s v="Law of Gravity,Coulomb's Law"/>
    <n v="4620"/>
    <x v="6"/>
    <m/>
    <m/>
    <m/>
    <m/>
    <m/>
    <m/>
    <m/>
    <m/>
    <m/>
    <m/>
    <m/>
    <m/>
    <m/>
    <m/>
    <m/>
    <m/>
    <m/>
    <m/>
    <m/>
    <m/>
    <m/>
    <m/>
    <m/>
    <m/>
    <n v="1"/>
    <m/>
    <m/>
    <m/>
    <m/>
    <m/>
    <m/>
    <m/>
    <m/>
    <m/>
    <m/>
    <m/>
    <m/>
    <m/>
    <m/>
    <m/>
    <m/>
    <m/>
    <m/>
    <m/>
    <m/>
    <n v="1"/>
    <m/>
    <m/>
    <m/>
    <m/>
    <m/>
    <m/>
    <m/>
    <m/>
    <m/>
    <m/>
    <m/>
    <m/>
    <m/>
    <m/>
  </r>
  <r>
    <x v="316"/>
    <n v="2005"/>
    <n v="1"/>
    <x v="33"/>
    <x v="10"/>
    <x v="0"/>
    <n v="2"/>
    <s v="2005_01_034.gif"/>
    <m/>
    <m/>
    <m/>
    <b v="0"/>
    <n v="0"/>
    <x v="0"/>
    <n v="317"/>
    <s v="Particle Physics"/>
    <n v="4621"/>
    <x v="6"/>
    <m/>
    <m/>
    <m/>
    <m/>
    <m/>
    <m/>
    <m/>
    <m/>
    <m/>
    <m/>
    <m/>
    <m/>
    <m/>
    <m/>
    <m/>
    <m/>
    <m/>
    <m/>
    <m/>
    <m/>
    <m/>
    <m/>
    <m/>
    <m/>
    <m/>
    <m/>
    <m/>
    <m/>
    <m/>
    <m/>
    <m/>
    <m/>
    <m/>
    <m/>
    <m/>
    <m/>
    <m/>
    <m/>
    <m/>
    <m/>
    <m/>
    <m/>
    <m/>
    <m/>
    <m/>
    <m/>
    <m/>
    <m/>
    <m/>
    <m/>
    <m/>
    <m/>
    <m/>
    <m/>
    <m/>
    <m/>
    <n v="1"/>
    <m/>
    <m/>
    <m/>
  </r>
  <r>
    <x v="317"/>
    <n v="2005"/>
    <n v="1"/>
    <x v="34"/>
    <x v="6"/>
    <x v="0"/>
    <n v="3"/>
    <s v="2005_01_035.gif"/>
    <m/>
    <m/>
    <m/>
    <b v="0"/>
    <n v="0"/>
    <x v="0"/>
    <n v="318"/>
    <s v="Induction, Conduction, Polarization"/>
    <n v="4622"/>
    <x v="6"/>
    <m/>
    <m/>
    <m/>
    <m/>
    <m/>
    <m/>
    <m/>
    <m/>
    <m/>
    <m/>
    <m/>
    <m/>
    <m/>
    <m/>
    <m/>
    <m/>
    <m/>
    <m/>
    <m/>
    <m/>
    <m/>
    <m/>
    <m/>
    <m/>
    <m/>
    <m/>
    <m/>
    <m/>
    <m/>
    <m/>
    <m/>
    <m/>
    <m/>
    <m/>
    <m/>
    <m/>
    <m/>
    <m/>
    <m/>
    <m/>
    <m/>
    <m/>
    <m/>
    <m/>
    <m/>
    <m/>
    <n v="1"/>
    <m/>
    <m/>
    <m/>
    <m/>
    <m/>
    <m/>
    <m/>
    <m/>
    <m/>
    <m/>
    <m/>
    <m/>
    <m/>
  </r>
  <r>
    <x v="318"/>
    <n v="2005"/>
    <n v="1"/>
    <x v="35"/>
    <x v="2"/>
    <x v="0"/>
    <n v="1"/>
    <s v="2005_01_036.gif"/>
    <m/>
    <m/>
    <m/>
    <b v="0"/>
    <n v="0"/>
    <x v="1"/>
    <n v="319"/>
    <s v="DT/VT Graphs"/>
    <n v="4623"/>
    <x v="6"/>
    <m/>
    <m/>
    <m/>
    <m/>
    <n v="1"/>
    <m/>
    <m/>
    <m/>
    <m/>
    <m/>
    <m/>
    <m/>
    <m/>
    <m/>
    <m/>
    <m/>
    <m/>
    <m/>
    <m/>
    <m/>
    <m/>
    <m/>
    <m/>
    <m/>
    <m/>
    <m/>
    <m/>
    <m/>
    <m/>
    <m/>
    <m/>
    <m/>
    <m/>
    <m/>
    <m/>
    <m/>
    <m/>
    <m/>
    <m/>
    <m/>
    <m/>
    <m/>
    <m/>
    <m/>
    <m/>
    <m/>
    <m/>
    <m/>
    <m/>
    <m/>
    <m/>
    <m/>
    <m/>
    <m/>
    <m/>
    <m/>
    <m/>
    <m/>
    <m/>
    <m/>
  </r>
  <r>
    <x v="319"/>
    <n v="2005"/>
    <n v="1"/>
    <x v="36"/>
    <x v="0"/>
    <x v="0"/>
    <n v="2"/>
    <s v="2005_01_037.gif"/>
    <m/>
    <m/>
    <m/>
    <b v="0"/>
    <n v="0"/>
    <x v="1"/>
    <n v="320"/>
    <s v="Adding Vectors"/>
    <n v="4624"/>
    <x v="6"/>
    <m/>
    <m/>
    <m/>
    <m/>
    <m/>
    <m/>
    <m/>
    <m/>
    <m/>
    <m/>
    <m/>
    <n v="1"/>
    <m/>
    <m/>
    <m/>
    <m/>
    <m/>
    <m/>
    <m/>
    <m/>
    <m/>
    <m/>
    <m/>
    <m/>
    <m/>
    <m/>
    <m/>
    <m/>
    <m/>
    <m/>
    <m/>
    <m/>
    <m/>
    <m/>
    <m/>
    <m/>
    <m/>
    <m/>
    <m/>
    <m/>
    <m/>
    <m/>
    <m/>
    <m/>
    <m/>
    <m/>
    <m/>
    <m/>
    <m/>
    <m/>
    <m/>
    <m/>
    <m/>
    <m/>
    <m/>
    <m/>
    <m/>
    <m/>
    <m/>
    <m/>
  </r>
  <r>
    <x v="320"/>
    <n v="2005"/>
    <n v="1"/>
    <x v="37"/>
    <x v="11"/>
    <x v="0"/>
    <n v="2"/>
    <s v="2005_01_038.gif"/>
    <m/>
    <m/>
    <m/>
    <b v="0"/>
    <n v="3"/>
    <x v="1"/>
    <n v="321"/>
    <s v="Estimation"/>
    <n v="4625"/>
    <x v="6"/>
    <m/>
    <m/>
    <n v="1"/>
    <m/>
    <m/>
    <m/>
    <m/>
    <m/>
    <m/>
    <m/>
    <m/>
    <m/>
    <m/>
    <m/>
    <m/>
    <m/>
    <m/>
    <m/>
    <m/>
    <m/>
    <m/>
    <m/>
    <m/>
    <m/>
    <m/>
    <m/>
    <m/>
    <m/>
    <m/>
    <m/>
    <m/>
    <m/>
    <m/>
    <m/>
    <m/>
    <m/>
    <m/>
    <m/>
    <m/>
    <m/>
    <m/>
    <m/>
    <m/>
    <m/>
    <m/>
    <m/>
    <m/>
    <m/>
    <m/>
    <m/>
    <m/>
    <m/>
    <m/>
    <m/>
    <m/>
    <m/>
    <m/>
    <m/>
    <m/>
    <m/>
  </r>
  <r>
    <x v="321"/>
    <n v="2005"/>
    <n v="1"/>
    <x v="38"/>
    <x v="11"/>
    <x v="0"/>
    <n v="1"/>
    <s v="2005_01_039.gif"/>
    <m/>
    <m/>
    <m/>
    <b v="0"/>
    <n v="0"/>
    <x v="1"/>
    <n v="322"/>
    <s v="Units"/>
    <n v="4626"/>
    <x v="6"/>
    <m/>
    <m/>
    <m/>
    <n v="1"/>
    <m/>
    <m/>
    <m/>
    <m/>
    <m/>
    <m/>
    <m/>
    <m/>
    <m/>
    <m/>
    <m/>
    <m/>
    <m/>
    <m/>
    <m/>
    <m/>
    <m/>
    <m/>
    <m/>
    <m/>
    <m/>
    <m/>
    <m/>
    <m/>
    <m/>
    <m/>
    <m/>
    <m/>
    <m/>
    <m/>
    <m/>
    <m/>
    <m/>
    <m/>
    <m/>
    <m/>
    <m/>
    <m/>
    <m/>
    <m/>
    <m/>
    <m/>
    <m/>
    <m/>
    <m/>
    <m/>
    <m/>
    <m/>
    <m/>
    <m/>
    <m/>
    <m/>
    <m/>
    <m/>
    <m/>
    <m/>
  </r>
  <r>
    <x v="322"/>
    <n v="2005"/>
    <n v="1"/>
    <x v="39"/>
    <x v="6"/>
    <x v="2"/>
    <n v="4"/>
    <s v="2005_01_040.gif"/>
    <m/>
    <m/>
    <m/>
    <b v="0"/>
    <n v="0"/>
    <x v="1"/>
    <n v="323"/>
    <s v="Coulomb's Law,Mathematical Relationships (Numberless Problems)"/>
    <n v="4627"/>
    <x v="6"/>
    <m/>
    <m/>
    <m/>
    <m/>
    <m/>
    <m/>
    <m/>
    <m/>
    <m/>
    <m/>
    <m/>
    <m/>
    <m/>
    <m/>
    <m/>
    <m/>
    <m/>
    <m/>
    <m/>
    <m/>
    <m/>
    <m/>
    <m/>
    <m/>
    <m/>
    <m/>
    <m/>
    <m/>
    <m/>
    <m/>
    <m/>
    <m/>
    <m/>
    <m/>
    <m/>
    <m/>
    <m/>
    <m/>
    <m/>
    <m/>
    <m/>
    <m/>
    <m/>
    <m/>
    <m/>
    <n v="1"/>
    <m/>
    <m/>
    <m/>
    <m/>
    <m/>
    <m/>
    <m/>
    <m/>
    <m/>
    <m/>
    <m/>
    <m/>
    <n v="1"/>
    <m/>
  </r>
  <r>
    <x v="323"/>
    <n v="2005"/>
    <n v="1"/>
    <x v="40"/>
    <x v="9"/>
    <x v="0"/>
    <n v="3"/>
    <s v="2005_01_041.gif"/>
    <m/>
    <m/>
    <m/>
    <b v="0"/>
    <n v="0"/>
    <x v="1"/>
    <n v="324"/>
    <s v="Light and Sound"/>
    <n v="4628"/>
    <x v="6"/>
    <m/>
    <m/>
    <m/>
    <m/>
    <m/>
    <m/>
    <m/>
    <m/>
    <m/>
    <m/>
    <m/>
    <m/>
    <m/>
    <m/>
    <m/>
    <m/>
    <m/>
    <m/>
    <m/>
    <m/>
    <m/>
    <m/>
    <m/>
    <m/>
    <m/>
    <m/>
    <m/>
    <m/>
    <m/>
    <m/>
    <m/>
    <m/>
    <m/>
    <m/>
    <m/>
    <m/>
    <m/>
    <m/>
    <m/>
    <m/>
    <m/>
    <m/>
    <n v="1"/>
    <m/>
    <m/>
    <m/>
    <m/>
    <m/>
    <m/>
    <m/>
    <m/>
    <m/>
    <m/>
    <m/>
    <m/>
    <m/>
    <m/>
    <m/>
    <m/>
    <m/>
  </r>
  <r>
    <x v="324"/>
    <n v="2005"/>
    <n v="1"/>
    <x v="41"/>
    <x v="8"/>
    <x v="0"/>
    <n v="1"/>
    <s v="2005_01_042.gif"/>
    <m/>
    <m/>
    <m/>
    <b v="0"/>
    <n v="0"/>
    <x v="1"/>
    <n v="325"/>
    <s v="Series and Parallel"/>
    <n v="4629"/>
    <x v="6"/>
    <m/>
    <m/>
    <m/>
    <m/>
    <m/>
    <m/>
    <m/>
    <m/>
    <m/>
    <m/>
    <m/>
    <m/>
    <m/>
    <m/>
    <m/>
    <m/>
    <m/>
    <m/>
    <m/>
    <m/>
    <m/>
    <m/>
    <m/>
    <m/>
    <m/>
    <m/>
    <m/>
    <m/>
    <m/>
    <m/>
    <m/>
    <m/>
    <m/>
    <m/>
    <m/>
    <m/>
    <m/>
    <m/>
    <m/>
    <m/>
    <m/>
    <m/>
    <m/>
    <m/>
    <m/>
    <m/>
    <m/>
    <m/>
    <m/>
    <m/>
    <m/>
    <m/>
    <n v="1"/>
    <m/>
    <m/>
    <m/>
    <m/>
    <m/>
    <m/>
    <m/>
  </r>
  <r>
    <x v="325"/>
    <n v="2005"/>
    <n v="1"/>
    <x v="42"/>
    <x v="10"/>
    <x v="0"/>
    <n v="3"/>
    <s v="2005_01_043.gif"/>
    <m/>
    <m/>
    <m/>
    <b v="0"/>
    <n v="0"/>
    <x v="1"/>
    <n v="326"/>
    <s v="Particle Physics"/>
    <n v="4630"/>
    <x v="6"/>
    <m/>
    <m/>
    <m/>
    <m/>
    <m/>
    <m/>
    <m/>
    <m/>
    <m/>
    <m/>
    <m/>
    <m/>
    <m/>
    <m/>
    <m/>
    <m/>
    <m/>
    <m/>
    <m/>
    <m/>
    <m/>
    <m/>
    <m/>
    <m/>
    <m/>
    <m/>
    <m/>
    <m/>
    <m/>
    <m/>
    <m/>
    <m/>
    <m/>
    <m/>
    <m/>
    <m/>
    <m/>
    <m/>
    <m/>
    <m/>
    <m/>
    <m/>
    <m/>
    <m/>
    <m/>
    <m/>
    <m/>
    <m/>
    <m/>
    <m/>
    <m/>
    <m/>
    <m/>
    <m/>
    <m/>
    <m/>
    <n v="1"/>
    <m/>
    <m/>
    <m/>
  </r>
  <r>
    <x v="326"/>
    <n v="2005"/>
    <n v="1"/>
    <x v="43"/>
    <x v="10"/>
    <x v="0"/>
    <n v="1"/>
    <s v="2005_01_044.gif"/>
    <m/>
    <m/>
    <m/>
    <b v="0"/>
    <n v="0"/>
    <x v="1"/>
    <n v="327"/>
    <s v="Energy/Frequency of Photon"/>
    <n v="4631"/>
    <x v="6"/>
    <m/>
    <m/>
    <m/>
    <m/>
    <m/>
    <m/>
    <m/>
    <m/>
    <m/>
    <m/>
    <m/>
    <m/>
    <m/>
    <m/>
    <m/>
    <m/>
    <m/>
    <m/>
    <m/>
    <m/>
    <m/>
    <m/>
    <m/>
    <m/>
    <m/>
    <m/>
    <m/>
    <m/>
    <m/>
    <m/>
    <m/>
    <m/>
    <m/>
    <m/>
    <m/>
    <m/>
    <m/>
    <m/>
    <m/>
    <m/>
    <m/>
    <m/>
    <m/>
    <m/>
    <m/>
    <m/>
    <m/>
    <m/>
    <m/>
    <m/>
    <m/>
    <m/>
    <m/>
    <m/>
    <n v="1"/>
    <m/>
    <m/>
    <m/>
    <m/>
    <m/>
  </r>
  <r>
    <x v="327"/>
    <n v="2005"/>
    <n v="1"/>
    <x v="44"/>
    <x v="10"/>
    <x v="0"/>
    <n v="2"/>
    <s v="2005_01_045.gif"/>
    <m/>
    <m/>
    <m/>
    <b v="0"/>
    <n v="0"/>
    <x v="1"/>
    <n v="328"/>
    <s v="Energy/Frequency of Photon"/>
    <n v="4632"/>
    <x v="6"/>
    <m/>
    <m/>
    <m/>
    <m/>
    <m/>
    <m/>
    <m/>
    <m/>
    <m/>
    <m/>
    <m/>
    <m/>
    <m/>
    <m/>
    <m/>
    <m/>
    <m/>
    <m/>
    <m/>
    <m/>
    <m/>
    <m/>
    <m/>
    <m/>
    <m/>
    <m/>
    <m/>
    <m/>
    <m/>
    <m/>
    <m/>
    <m/>
    <m/>
    <m/>
    <m/>
    <m/>
    <m/>
    <m/>
    <m/>
    <m/>
    <m/>
    <m/>
    <m/>
    <m/>
    <m/>
    <m/>
    <m/>
    <m/>
    <m/>
    <m/>
    <m/>
    <m/>
    <m/>
    <m/>
    <n v="1"/>
    <m/>
    <m/>
    <m/>
    <m/>
    <m/>
  </r>
  <r>
    <x v="328"/>
    <n v="2005"/>
    <n v="1"/>
    <x v="45"/>
    <x v="1"/>
    <x v="0"/>
    <n v="3"/>
    <s v="2005_01_046.gif"/>
    <m/>
    <m/>
    <m/>
    <b v="0"/>
    <n v="0"/>
    <x v="1"/>
    <n v="329"/>
    <s v="Hooke's Law"/>
    <n v="4633"/>
    <x v="6"/>
    <m/>
    <m/>
    <m/>
    <m/>
    <m/>
    <m/>
    <m/>
    <m/>
    <m/>
    <m/>
    <m/>
    <m/>
    <m/>
    <m/>
    <m/>
    <m/>
    <m/>
    <m/>
    <m/>
    <m/>
    <m/>
    <m/>
    <m/>
    <n v="1"/>
    <m/>
    <m/>
    <m/>
    <m/>
    <m/>
    <m/>
    <m/>
    <m/>
    <m/>
    <m/>
    <m/>
    <m/>
    <m/>
    <m/>
    <m/>
    <m/>
    <m/>
    <m/>
    <m/>
    <m/>
    <m/>
    <m/>
    <m/>
    <m/>
    <m/>
    <m/>
    <m/>
    <m/>
    <m/>
    <m/>
    <m/>
    <m/>
    <m/>
    <m/>
    <m/>
    <m/>
  </r>
  <r>
    <x v="329"/>
    <n v="2005"/>
    <n v="1"/>
    <x v="46"/>
    <x v="8"/>
    <x v="2"/>
    <n v="4"/>
    <s v="2005_01_047.gif"/>
    <m/>
    <m/>
    <m/>
    <b v="0"/>
    <n v="0"/>
    <x v="1"/>
    <n v="330"/>
    <s v="Electrical Definitions,Graph Interpretation"/>
    <n v="4634"/>
    <x v="6"/>
    <m/>
    <m/>
    <m/>
    <m/>
    <m/>
    <m/>
    <m/>
    <m/>
    <m/>
    <m/>
    <m/>
    <m/>
    <m/>
    <m/>
    <m/>
    <m/>
    <m/>
    <m/>
    <m/>
    <m/>
    <m/>
    <m/>
    <m/>
    <m/>
    <m/>
    <m/>
    <m/>
    <m/>
    <m/>
    <m/>
    <m/>
    <m/>
    <m/>
    <m/>
    <m/>
    <m/>
    <m/>
    <m/>
    <m/>
    <m/>
    <m/>
    <m/>
    <m/>
    <m/>
    <m/>
    <m/>
    <m/>
    <m/>
    <n v="1"/>
    <m/>
    <m/>
    <m/>
    <m/>
    <m/>
    <m/>
    <m/>
    <m/>
    <n v="1"/>
    <m/>
    <m/>
  </r>
  <r>
    <x v="330"/>
    <n v="2005"/>
    <n v="1"/>
    <x v="47"/>
    <x v="7"/>
    <x v="0"/>
    <n v="4"/>
    <s v="2005_01_048.gif"/>
    <m/>
    <m/>
    <m/>
    <b v="0"/>
    <n v="0"/>
    <x v="1"/>
    <n v="331"/>
    <s v="Wave Vocabulary"/>
    <n v="4635"/>
    <x v="6"/>
    <m/>
    <m/>
    <m/>
    <m/>
    <m/>
    <m/>
    <m/>
    <m/>
    <m/>
    <m/>
    <m/>
    <m/>
    <m/>
    <m/>
    <m/>
    <m/>
    <m/>
    <m/>
    <m/>
    <m/>
    <m/>
    <m/>
    <m/>
    <m/>
    <m/>
    <m/>
    <m/>
    <m/>
    <m/>
    <m/>
    <m/>
    <m/>
    <m/>
    <m/>
    <m/>
    <m/>
    <m/>
    <m/>
    <m/>
    <n v="1"/>
    <m/>
    <m/>
    <m/>
    <m/>
    <m/>
    <m/>
    <m/>
    <m/>
    <m/>
    <m/>
    <m/>
    <m/>
    <m/>
    <m/>
    <m/>
    <m/>
    <m/>
    <m/>
    <m/>
    <m/>
  </r>
  <r>
    <x v="331"/>
    <n v="2005"/>
    <n v="6"/>
    <x v="0"/>
    <x v="4"/>
    <x v="0"/>
    <n v="3"/>
    <s v="2005_06_001.gif"/>
    <m/>
    <m/>
    <m/>
    <b v="0"/>
    <n v="0"/>
    <x v="0"/>
    <n v="332"/>
    <s v="Impulse"/>
    <n v="4662"/>
    <x v="7"/>
    <m/>
    <m/>
    <m/>
    <m/>
    <m/>
    <m/>
    <m/>
    <m/>
    <m/>
    <m/>
    <m/>
    <m/>
    <m/>
    <m/>
    <m/>
    <m/>
    <m/>
    <m/>
    <m/>
    <m/>
    <m/>
    <m/>
    <m/>
    <m/>
    <m/>
    <m/>
    <m/>
    <m/>
    <m/>
    <n v="1"/>
    <m/>
    <m/>
    <m/>
    <m/>
    <m/>
    <m/>
    <m/>
    <m/>
    <m/>
    <m/>
    <m/>
    <m/>
    <m/>
    <m/>
    <m/>
    <m/>
    <m/>
    <m/>
    <m/>
    <m/>
    <m/>
    <m/>
    <m/>
    <m/>
    <m/>
    <m/>
    <m/>
    <m/>
    <m/>
    <m/>
  </r>
  <r>
    <x v="332"/>
    <n v="2005"/>
    <n v="6"/>
    <x v="1"/>
    <x v="2"/>
    <x v="0"/>
    <n v="2"/>
    <s v="2005_06_002.gif"/>
    <m/>
    <m/>
    <m/>
    <b v="0"/>
    <n v="0"/>
    <x v="0"/>
    <n v="333"/>
    <s v="Vertical Constant Acceleration Problems"/>
    <n v="4663"/>
    <x v="7"/>
    <m/>
    <m/>
    <m/>
    <m/>
    <m/>
    <m/>
    <m/>
    <m/>
    <m/>
    <m/>
    <n v="1"/>
    <m/>
    <m/>
    <m/>
    <m/>
    <m/>
    <m/>
    <m/>
    <m/>
    <m/>
    <m/>
    <m/>
    <m/>
    <m/>
    <m/>
    <m/>
    <m/>
    <m/>
    <m/>
    <m/>
    <m/>
    <m/>
    <m/>
    <m/>
    <m/>
    <m/>
    <m/>
    <m/>
    <m/>
    <m/>
    <m/>
    <m/>
    <m/>
    <m/>
    <m/>
    <m/>
    <m/>
    <m/>
    <m/>
    <m/>
    <m/>
    <m/>
    <m/>
    <m/>
    <m/>
    <m/>
    <m/>
    <m/>
    <m/>
    <m/>
  </r>
  <r>
    <x v="333"/>
    <n v="2005"/>
    <n v="6"/>
    <x v="2"/>
    <x v="0"/>
    <x v="0"/>
    <n v="3"/>
    <s v="2005_06_003.gif"/>
    <m/>
    <m/>
    <m/>
    <b v="0"/>
    <n v="0"/>
    <x v="0"/>
    <n v="334"/>
    <s v="Adding Vectors"/>
    <n v="4664"/>
    <x v="7"/>
    <m/>
    <m/>
    <m/>
    <m/>
    <m/>
    <m/>
    <m/>
    <m/>
    <m/>
    <m/>
    <m/>
    <n v="1"/>
    <m/>
    <m/>
    <m/>
    <m/>
    <m/>
    <m/>
    <m/>
    <m/>
    <m/>
    <m/>
    <m/>
    <m/>
    <m/>
    <m/>
    <m/>
    <m/>
    <m/>
    <m/>
    <m/>
    <m/>
    <m/>
    <m/>
    <m/>
    <m/>
    <m/>
    <m/>
    <m/>
    <m/>
    <m/>
    <m/>
    <m/>
    <m/>
    <m/>
    <m/>
    <m/>
    <m/>
    <m/>
    <m/>
    <m/>
    <m/>
    <m/>
    <m/>
    <m/>
    <m/>
    <m/>
    <m/>
    <m/>
    <m/>
  </r>
  <r>
    <x v="334"/>
    <n v="2005"/>
    <n v="6"/>
    <x v="3"/>
    <x v="0"/>
    <x v="0"/>
    <n v="3"/>
    <s v="2005_06_004.gif"/>
    <m/>
    <m/>
    <m/>
    <b v="0"/>
    <n v="0"/>
    <x v="0"/>
    <n v="335"/>
    <s v="Vector Components"/>
    <n v="4665"/>
    <x v="7"/>
    <m/>
    <m/>
    <m/>
    <m/>
    <m/>
    <m/>
    <m/>
    <m/>
    <m/>
    <m/>
    <m/>
    <m/>
    <n v="1"/>
    <m/>
    <m/>
    <m/>
    <m/>
    <m/>
    <m/>
    <m/>
    <m/>
    <m/>
    <m/>
    <m/>
    <m/>
    <m/>
    <m/>
    <m/>
    <m/>
    <m/>
    <m/>
    <m/>
    <m/>
    <m/>
    <m/>
    <m/>
    <m/>
    <m/>
    <m/>
    <m/>
    <m/>
    <m/>
    <m/>
    <m/>
    <m/>
    <m/>
    <m/>
    <m/>
    <m/>
    <m/>
    <m/>
    <m/>
    <m/>
    <m/>
    <m/>
    <m/>
    <m/>
    <m/>
    <m/>
    <m/>
  </r>
  <r>
    <x v="335"/>
    <n v="2005"/>
    <n v="6"/>
    <x v="4"/>
    <x v="3"/>
    <x v="0"/>
    <n v="2"/>
    <s v="2005_06_005.gif"/>
    <m/>
    <m/>
    <m/>
    <b v="0"/>
    <n v="0"/>
    <x v="0"/>
    <n v="336"/>
    <s v="Acceleration of Projectile"/>
    <n v="4666"/>
    <x v="7"/>
    <m/>
    <m/>
    <m/>
    <m/>
    <m/>
    <m/>
    <m/>
    <m/>
    <m/>
    <m/>
    <m/>
    <m/>
    <m/>
    <m/>
    <n v="1"/>
    <m/>
    <m/>
    <m/>
    <m/>
    <m/>
    <m/>
    <m/>
    <m/>
    <m/>
    <m/>
    <m/>
    <m/>
    <m/>
    <m/>
    <m/>
    <m/>
    <m/>
    <m/>
    <m/>
    <m/>
    <m/>
    <m/>
    <m/>
    <m/>
    <m/>
    <m/>
    <m/>
    <m/>
    <m/>
    <m/>
    <m/>
    <m/>
    <m/>
    <m/>
    <m/>
    <m/>
    <m/>
    <m/>
    <m/>
    <m/>
    <m/>
    <m/>
    <m/>
    <m/>
    <m/>
  </r>
  <r>
    <x v="336"/>
    <n v="2005"/>
    <n v="6"/>
    <x v="5"/>
    <x v="4"/>
    <x v="0"/>
    <n v="3"/>
    <s v="2005_06_006.gif"/>
    <m/>
    <m/>
    <m/>
    <b v="0"/>
    <n v="0"/>
    <x v="0"/>
    <n v="337"/>
    <s v="Conservation of Momentum"/>
    <n v="4667"/>
    <x v="7"/>
    <m/>
    <m/>
    <m/>
    <m/>
    <m/>
    <m/>
    <m/>
    <m/>
    <m/>
    <m/>
    <m/>
    <m/>
    <m/>
    <m/>
    <m/>
    <m/>
    <m/>
    <m/>
    <m/>
    <m/>
    <m/>
    <m/>
    <m/>
    <m/>
    <m/>
    <m/>
    <m/>
    <m/>
    <n v="1"/>
    <m/>
    <m/>
    <m/>
    <m/>
    <m/>
    <m/>
    <m/>
    <m/>
    <m/>
    <m/>
    <m/>
    <m/>
    <m/>
    <m/>
    <m/>
    <m/>
    <m/>
    <m/>
    <m/>
    <m/>
    <m/>
    <m/>
    <m/>
    <m/>
    <m/>
    <m/>
    <m/>
    <m/>
    <m/>
    <m/>
    <m/>
  </r>
  <r>
    <x v="337"/>
    <n v="2005"/>
    <n v="6"/>
    <x v="6"/>
    <x v="3"/>
    <x v="0"/>
    <n v="3"/>
    <s v="2005_06_007.gif"/>
    <m/>
    <m/>
    <m/>
    <b v="0"/>
    <n v="0"/>
    <x v="0"/>
    <n v="338"/>
    <s v="Max Height of Projectile"/>
    <n v="4668"/>
    <x v="7"/>
    <m/>
    <m/>
    <m/>
    <m/>
    <m/>
    <m/>
    <m/>
    <m/>
    <m/>
    <m/>
    <m/>
    <m/>
    <m/>
    <m/>
    <m/>
    <m/>
    <m/>
    <m/>
    <n v="1"/>
    <m/>
    <m/>
    <m/>
    <m/>
    <m/>
    <m/>
    <m/>
    <m/>
    <m/>
    <m/>
    <m/>
    <m/>
    <m/>
    <m/>
    <m/>
    <m/>
    <m/>
    <m/>
    <m/>
    <m/>
    <m/>
    <m/>
    <m/>
    <m/>
    <m/>
    <m/>
    <m/>
    <m/>
    <m/>
    <m/>
    <m/>
    <m/>
    <m/>
    <m/>
    <m/>
    <m/>
    <m/>
    <m/>
    <m/>
    <m/>
    <m/>
  </r>
  <r>
    <x v="338"/>
    <n v="2005"/>
    <n v="6"/>
    <x v="7"/>
    <x v="1"/>
    <x v="0"/>
    <n v="4"/>
    <s v="2005_06_008.gif"/>
    <m/>
    <m/>
    <m/>
    <b v="0"/>
    <n v="0"/>
    <x v="0"/>
    <n v="339"/>
    <s v="Newton's 1st Law (Inertia),Weight and Mass"/>
    <n v="4669"/>
    <x v="7"/>
    <m/>
    <m/>
    <m/>
    <m/>
    <m/>
    <m/>
    <m/>
    <m/>
    <m/>
    <m/>
    <m/>
    <m/>
    <m/>
    <m/>
    <m/>
    <m/>
    <m/>
    <m/>
    <m/>
    <m/>
    <m/>
    <m/>
    <m/>
    <m/>
    <m/>
    <n v="1"/>
    <m/>
    <n v="1"/>
    <m/>
    <m/>
    <m/>
    <m/>
    <m/>
    <m/>
    <m/>
    <m/>
    <m/>
    <m/>
    <m/>
    <m/>
    <m/>
    <m/>
    <m/>
    <m/>
    <m/>
    <m/>
    <m/>
    <m/>
    <m/>
    <m/>
    <m/>
    <m/>
    <m/>
    <m/>
    <m/>
    <m/>
    <m/>
    <m/>
    <m/>
    <m/>
  </r>
  <r>
    <x v="339"/>
    <n v="2005"/>
    <n v="6"/>
    <x v="8"/>
    <x v="1"/>
    <x v="0"/>
    <n v="1"/>
    <s v="2005_06_009.gif"/>
    <m/>
    <m/>
    <m/>
    <b v="0"/>
    <n v="0"/>
    <x v="0"/>
    <n v="340"/>
    <s v="Weight and Mass"/>
    <n v="4670"/>
    <x v="7"/>
    <m/>
    <m/>
    <m/>
    <m/>
    <m/>
    <m/>
    <m/>
    <m/>
    <m/>
    <m/>
    <m/>
    <m/>
    <m/>
    <m/>
    <m/>
    <m/>
    <m/>
    <m/>
    <m/>
    <m/>
    <m/>
    <m/>
    <m/>
    <m/>
    <m/>
    <m/>
    <m/>
    <n v="1"/>
    <m/>
    <m/>
    <m/>
    <m/>
    <m/>
    <m/>
    <m/>
    <m/>
    <m/>
    <m/>
    <m/>
    <m/>
    <m/>
    <m/>
    <m/>
    <m/>
    <m/>
    <m/>
    <m/>
    <m/>
    <m/>
    <m/>
    <m/>
    <m/>
    <m/>
    <m/>
    <m/>
    <m/>
    <m/>
    <m/>
    <m/>
    <m/>
  </r>
  <r>
    <x v="340"/>
    <n v="2005"/>
    <n v="6"/>
    <x v="9"/>
    <x v="2"/>
    <x v="0"/>
    <n v="3"/>
    <s v="2005_06_010.gif"/>
    <m/>
    <m/>
    <m/>
    <b v="0"/>
    <n v="0"/>
    <x v="0"/>
    <n v="341"/>
    <s v="Vertical Constant Acceleration Problems"/>
    <n v="4671"/>
    <x v="7"/>
    <m/>
    <m/>
    <m/>
    <m/>
    <m/>
    <m/>
    <m/>
    <m/>
    <m/>
    <m/>
    <n v="1"/>
    <m/>
    <m/>
    <m/>
    <m/>
    <m/>
    <m/>
    <m/>
    <m/>
    <m/>
    <m/>
    <m/>
    <m/>
    <m/>
    <m/>
    <m/>
    <m/>
    <m/>
    <m/>
    <m/>
    <m/>
    <m/>
    <m/>
    <m/>
    <m/>
    <m/>
    <m/>
    <m/>
    <m/>
    <m/>
    <m/>
    <m/>
    <m/>
    <m/>
    <m/>
    <m/>
    <m/>
    <m/>
    <m/>
    <m/>
    <m/>
    <m/>
    <m/>
    <m/>
    <m/>
    <m/>
    <m/>
    <m/>
    <m/>
    <m/>
  </r>
  <r>
    <x v="341"/>
    <n v="2005"/>
    <n v="6"/>
    <x v="10"/>
    <x v="1"/>
    <x v="0"/>
    <n v="2"/>
    <s v="2005_06_011.gif"/>
    <m/>
    <m/>
    <m/>
    <b v="0"/>
    <n v="0"/>
    <x v="0"/>
    <n v="342"/>
    <s v="Hooke's Law"/>
    <n v="4672"/>
    <x v="7"/>
    <m/>
    <m/>
    <m/>
    <m/>
    <m/>
    <m/>
    <m/>
    <m/>
    <m/>
    <m/>
    <m/>
    <m/>
    <m/>
    <m/>
    <m/>
    <m/>
    <m/>
    <m/>
    <m/>
    <m/>
    <m/>
    <m/>
    <m/>
    <n v="1"/>
    <m/>
    <m/>
    <m/>
    <m/>
    <m/>
    <m/>
    <m/>
    <m/>
    <m/>
    <m/>
    <m/>
    <m/>
    <m/>
    <m/>
    <m/>
    <m/>
    <m/>
    <m/>
    <m/>
    <m/>
    <m/>
    <m/>
    <m/>
    <m/>
    <m/>
    <m/>
    <m/>
    <m/>
    <m/>
    <m/>
    <m/>
    <m/>
    <m/>
    <m/>
    <m/>
    <m/>
  </r>
  <r>
    <x v="342"/>
    <n v="2005"/>
    <n v="6"/>
    <x v="11"/>
    <x v="1"/>
    <x v="2"/>
    <n v="1"/>
    <s v="2005_06_012.gif"/>
    <m/>
    <m/>
    <m/>
    <b v="0"/>
    <n v="0"/>
    <x v="0"/>
    <n v="343"/>
    <s v="Law of Gravity,Mathematical Relationships (Numberless Problems)"/>
    <n v="4673"/>
    <x v="7"/>
    <m/>
    <m/>
    <m/>
    <m/>
    <m/>
    <m/>
    <m/>
    <m/>
    <m/>
    <m/>
    <m/>
    <m/>
    <m/>
    <m/>
    <m/>
    <m/>
    <m/>
    <m/>
    <m/>
    <m/>
    <m/>
    <m/>
    <m/>
    <m/>
    <n v="1"/>
    <m/>
    <m/>
    <m/>
    <m/>
    <m/>
    <m/>
    <m/>
    <m/>
    <m/>
    <m/>
    <m/>
    <m/>
    <m/>
    <m/>
    <m/>
    <m/>
    <m/>
    <m/>
    <m/>
    <m/>
    <m/>
    <m/>
    <m/>
    <m/>
    <m/>
    <m/>
    <m/>
    <m/>
    <m/>
    <m/>
    <m/>
    <m/>
    <m/>
    <n v="1"/>
    <m/>
  </r>
  <r>
    <x v="343"/>
    <n v="2005"/>
    <n v="6"/>
    <x v="12"/>
    <x v="1"/>
    <x v="0"/>
    <n v="1"/>
    <s v="2005_06_013.gif"/>
    <m/>
    <m/>
    <m/>
    <b v="0"/>
    <n v="0"/>
    <x v="0"/>
    <n v="344"/>
    <s v="Newton's 2nd Law (F=MA),Weight and Mass"/>
    <n v="4674"/>
    <x v="7"/>
    <m/>
    <m/>
    <m/>
    <m/>
    <m/>
    <m/>
    <m/>
    <m/>
    <m/>
    <m/>
    <m/>
    <m/>
    <m/>
    <m/>
    <m/>
    <m/>
    <m/>
    <m/>
    <m/>
    <m/>
    <m/>
    <m/>
    <m/>
    <m/>
    <m/>
    <m/>
    <n v="1"/>
    <n v="1"/>
    <m/>
    <m/>
    <m/>
    <m/>
    <m/>
    <m/>
    <m/>
    <m/>
    <m/>
    <m/>
    <m/>
    <m/>
    <m/>
    <m/>
    <m/>
    <m/>
    <m/>
    <m/>
    <m/>
    <m/>
    <m/>
    <m/>
    <m/>
    <m/>
    <m/>
    <m/>
    <m/>
    <m/>
    <m/>
    <m/>
    <m/>
    <m/>
  </r>
  <r>
    <x v="344"/>
    <n v="2005"/>
    <n v="6"/>
    <x v="13"/>
    <x v="6"/>
    <x v="6"/>
    <n v="4"/>
    <s v="2005_06_014.gif"/>
    <m/>
    <m/>
    <m/>
    <b v="0"/>
    <n v="0"/>
    <x v="0"/>
    <n v="345"/>
    <s v="Law of Gravity,Coulomb's Law"/>
    <n v="4675"/>
    <x v="7"/>
    <m/>
    <m/>
    <m/>
    <m/>
    <m/>
    <m/>
    <m/>
    <m/>
    <m/>
    <m/>
    <m/>
    <m/>
    <m/>
    <m/>
    <m/>
    <m/>
    <m/>
    <m/>
    <m/>
    <m/>
    <m/>
    <m/>
    <m/>
    <m/>
    <n v="1"/>
    <m/>
    <m/>
    <m/>
    <m/>
    <m/>
    <m/>
    <m/>
    <m/>
    <m/>
    <m/>
    <m/>
    <m/>
    <m/>
    <m/>
    <m/>
    <m/>
    <m/>
    <m/>
    <m/>
    <m/>
    <n v="1"/>
    <m/>
    <m/>
    <m/>
    <m/>
    <m/>
    <m/>
    <m/>
    <m/>
    <m/>
    <m/>
    <m/>
    <m/>
    <m/>
    <m/>
  </r>
  <r>
    <x v="345"/>
    <n v="2005"/>
    <n v="6"/>
    <x v="14"/>
    <x v="12"/>
    <x v="4"/>
    <n v="2"/>
    <s v="2005_06_015.gif"/>
    <m/>
    <m/>
    <m/>
    <b v="0"/>
    <n v="0"/>
    <x v="0"/>
    <n v="346"/>
    <s v="Magnetism"/>
    <n v="4676"/>
    <x v="7"/>
    <m/>
    <m/>
    <m/>
    <m/>
    <m/>
    <m/>
    <m/>
    <m/>
    <m/>
    <m/>
    <m/>
    <m/>
    <m/>
    <m/>
    <m/>
    <m/>
    <m/>
    <m/>
    <m/>
    <m/>
    <m/>
    <m/>
    <m/>
    <m/>
    <m/>
    <m/>
    <m/>
    <m/>
    <m/>
    <m/>
    <m/>
    <m/>
    <m/>
    <m/>
    <m/>
    <m/>
    <m/>
    <m/>
    <m/>
    <m/>
    <m/>
    <m/>
    <m/>
    <m/>
    <m/>
    <m/>
    <m/>
    <m/>
    <m/>
    <m/>
    <m/>
    <m/>
    <m/>
    <m/>
    <m/>
    <m/>
    <m/>
    <m/>
    <m/>
    <n v="1"/>
  </r>
  <r>
    <x v="346"/>
    <n v="2005"/>
    <n v="6"/>
    <x v="15"/>
    <x v="5"/>
    <x v="0"/>
    <n v="2"/>
    <s v="2005_06_016.gif"/>
    <m/>
    <m/>
    <m/>
    <b v="0"/>
    <n v="0"/>
    <x v="0"/>
    <n v="347"/>
    <s v="Conservation of Energy,Work/Power"/>
    <n v="4677"/>
    <x v="7"/>
    <m/>
    <m/>
    <m/>
    <m/>
    <m/>
    <m/>
    <m/>
    <m/>
    <m/>
    <m/>
    <m/>
    <m/>
    <m/>
    <m/>
    <m/>
    <m/>
    <m/>
    <m/>
    <m/>
    <m/>
    <m/>
    <m/>
    <m/>
    <m/>
    <m/>
    <m/>
    <m/>
    <m/>
    <m/>
    <m/>
    <m/>
    <n v="1"/>
    <m/>
    <m/>
    <m/>
    <n v="1"/>
    <m/>
    <m/>
    <m/>
    <m/>
    <m/>
    <m/>
    <m/>
    <m/>
    <m/>
    <m/>
    <m/>
    <m/>
    <m/>
    <m/>
    <m/>
    <m/>
    <m/>
    <m/>
    <m/>
    <m/>
    <m/>
    <m/>
    <m/>
    <m/>
  </r>
  <r>
    <x v="347"/>
    <n v="2005"/>
    <n v="6"/>
    <x v="16"/>
    <x v="5"/>
    <x v="0"/>
    <n v="4"/>
    <s v="2005_06_017.gif"/>
    <m/>
    <m/>
    <m/>
    <b v="0"/>
    <n v="0"/>
    <x v="0"/>
    <n v="348"/>
    <s v="Gravitational PE"/>
    <n v="4678"/>
    <x v="7"/>
    <m/>
    <m/>
    <m/>
    <m/>
    <m/>
    <m/>
    <m/>
    <m/>
    <m/>
    <m/>
    <m/>
    <m/>
    <m/>
    <m/>
    <m/>
    <m/>
    <m/>
    <m/>
    <m/>
    <m/>
    <m/>
    <m/>
    <m/>
    <m/>
    <m/>
    <m/>
    <m/>
    <m/>
    <m/>
    <m/>
    <m/>
    <m/>
    <n v="1"/>
    <m/>
    <m/>
    <m/>
    <m/>
    <m/>
    <m/>
    <m/>
    <m/>
    <m/>
    <m/>
    <m/>
    <m/>
    <m/>
    <m/>
    <m/>
    <m/>
    <m/>
    <m/>
    <m/>
    <m/>
    <m/>
    <m/>
    <m/>
    <m/>
    <m/>
    <m/>
    <m/>
  </r>
  <r>
    <x v="348"/>
    <n v="2005"/>
    <n v="6"/>
    <x v="17"/>
    <x v="5"/>
    <x v="0"/>
    <n v="3"/>
    <s v="2005_06_018.gif"/>
    <m/>
    <m/>
    <m/>
    <b v="0"/>
    <n v="0"/>
    <x v="0"/>
    <n v="349"/>
    <s v="Work/Power"/>
    <n v="4679"/>
    <x v="7"/>
    <m/>
    <m/>
    <m/>
    <m/>
    <m/>
    <m/>
    <m/>
    <m/>
    <m/>
    <m/>
    <m/>
    <m/>
    <m/>
    <m/>
    <m/>
    <m/>
    <m/>
    <m/>
    <m/>
    <m/>
    <m/>
    <m/>
    <m/>
    <m/>
    <m/>
    <m/>
    <m/>
    <m/>
    <m/>
    <m/>
    <m/>
    <m/>
    <m/>
    <m/>
    <m/>
    <n v="1"/>
    <m/>
    <m/>
    <m/>
    <m/>
    <m/>
    <m/>
    <m/>
    <m/>
    <m/>
    <m/>
    <m/>
    <m/>
    <m/>
    <m/>
    <m/>
    <m/>
    <m/>
    <m/>
    <m/>
    <m/>
    <m/>
    <m/>
    <m/>
    <m/>
  </r>
  <r>
    <x v="349"/>
    <n v="2005"/>
    <n v="6"/>
    <x v="18"/>
    <x v="8"/>
    <x v="0"/>
    <n v="3"/>
    <s v="2005_06_019.gif"/>
    <m/>
    <m/>
    <m/>
    <b v="0"/>
    <n v="0"/>
    <x v="0"/>
    <n v="350"/>
    <s v="Resistance of Wire"/>
    <n v="4680"/>
    <x v="7"/>
    <m/>
    <m/>
    <m/>
    <m/>
    <m/>
    <m/>
    <m/>
    <m/>
    <m/>
    <m/>
    <m/>
    <m/>
    <m/>
    <m/>
    <m/>
    <m/>
    <m/>
    <m/>
    <m/>
    <m/>
    <m/>
    <m/>
    <m/>
    <m/>
    <m/>
    <m/>
    <m/>
    <m/>
    <m/>
    <m/>
    <m/>
    <m/>
    <m/>
    <m/>
    <m/>
    <m/>
    <m/>
    <m/>
    <m/>
    <m/>
    <m/>
    <m/>
    <m/>
    <m/>
    <m/>
    <m/>
    <m/>
    <m/>
    <m/>
    <m/>
    <m/>
    <n v="1"/>
    <m/>
    <m/>
    <m/>
    <m/>
    <m/>
    <m/>
    <m/>
    <m/>
  </r>
  <r>
    <x v="350"/>
    <n v="2005"/>
    <n v="6"/>
    <x v="19"/>
    <x v="8"/>
    <x v="0"/>
    <n v="2"/>
    <s v="2005_06_020.gif"/>
    <m/>
    <m/>
    <m/>
    <b v="0"/>
    <n v="0"/>
    <x v="0"/>
    <n v="351"/>
    <s v="Ohm's Law"/>
    <n v="4681"/>
    <x v="7"/>
    <m/>
    <m/>
    <m/>
    <m/>
    <m/>
    <m/>
    <m/>
    <m/>
    <m/>
    <m/>
    <m/>
    <m/>
    <m/>
    <m/>
    <m/>
    <m/>
    <m/>
    <m/>
    <m/>
    <m/>
    <m/>
    <m/>
    <m/>
    <m/>
    <m/>
    <m/>
    <m/>
    <m/>
    <m/>
    <m/>
    <m/>
    <m/>
    <m/>
    <m/>
    <m/>
    <m/>
    <m/>
    <m/>
    <m/>
    <m/>
    <m/>
    <m/>
    <m/>
    <m/>
    <m/>
    <m/>
    <m/>
    <m/>
    <m/>
    <m/>
    <n v="1"/>
    <m/>
    <m/>
    <m/>
    <m/>
    <m/>
    <m/>
    <m/>
    <m/>
    <m/>
  </r>
  <r>
    <x v="351"/>
    <n v="2005"/>
    <n v="6"/>
    <x v="20"/>
    <x v="8"/>
    <x v="0"/>
    <n v="3"/>
    <s v="2005_06_021.gif"/>
    <m/>
    <m/>
    <m/>
    <b v="0"/>
    <n v="0"/>
    <x v="0"/>
    <n v="352"/>
    <s v="Electrical Power"/>
    <n v="4682"/>
    <x v="7"/>
    <m/>
    <m/>
    <m/>
    <m/>
    <m/>
    <m/>
    <m/>
    <m/>
    <m/>
    <m/>
    <m/>
    <m/>
    <m/>
    <m/>
    <m/>
    <m/>
    <m/>
    <m/>
    <m/>
    <m/>
    <m/>
    <m/>
    <m/>
    <m/>
    <m/>
    <m/>
    <m/>
    <m/>
    <m/>
    <m/>
    <m/>
    <m/>
    <m/>
    <m/>
    <m/>
    <m/>
    <m/>
    <m/>
    <m/>
    <m/>
    <m/>
    <m/>
    <m/>
    <m/>
    <m/>
    <m/>
    <m/>
    <m/>
    <m/>
    <n v="1"/>
    <m/>
    <m/>
    <m/>
    <m/>
    <m/>
    <m/>
    <m/>
    <m/>
    <m/>
    <m/>
  </r>
  <r>
    <x v="352"/>
    <n v="2005"/>
    <n v="6"/>
    <x v="21"/>
    <x v="8"/>
    <x v="0"/>
    <n v="2"/>
    <s v="2005_06_022.gif"/>
    <m/>
    <m/>
    <m/>
    <b v="0"/>
    <n v="0"/>
    <x v="0"/>
    <n v="353"/>
    <s v="Series and Parallel"/>
    <n v="4683"/>
    <x v="7"/>
    <m/>
    <m/>
    <m/>
    <m/>
    <m/>
    <m/>
    <m/>
    <m/>
    <m/>
    <m/>
    <m/>
    <m/>
    <m/>
    <m/>
    <m/>
    <m/>
    <m/>
    <m/>
    <m/>
    <m/>
    <m/>
    <m/>
    <m/>
    <m/>
    <m/>
    <m/>
    <m/>
    <m/>
    <m/>
    <m/>
    <m/>
    <m/>
    <m/>
    <m/>
    <m/>
    <m/>
    <m/>
    <m/>
    <m/>
    <m/>
    <m/>
    <m/>
    <m/>
    <m/>
    <m/>
    <m/>
    <m/>
    <m/>
    <m/>
    <m/>
    <m/>
    <m/>
    <n v="1"/>
    <m/>
    <m/>
    <m/>
    <m/>
    <m/>
    <m/>
    <m/>
  </r>
  <r>
    <x v="353"/>
    <n v="2005"/>
    <n v="6"/>
    <x v="22"/>
    <x v="8"/>
    <x v="0"/>
    <n v="4"/>
    <s v="2005_06_023.gif"/>
    <m/>
    <m/>
    <m/>
    <b v="0"/>
    <n v="0"/>
    <x v="0"/>
    <n v="354"/>
    <s v="Series and Parallel"/>
    <n v="4684"/>
    <x v="7"/>
    <m/>
    <m/>
    <m/>
    <m/>
    <m/>
    <m/>
    <m/>
    <m/>
    <m/>
    <m/>
    <m/>
    <m/>
    <m/>
    <m/>
    <m/>
    <m/>
    <m/>
    <m/>
    <m/>
    <m/>
    <m/>
    <m/>
    <m/>
    <m/>
    <m/>
    <m/>
    <m/>
    <m/>
    <m/>
    <m/>
    <m/>
    <m/>
    <m/>
    <m/>
    <m/>
    <m/>
    <m/>
    <m/>
    <m/>
    <m/>
    <m/>
    <m/>
    <m/>
    <m/>
    <m/>
    <m/>
    <m/>
    <m/>
    <m/>
    <m/>
    <m/>
    <m/>
    <n v="1"/>
    <m/>
    <m/>
    <m/>
    <m/>
    <m/>
    <m/>
    <m/>
  </r>
  <r>
    <x v="354"/>
    <n v="2005"/>
    <n v="6"/>
    <x v="23"/>
    <x v="7"/>
    <x v="0"/>
    <n v="3"/>
    <s v="2005_06_024.gif"/>
    <m/>
    <m/>
    <m/>
    <b v="0"/>
    <n v="0"/>
    <x v="0"/>
    <n v="355"/>
    <s v="Wave Vocabulary"/>
    <n v="4685"/>
    <x v="7"/>
    <m/>
    <m/>
    <m/>
    <m/>
    <m/>
    <m/>
    <m/>
    <m/>
    <m/>
    <m/>
    <m/>
    <m/>
    <m/>
    <m/>
    <m/>
    <m/>
    <m/>
    <m/>
    <m/>
    <m/>
    <m/>
    <m/>
    <m/>
    <m/>
    <m/>
    <m/>
    <m/>
    <m/>
    <m/>
    <m/>
    <m/>
    <m/>
    <m/>
    <m/>
    <m/>
    <m/>
    <m/>
    <m/>
    <m/>
    <n v="1"/>
    <m/>
    <m/>
    <m/>
    <m/>
    <m/>
    <m/>
    <m/>
    <m/>
    <m/>
    <m/>
    <m/>
    <m/>
    <m/>
    <m/>
    <m/>
    <m/>
    <m/>
    <m/>
    <m/>
    <m/>
  </r>
  <r>
    <x v="355"/>
    <n v="2005"/>
    <n v="6"/>
    <x v="24"/>
    <x v="9"/>
    <x v="0"/>
    <n v="1"/>
    <s v="2005_06_025.gif"/>
    <m/>
    <m/>
    <m/>
    <b v="0"/>
    <n v="0"/>
    <x v="0"/>
    <n v="356"/>
    <s v="Refraction and Snell's Law"/>
    <n v="4686"/>
    <x v="7"/>
    <m/>
    <m/>
    <m/>
    <m/>
    <m/>
    <m/>
    <m/>
    <m/>
    <m/>
    <m/>
    <m/>
    <m/>
    <m/>
    <m/>
    <m/>
    <m/>
    <m/>
    <m/>
    <m/>
    <m/>
    <m/>
    <m/>
    <m/>
    <m/>
    <m/>
    <m/>
    <m/>
    <m/>
    <m/>
    <m/>
    <m/>
    <m/>
    <m/>
    <m/>
    <m/>
    <m/>
    <m/>
    <m/>
    <m/>
    <m/>
    <m/>
    <m/>
    <m/>
    <n v="1"/>
    <m/>
    <m/>
    <m/>
    <m/>
    <m/>
    <m/>
    <m/>
    <m/>
    <m/>
    <m/>
    <m/>
    <m/>
    <m/>
    <m/>
    <m/>
    <m/>
  </r>
  <r>
    <x v="356"/>
    <n v="2005"/>
    <n v="6"/>
    <x v="25"/>
    <x v="9"/>
    <x v="0"/>
    <n v="2"/>
    <s v="2005_06_026.gif"/>
    <m/>
    <m/>
    <m/>
    <b v="0"/>
    <n v="0"/>
    <x v="0"/>
    <n v="357"/>
    <s v="Refraction and Snell's Law"/>
    <n v="4687"/>
    <x v="7"/>
    <m/>
    <m/>
    <m/>
    <m/>
    <m/>
    <m/>
    <m/>
    <m/>
    <m/>
    <m/>
    <m/>
    <m/>
    <m/>
    <m/>
    <m/>
    <m/>
    <m/>
    <m/>
    <m/>
    <m/>
    <m/>
    <m/>
    <m/>
    <m/>
    <m/>
    <m/>
    <m/>
    <m/>
    <m/>
    <m/>
    <m/>
    <m/>
    <m/>
    <m/>
    <m/>
    <m/>
    <m/>
    <m/>
    <m/>
    <m/>
    <m/>
    <m/>
    <m/>
    <n v="1"/>
    <m/>
    <m/>
    <m/>
    <m/>
    <m/>
    <m/>
    <m/>
    <m/>
    <m/>
    <m/>
    <m/>
    <m/>
    <m/>
    <m/>
    <m/>
    <m/>
  </r>
  <r>
    <x v="357"/>
    <n v="2005"/>
    <n v="6"/>
    <x v="26"/>
    <x v="9"/>
    <x v="0"/>
    <n v="1"/>
    <s v="2005_06_027.gif"/>
    <m/>
    <m/>
    <m/>
    <b v="0"/>
    <n v="0"/>
    <x v="0"/>
    <n v="358"/>
    <s v="Light and Sound"/>
    <n v="4688"/>
    <x v="7"/>
    <m/>
    <m/>
    <m/>
    <m/>
    <m/>
    <m/>
    <m/>
    <m/>
    <m/>
    <m/>
    <m/>
    <m/>
    <m/>
    <m/>
    <m/>
    <m/>
    <m/>
    <m/>
    <m/>
    <m/>
    <m/>
    <m/>
    <m/>
    <m/>
    <m/>
    <m/>
    <m/>
    <m/>
    <m/>
    <m/>
    <m/>
    <m/>
    <m/>
    <m/>
    <m/>
    <m/>
    <m/>
    <m/>
    <m/>
    <m/>
    <m/>
    <m/>
    <n v="1"/>
    <m/>
    <m/>
    <m/>
    <m/>
    <m/>
    <m/>
    <m/>
    <m/>
    <m/>
    <m/>
    <m/>
    <m/>
    <m/>
    <m/>
    <m/>
    <m/>
    <m/>
  </r>
  <r>
    <x v="358"/>
    <n v="2005"/>
    <n v="6"/>
    <x v="27"/>
    <x v="7"/>
    <x v="0"/>
    <n v="1"/>
    <s v="2005_06_028.gif"/>
    <m/>
    <m/>
    <m/>
    <b v="0"/>
    <n v="0"/>
    <x v="0"/>
    <n v="359"/>
    <s v="Wave Vocabulary"/>
    <n v="4689"/>
    <x v="7"/>
    <m/>
    <m/>
    <m/>
    <m/>
    <m/>
    <m/>
    <m/>
    <m/>
    <m/>
    <m/>
    <m/>
    <m/>
    <m/>
    <m/>
    <m/>
    <m/>
    <m/>
    <m/>
    <m/>
    <m/>
    <m/>
    <m/>
    <m/>
    <m/>
    <m/>
    <m/>
    <m/>
    <m/>
    <m/>
    <m/>
    <m/>
    <m/>
    <m/>
    <m/>
    <m/>
    <m/>
    <m/>
    <m/>
    <m/>
    <n v="1"/>
    <m/>
    <m/>
    <m/>
    <m/>
    <m/>
    <m/>
    <m/>
    <m/>
    <m/>
    <m/>
    <m/>
    <m/>
    <m/>
    <m/>
    <m/>
    <m/>
    <m/>
    <m/>
    <m/>
    <m/>
  </r>
  <r>
    <x v="359"/>
    <n v="2005"/>
    <n v="6"/>
    <x v="28"/>
    <x v="7"/>
    <x v="2"/>
    <n v="2"/>
    <s v="2005_06_029.gif"/>
    <m/>
    <m/>
    <m/>
    <b v="0"/>
    <n v="0"/>
    <x v="0"/>
    <n v="360"/>
    <s v="V=FxLamda,Mathematical Relationships (Numberless Problems)"/>
    <n v="4690"/>
    <x v="7"/>
    <m/>
    <m/>
    <m/>
    <m/>
    <m/>
    <m/>
    <m/>
    <m/>
    <m/>
    <m/>
    <m/>
    <m/>
    <m/>
    <m/>
    <m/>
    <m/>
    <m/>
    <m/>
    <m/>
    <m/>
    <m/>
    <m/>
    <m/>
    <m/>
    <m/>
    <m/>
    <m/>
    <m/>
    <m/>
    <m/>
    <m/>
    <m/>
    <m/>
    <m/>
    <m/>
    <m/>
    <m/>
    <m/>
    <n v="1"/>
    <m/>
    <m/>
    <m/>
    <m/>
    <m/>
    <m/>
    <m/>
    <m/>
    <m/>
    <m/>
    <m/>
    <m/>
    <m/>
    <m/>
    <m/>
    <m/>
    <m/>
    <m/>
    <m/>
    <n v="1"/>
    <m/>
  </r>
  <r>
    <x v="360"/>
    <n v="2005"/>
    <n v="6"/>
    <x v="29"/>
    <x v="9"/>
    <x v="0"/>
    <n v="4"/>
    <s v="2005_06_030.gif"/>
    <m/>
    <m/>
    <m/>
    <b v="0"/>
    <n v="0"/>
    <x v="0"/>
    <n v="361"/>
    <s v="Diffraction,Light and Sound"/>
    <n v="4691"/>
    <x v="7"/>
    <m/>
    <m/>
    <m/>
    <m/>
    <m/>
    <m/>
    <m/>
    <m/>
    <m/>
    <m/>
    <m/>
    <m/>
    <m/>
    <m/>
    <m/>
    <m/>
    <m/>
    <m/>
    <m/>
    <m/>
    <m/>
    <m/>
    <m/>
    <m/>
    <m/>
    <m/>
    <m/>
    <m/>
    <m/>
    <m/>
    <m/>
    <m/>
    <m/>
    <m/>
    <m/>
    <m/>
    <m/>
    <m/>
    <m/>
    <m/>
    <n v="1"/>
    <m/>
    <n v="1"/>
    <m/>
    <m/>
    <m/>
    <m/>
    <m/>
    <m/>
    <m/>
    <m/>
    <m/>
    <m/>
    <m/>
    <m/>
    <m/>
    <m/>
    <m/>
    <m/>
    <m/>
  </r>
  <r>
    <x v="361"/>
    <n v="2005"/>
    <n v="6"/>
    <x v="30"/>
    <x v="6"/>
    <x v="0"/>
    <n v="3"/>
    <s v="2005_06_031.gif"/>
    <m/>
    <m/>
    <m/>
    <b v="0"/>
    <n v="0"/>
    <x v="0"/>
    <n v="362"/>
    <s v="Conservation of Charge"/>
    <n v="4692"/>
    <x v="7"/>
    <m/>
    <m/>
    <m/>
    <m/>
    <m/>
    <m/>
    <m/>
    <m/>
    <m/>
    <m/>
    <m/>
    <m/>
    <m/>
    <m/>
    <m/>
    <m/>
    <m/>
    <m/>
    <m/>
    <m/>
    <m/>
    <m/>
    <m/>
    <m/>
    <m/>
    <m/>
    <m/>
    <m/>
    <m/>
    <m/>
    <m/>
    <m/>
    <m/>
    <m/>
    <m/>
    <m/>
    <m/>
    <m/>
    <m/>
    <m/>
    <m/>
    <m/>
    <m/>
    <m/>
    <n v="1"/>
    <m/>
    <m/>
    <m/>
    <m/>
    <m/>
    <m/>
    <m/>
    <m/>
    <m/>
    <m/>
    <m/>
    <m/>
    <m/>
    <m/>
    <m/>
  </r>
  <r>
    <x v="362"/>
    <n v="2005"/>
    <n v="6"/>
    <x v="31"/>
    <x v="10"/>
    <x v="0"/>
    <n v="3"/>
    <s v="2005_06_032.gif"/>
    <m/>
    <m/>
    <m/>
    <b v="0"/>
    <n v="0"/>
    <x v="0"/>
    <n v="363"/>
    <s v="Energy/Frequency of Photon"/>
    <n v="4693"/>
    <x v="7"/>
    <m/>
    <m/>
    <m/>
    <m/>
    <m/>
    <m/>
    <m/>
    <m/>
    <m/>
    <m/>
    <m/>
    <m/>
    <m/>
    <m/>
    <m/>
    <m/>
    <m/>
    <m/>
    <m/>
    <m/>
    <m/>
    <m/>
    <m/>
    <m/>
    <m/>
    <m/>
    <m/>
    <m/>
    <m/>
    <m/>
    <m/>
    <m/>
    <m/>
    <m/>
    <m/>
    <m/>
    <m/>
    <m/>
    <m/>
    <m/>
    <m/>
    <m/>
    <m/>
    <m/>
    <m/>
    <m/>
    <m/>
    <m/>
    <m/>
    <m/>
    <m/>
    <m/>
    <m/>
    <m/>
    <n v="1"/>
    <m/>
    <m/>
    <m/>
    <m/>
    <m/>
  </r>
  <r>
    <x v="363"/>
    <n v="2005"/>
    <n v="6"/>
    <x v="32"/>
    <x v="10"/>
    <x v="0"/>
    <n v="4"/>
    <s v="2005_06_033.gif"/>
    <m/>
    <m/>
    <m/>
    <b v="0"/>
    <n v="0"/>
    <x v="0"/>
    <n v="364"/>
    <s v="Particle Physics"/>
    <n v="4694"/>
    <x v="7"/>
    <m/>
    <m/>
    <m/>
    <m/>
    <m/>
    <m/>
    <m/>
    <m/>
    <m/>
    <m/>
    <m/>
    <m/>
    <m/>
    <m/>
    <m/>
    <m/>
    <m/>
    <m/>
    <m/>
    <m/>
    <m/>
    <m/>
    <m/>
    <m/>
    <m/>
    <m/>
    <m/>
    <m/>
    <m/>
    <m/>
    <m/>
    <m/>
    <m/>
    <m/>
    <m/>
    <m/>
    <m/>
    <m/>
    <m/>
    <m/>
    <m/>
    <m/>
    <m/>
    <m/>
    <m/>
    <m/>
    <m/>
    <m/>
    <m/>
    <m/>
    <m/>
    <m/>
    <m/>
    <m/>
    <m/>
    <m/>
    <n v="1"/>
    <m/>
    <m/>
    <m/>
  </r>
  <r>
    <x v="364"/>
    <n v="2005"/>
    <n v="6"/>
    <x v="33"/>
    <x v="10"/>
    <x v="0"/>
    <n v="1"/>
    <s v="2005_06_034.gif"/>
    <m/>
    <m/>
    <m/>
    <b v="0"/>
    <n v="0"/>
    <x v="0"/>
    <n v="365"/>
    <s v="Particle Physics"/>
    <n v="4695"/>
    <x v="7"/>
    <m/>
    <m/>
    <m/>
    <m/>
    <m/>
    <m/>
    <m/>
    <m/>
    <m/>
    <m/>
    <m/>
    <m/>
    <m/>
    <m/>
    <m/>
    <m/>
    <m/>
    <m/>
    <m/>
    <m/>
    <m/>
    <m/>
    <m/>
    <m/>
    <m/>
    <m/>
    <m/>
    <m/>
    <m/>
    <m/>
    <m/>
    <m/>
    <m/>
    <m/>
    <m/>
    <m/>
    <m/>
    <m/>
    <m/>
    <m/>
    <m/>
    <m/>
    <m/>
    <m/>
    <m/>
    <m/>
    <m/>
    <m/>
    <m/>
    <m/>
    <m/>
    <m/>
    <m/>
    <m/>
    <m/>
    <m/>
    <n v="1"/>
    <m/>
    <m/>
    <m/>
  </r>
  <r>
    <x v="365"/>
    <n v="2005"/>
    <n v="6"/>
    <x v="34"/>
    <x v="10"/>
    <x v="0"/>
    <n v="2"/>
    <s v="2005_06_035.gif"/>
    <m/>
    <m/>
    <m/>
    <b v="0"/>
    <n v="0"/>
    <x v="0"/>
    <n v="366"/>
    <s v="Particle Physics"/>
    <n v="4696"/>
    <x v="7"/>
    <m/>
    <m/>
    <m/>
    <m/>
    <m/>
    <m/>
    <m/>
    <m/>
    <m/>
    <m/>
    <m/>
    <m/>
    <m/>
    <m/>
    <m/>
    <m/>
    <m/>
    <m/>
    <m/>
    <m/>
    <m/>
    <m/>
    <m/>
    <m/>
    <m/>
    <m/>
    <m/>
    <m/>
    <m/>
    <m/>
    <m/>
    <m/>
    <m/>
    <m/>
    <m/>
    <m/>
    <m/>
    <m/>
    <m/>
    <m/>
    <m/>
    <m/>
    <m/>
    <m/>
    <m/>
    <m/>
    <m/>
    <m/>
    <m/>
    <m/>
    <m/>
    <m/>
    <m/>
    <m/>
    <m/>
    <m/>
    <n v="1"/>
    <m/>
    <m/>
    <m/>
  </r>
  <r>
    <x v="366"/>
    <n v="2005"/>
    <n v="6"/>
    <x v="35"/>
    <x v="11"/>
    <x v="0"/>
    <n v="2"/>
    <s v="2005_06_036.gif"/>
    <m/>
    <m/>
    <m/>
    <b v="0"/>
    <n v="0"/>
    <x v="1"/>
    <n v="367"/>
    <s v="Estimation"/>
    <n v="4697"/>
    <x v="7"/>
    <m/>
    <m/>
    <n v="1"/>
    <m/>
    <m/>
    <m/>
    <m/>
    <m/>
    <m/>
    <m/>
    <m/>
    <m/>
    <m/>
    <m/>
    <m/>
    <m/>
    <m/>
    <m/>
    <m/>
    <m/>
    <m/>
    <m/>
    <m/>
    <m/>
    <m/>
    <m/>
    <m/>
    <m/>
    <m/>
    <m/>
    <m/>
    <m/>
    <m/>
    <m/>
    <m/>
    <m/>
    <m/>
    <m/>
    <m/>
    <m/>
    <m/>
    <m/>
    <m/>
    <m/>
    <m/>
    <m/>
    <m/>
    <m/>
    <m/>
    <m/>
    <m/>
    <m/>
    <m/>
    <m/>
    <m/>
    <m/>
    <m/>
    <m/>
    <m/>
    <m/>
  </r>
  <r>
    <x v="367"/>
    <n v="2005"/>
    <n v="6"/>
    <x v="36"/>
    <x v="11"/>
    <x v="0"/>
    <n v="4"/>
    <s v="2005_06_037.gif"/>
    <m/>
    <m/>
    <m/>
    <b v="0"/>
    <n v="0"/>
    <x v="1"/>
    <n v="368"/>
    <s v="Units"/>
    <n v="4698"/>
    <x v="7"/>
    <m/>
    <m/>
    <m/>
    <n v="1"/>
    <m/>
    <m/>
    <m/>
    <m/>
    <m/>
    <m/>
    <m/>
    <m/>
    <m/>
    <m/>
    <m/>
    <m/>
    <m/>
    <m/>
    <m/>
    <m/>
    <m/>
    <m/>
    <m/>
    <m/>
    <m/>
    <m/>
    <m/>
    <m/>
    <m/>
    <m/>
    <m/>
    <m/>
    <m/>
    <m/>
    <m/>
    <m/>
    <m/>
    <m/>
    <m/>
    <m/>
    <m/>
    <m/>
    <m/>
    <m/>
    <m/>
    <m/>
    <m/>
    <m/>
    <m/>
    <m/>
    <m/>
    <m/>
    <m/>
    <m/>
    <m/>
    <m/>
    <m/>
    <m/>
    <m/>
    <m/>
  </r>
  <r>
    <x v="368"/>
    <n v="2005"/>
    <n v="6"/>
    <x v="37"/>
    <x v="3"/>
    <x v="2"/>
    <n v="2"/>
    <s v="2005_06_038.gif"/>
    <m/>
    <m/>
    <m/>
    <b v="0"/>
    <n v="0"/>
    <x v="1"/>
    <n v="369"/>
    <s v="Centripetal Motion - Calculation,Graph Interpretation"/>
    <n v="4699"/>
    <x v="7"/>
    <m/>
    <m/>
    <m/>
    <m/>
    <m/>
    <m/>
    <m/>
    <m/>
    <m/>
    <m/>
    <m/>
    <m/>
    <m/>
    <m/>
    <m/>
    <m/>
    <m/>
    <m/>
    <m/>
    <m/>
    <n v="1"/>
    <m/>
    <m/>
    <m/>
    <m/>
    <m/>
    <m/>
    <m/>
    <m/>
    <m/>
    <m/>
    <m/>
    <m/>
    <m/>
    <m/>
    <m/>
    <m/>
    <m/>
    <m/>
    <m/>
    <m/>
    <m/>
    <m/>
    <m/>
    <m/>
    <m/>
    <m/>
    <m/>
    <m/>
    <m/>
    <m/>
    <m/>
    <m/>
    <m/>
    <m/>
    <m/>
    <m/>
    <n v="1"/>
    <m/>
    <m/>
  </r>
  <r>
    <x v="369"/>
    <n v="2005"/>
    <n v="6"/>
    <x v="38"/>
    <x v="5"/>
    <x v="0"/>
    <n v="1"/>
    <s v="2005_06_039.gif"/>
    <m/>
    <m/>
    <m/>
    <b v="0"/>
    <n v="0"/>
    <x v="1"/>
    <n v="370"/>
    <s v="PE of Spring"/>
    <n v="4700"/>
    <x v="7"/>
    <m/>
    <m/>
    <m/>
    <m/>
    <m/>
    <m/>
    <m/>
    <m/>
    <m/>
    <m/>
    <m/>
    <m/>
    <m/>
    <m/>
    <m/>
    <m/>
    <m/>
    <m/>
    <m/>
    <m/>
    <m/>
    <m/>
    <m/>
    <m/>
    <m/>
    <m/>
    <m/>
    <m/>
    <m/>
    <m/>
    <m/>
    <m/>
    <m/>
    <m/>
    <n v="1"/>
    <m/>
    <m/>
    <m/>
    <m/>
    <m/>
    <m/>
    <m/>
    <m/>
    <m/>
    <m/>
    <m/>
    <m/>
    <m/>
    <m/>
    <m/>
    <m/>
    <m/>
    <m/>
    <m/>
    <m/>
    <m/>
    <m/>
    <m/>
    <m/>
    <m/>
  </r>
  <r>
    <x v="370"/>
    <n v="2005"/>
    <n v="6"/>
    <x v="39"/>
    <x v="8"/>
    <x v="0"/>
    <n v="3"/>
    <s v="2005_06_040.gif"/>
    <m/>
    <m/>
    <m/>
    <b v="0"/>
    <n v="0"/>
    <x v="1"/>
    <n v="371"/>
    <s v="Electrical Definitions"/>
    <n v="4701"/>
    <x v="7"/>
    <m/>
    <m/>
    <m/>
    <m/>
    <m/>
    <m/>
    <m/>
    <m/>
    <m/>
    <m/>
    <m/>
    <m/>
    <m/>
    <m/>
    <m/>
    <m/>
    <m/>
    <m/>
    <m/>
    <m/>
    <m/>
    <m/>
    <m/>
    <m/>
    <m/>
    <m/>
    <m/>
    <m/>
    <m/>
    <m/>
    <m/>
    <m/>
    <m/>
    <m/>
    <m/>
    <m/>
    <m/>
    <m/>
    <m/>
    <m/>
    <m/>
    <m/>
    <m/>
    <m/>
    <m/>
    <m/>
    <m/>
    <m/>
    <n v="1"/>
    <m/>
    <m/>
    <m/>
    <m/>
    <m/>
    <m/>
    <m/>
    <m/>
    <m/>
    <m/>
    <m/>
  </r>
  <r>
    <x v="371"/>
    <n v="2005"/>
    <n v="6"/>
    <x v="40"/>
    <x v="8"/>
    <x v="0"/>
    <n v="2"/>
    <s v="2005_06_041.gif"/>
    <m/>
    <m/>
    <m/>
    <b v="0"/>
    <n v="0"/>
    <x v="1"/>
    <n v="372"/>
    <s v="Ohm's Law"/>
    <n v="4702"/>
    <x v="7"/>
    <m/>
    <m/>
    <m/>
    <m/>
    <m/>
    <m/>
    <m/>
    <m/>
    <m/>
    <m/>
    <m/>
    <m/>
    <m/>
    <m/>
    <m/>
    <m/>
    <m/>
    <m/>
    <m/>
    <m/>
    <m/>
    <m/>
    <m/>
    <m/>
    <m/>
    <m/>
    <m/>
    <m/>
    <m/>
    <m/>
    <m/>
    <m/>
    <m/>
    <m/>
    <m/>
    <m/>
    <m/>
    <m/>
    <m/>
    <m/>
    <m/>
    <m/>
    <m/>
    <m/>
    <m/>
    <m/>
    <m/>
    <m/>
    <m/>
    <m/>
    <n v="1"/>
    <m/>
    <m/>
    <m/>
    <m/>
    <m/>
    <m/>
    <m/>
    <m/>
    <m/>
  </r>
  <r>
    <x v="372"/>
    <n v="2005"/>
    <n v="6"/>
    <x v="41"/>
    <x v="7"/>
    <x v="12"/>
    <n v="1"/>
    <s v="2005_06_042.gif"/>
    <m/>
    <m/>
    <m/>
    <b v="0"/>
    <n v="0"/>
    <x v="1"/>
    <n v="373"/>
    <s v="Wave Vocabulary,Light and Sound"/>
    <n v="4703"/>
    <x v="7"/>
    <m/>
    <m/>
    <m/>
    <m/>
    <m/>
    <m/>
    <m/>
    <m/>
    <m/>
    <m/>
    <m/>
    <m/>
    <m/>
    <m/>
    <m/>
    <m/>
    <m/>
    <m/>
    <m/>
    <m/>
    <m/>
    <m/>
    <m/>
    <m/>
    <m/>
    <m/>
    <m/>
    <m/>
    <m/>
    <m/>
    <m/>
    <m/>
    <m/>
    <m/>
    <m/>
    <m/>
    <m/>
    <m/>
    <m/>
    <n v="1"/>
    <m/>
    <m/>
    <n v="1"/>
    <m/>
    <m/>
    <m/>
    <m/>
    <m/>
    <m/>
    <m/>
    <m/>
    <m/>
    <m/>
    <m/>
    <m/>
    <m/>
    <m/>
    <m/>
    <m/>
    <m/>
  </r>
  <r>
    <x v="373"/>
    <n v="2005"/>
    <n v="6"/>
    <x v="42"/>
    <x v="10"/>
    <x v="0"/>
    <n v="3"/>
    <s v="2005_06_043.gif"/>
    <m/>
    <m/>
    <m/>
    <b v="0"/>
    <n v="0"/>
    <x v="1"/>
    <n v="374"/>
    <s v="Energy/Frequency of Photon"/>
    <n v="4704"/>
    <x v="7"/>
    <m/>
    <m/>
    <m/>
    <m/>
    <m/>
    <m/>
    <m/>
    <m/>
    <m/>
    <m/>
    <m/>
    <m/>
    <m/>
    <m/>
    <m/>
    <m/>
    <m/>
    <m/>
    <m/>
    <m/>
    <m/>
    <m/>
    <m/>
    <m/>
    <m/>
    <m/>
    <m/>
    <m/>
    <m/>
    <m/>
    <m/>
    <m/>
    <m/>
    <m/>
    <m/>
    <m/>
    <m/>
    <m/>
    <m/>
    <m/>
    <m/>
    <m/>
    <m/>
    <m/>
    <m/>
    <m/>
    <m/>
    <m/>
    <m/>
    <m/>
    <m/>
    <m/>
    <m/>
    <m/>
    <n v="1"/>
    <m/>
    <m/>
    <m/>
    <m/>
    <m/>
  </r>
  <r>
    <x v="374"/>
    <n v="2005"/>
    <n v="6"/>
    <x v="43"/>
    <x v="8"/>
    <x v="2"/>
    <n v="3"/>
    <s v="2005_06_044.gif"/>
    <m/>
    <m/>
    <m/>
    <b v="0"/>
    <n v="0"/>
    <x v="1"/>
    <n v="375"/>
    <s v="Ohm's Law,Graph Interpretation"/>
    <n v="4705"/>
    <x v="7"/>
    <m/>
    <m/>
    <m/>
    <m/>
    <m/>
    <m/>
    <m/>
    <m/>
    <m/>
    <m/>
    <m/>
    <m/>
    <m/>
    <m/>
    <m/>
    <m/>
    <m/>
    <m/>
    <m/>
    <m/>
    <m/>
    <m/>
    <m/>
    <m/>
    <m/>
    <m/>
    <m/>
    <m/>
    <m/>
    <m/>
    <m/>
    <m/>
    <m/>
    <m/>
    <m/>
    <m/>
    <m/>
    <m/>
    <m/>
    <m/>
    <m/>
    <m/>
    <m/>
    <m/>
    <m/>
    <m/>
    <m/>
    <m/>
    <m/>
    <m/>
    <n v="1"/>
    <m/>
    <m/>
    <m/>
    <m/>
    <m/>
    <m/>
    <n v="1"/>
    <m/>
    <m/>
  </r>
  <r>
    <x v="375"/>
    <n v="2005"/>
    <n v="6"/>
    <x v="44"/>
    <x v="1"/>
    <x v="0"/>
    <n v="4"/>
    <s v="2005_06_045.gif"/>
    <m/>
    <m/>
    <m/>
    <b v="0"/>
    <n v="0"/>
    <x v="1"/>
    <n v="376"/>
    <s v="Inclined Plane"/>
    <n v="4706"/>
    <x v="7"/>
    <m/>
    <m/>
    <m/>
    <m/>
    <m/>
    <m/>
    <m/>
    <m/>
    <m/>
    <m/>
    <m/>
    <m/>
    <m/>
    <m/>
    <m/>
    <m/>
    <m/>
    <m/>
    <m/>
    <m/>
    <m/>
    <m/>
    <n v="1"/>
    <m/>
    <m/>
    <m/>
    <m/>
    <m/>
    <m/>
    <m/>
    <m/>
    <m/>
    <m/>
    <m/>
    <m/>
    <m/>
    <m/>
    <m/>
    <m/>
    <m/>
    <m/>
    <m/>
    <m/>
    <m/>
    <m/>
    <m/>
    <m/>
    <m/>
    <m/>
    <m/>
    <m/>
    <m/>
    <m/>
    <m/>
    <m/>
    <m/>
    <m/>
    <m/>
    <m/>
    <m/>
  </r>
  <r>
    <x v="376"/>
    <n v="2005"/>
    <n v="6"/>
    <x v="45"/>
    <x v="3"/>
    <x v="0"/>
    <n v="1"/>
    <s v="2005_06_046.gif"/>
    <m/>
    <m/>
    <m/>
    <b v="0"/>
    <n v="0"/>
    <x v="1"/>
    <n v="377"/>
    <s v="Centripetal Motion - Direction F,A,V"/>
    <n v="4707"/>
    <x v="7"/>
    <m/>
    <m/>
    <m/>
    <m/>
    <m/>
    <m/>
    <m/>
    <m/>
    <m/>
    <m/>
    <m/>
    <m/>
    <m/>
    <m/>
    <m/>
    <m/>
    <m/>
    <m/>
    <m/>
    <n v="1"/>
    <m/>
    <m/>
    <m/>
    <m/>
    <m/>
    <m/>
    <m/>
    <m/>
    <m/>
    <m/>
    <m/>
    <m/>
    <m/>
    <m/>
    <m/>
    <m/>
    <m/>
    <m/>
    <m/>
    <m/>
    <m/>
    <m/>
    <m/>
    <m/>
    <m/>
    <m/>
    <m/>
    <m/>
    <m/>
    <m/>
    <m/>
    <m/>
    <m/>
    <m/>
    <m/>
    <m/>
    <m/>
    <m/>
    <m/>
    <m/>
  </r>
  <r>
    <x v="377"/>
    <n v="2005"/>
    <n v="6"/>
    <x v="46"/>
    <x v="6"/>
    <x v="2"/>
    <n v="4"/>
    <s v="2005_06_047.gif"/>
    <m/>
    <m/>
    <m/>
    <b v="0"/>
    <n v="0"/>
    <x v="1"/>
    <n v="378"/>
    <s v="Coulomb's Law,Graph Interpretation"/>
    <n v="4708"/>
    <x v="7"/>
    <m/>
    <m/>
    <m/>
    <m/>
    <m/>
    <m/>
    <m/>
    <m/>
    <m/>
    <m/>
    <m/>
    <m/>
    <m/>
    <m/>
    <m/>
    <m/>
    <m/>
    <m/>
    <m/>
    <m/>
    <m/>
    <m/>
    <m/>
    <m/>
    <m/>
    <m/>
    <m/>
    <m/>
    <m/>
    <m/>
    <m/>
    <m/>
    <m/>
    <m/>
    <m/>
    <m/>
    <m/>
    <m/>
    <m/>
    <m/>
    <m/>
    <m/>
    <m/>
    <m/>
    <m/>
    <n v="1"/>
    <m/>
    <m/>
    <m/>
    <m/>
    <m/>
    <m/>
    <m/>
    <m/>
    <m/>
    <m/>
    <m/>
    <n v="1"/>
    <m/>
    <m/>
  </r>
  <r>
    <x v="378"/>
    <n v="2006"/>
    <n v="1"/>
    <x v="0"/>
    <x v="2"/>
    <x v="0"/>
    <n v="2"/>
    <s v="2006_01_001.gif"/>
    <m/>
    <m/>
    <m/>
    <b v="0"/>
    <n v="0"/>
    <x v="0"/>
    <n v="379"/>
    <s v="Horizontal Constant Acceleration Problems"/>
    <n v="4734"/>
    <x v="8"/>
    <m/>
    <m/>
    <m/>
    <m/>
    <m/>
    <m/>
    <m/>
    <m/>
    <m/>
    <n v="1"/>
    <m/>
    <m/>
    <m/>
    <m/>
    <m/>
    <m/>
    <m/>
    <m/>
    <m/>
    <m/>
    <m/>
    <m/>
    <m/>
    <m/>
    <m/>
    <m/>
    <m/>
    <m/>
    <m/>
    <m/>
    <m/>
    <m/>
    <m/>
    <m/>
    <m/>
    <m/>
    <m/>
    <m/>
    <m/>
    <m/>
    <m/>
    <m/>
    <m/>
    <m/>
    <m/>
    <m/>
    <m/>
    <m/>
    <m/>
    <m/>
    <m/>
    <m/>
    <m/>
    <m/>
    <m/>
    <m/>
    <m/>
    <m/>
    <m/>
    <m/>
  </r>
  <r>
    <x v="379"/>
    <n v="2006"/>
    <n v="1"/>
    <x v="1"/>
    <x v="2"/>
    <x v="0"/>
    <n v="1"/>
    <s v="2006_01_002.gif"/>
    <m/>
    <m/>
    <m/>
    <b v="0"/>
    <n v="0"/>
    <x v="0"/>
    <n v="380"/>
    <s v="Vertical Constant Acceleration Problems"/>
    <n v="4735"/>
    <x v="8"/>
    <m/>
    <m/>
    <m/>
    <m/>
    <m/>
    <m/>
    <m/>
    <m/>
    <m/>
    <m/>
    <n v="1"/>
    <m/>
    <m/>
    <m/>
    <m/>
    <m/>
    <m/>
    <m/>
    <m/>
    <m/>
    <m/>
    <m/>
    <m/>
    <m/>
    <m/>
    <m/>
    <m/>
    <m/>
    <m/>
    <m/>
    <m/>
    <m/>
    <m/>
    <m/>
    <m/>
    <m/>
    <m/>
    <m/>
    <m/>
    <m/>
    <m/>
    <m/>
    <m/>
    <m/>
    <m/>
    <m/>
    <m/>
    <m/>
    <m/>
    <m/>
    <m/>
    <m/>
    <m/>
    <m/>
    <m/>
    <m/>
    <m/>
    <m/>
    <m/>
    <m/>
  </r>
  <r>
    <x v="380"/>
    <n v="2006"/>
    <n v="1"/>
    <x v="2"/>
    <x v="0"/>
    <x v="0"/>
    <n v="3"/>
    <s v="2006_01_003.gif"/>
    <m/>
    <m/>
    <m/>
    <b v="0"/>
    <n v="0"/>
    <x v="0"/>
    <n v="381"/>
    <s v="Vector vs. Scalar"/>
    <n v="4736"/>
    <x v="8"/>
    <m/>
    <m/>
    <m/>
    <m/>
    <m/>
    <m/>
    <m/>
    <m/>
    <m/>
    <m/>
    <m/>
    <m/>
    <m/>
    <n v="1"/>
    <m/>
    <m/>
    <m/>
    <m/>
    <m/>
    <m/>
    <m/>
    <m/>
    <m/>
    <m/>
    <m/>
    <m/>
    <m/>
    <m/>
    <m/>
    <m/>
    <m/>
    <m/>
    <m/>
    <m/>
    <m/>
    <m/>
    <m/>
    <m/>
    <m/>
    <m/>
    <m/>
    <m/>
    <m/>
    <m/>
    <m/>
    <m/>
    <m/>
    <m/>
    <m/>
    <m/>
    <m/>
    <m/>
    <m/>
    <m/>
    <m/>
    <m/>
    <m/>
    <m/>
    <m/>
    <m/>
  </r>
  <r>
    <x v="381"/>
    <n v="2006"/>
    <n v="1"/>
    <x v="3"/>
    <x v="0"/>
    <x v="9"/>
    <n v="3"/>
    <s v="2006_01_004.gif"/>
    <m/>
    <m/>
    <m/>
    <b v="0"/>
    <n v="0"/>
    <x v="0"/>
    <n v="382"/>
    <s v="Vector Components,Projectiles at an Angle"/>
    <n v="4737"/>
    <x v="8"/>
    <m/>
    <m/>
    <m/>
    <m/>
    <m/>
    <m/>
    <m/>
    <m/>
    <m/>
    <m/>
    <m/>
    <m/>
    <n v="1"/>
    <m/>
    <m/>
    <n v="1"/>
    <m/>
    <m/>
    <m/>
    <m/>
    <m/>
    <m/>
    <m/>
    <m/>
    <m/>
    <m/>
    <m/>
    <m/>
    <m/>
    <m/>
    <m/>
    <m/>
    <m/>
    <m/>
    <m/>
    <m/>
    <m/>
    <m/>
    <m/>
    <m/>
    <m/>
    <m/>
    <m/>
    <m/>
    <m/>
    <m/>
    <m/>
    <m/>
    <m/>
    <m/>
    <m/>
    <m/>
    <m/>
    <m/>
    <m/>
    <m/>
    <m/>
    <m/>
    <m/>
    <m/>
  </r>
  <r>
    <x v="382"/>
    <n v="2006"/>
    <n v="1"/>
    <x v="4"/>
    <x v="4"/>
    <x v="0"/>
    <n v="2"/>
    <s v="2006_01_005.gif"/>
    <m/>
    <m/>
    <m/>
    <b v="0"/>
    <n v="0"/>
    <x v="0"/>
    <n v="383"/>
    <s v="Impulse"/>
    <n v="4738"/>
    <x v="8"/>
    <m/>
    <m/>
    <m/>
    <m/>
    <m/>
    <m/>
    <m/>
    <m/>
    <m/>
    <m/>
    <m/>
    <m/>
    <m/>
    <m/>
    <m/>
    <m/>
    <m/>
    <m/>
    <m/>
    <m/>
    <m/>
    <m/>
    <m/>
    <m/>
    <m/>
    <m/>
    <m/>
    <m/>
    <m/>
    <n v="1"/>
    <m/>
    <m/>
    <m/>
    <m/>
    <m/>
    <m/>
    <m/>
    <m/>
    <m/>
    <m/>
    <m/>
    <m/>
    <m/>
    <m/>
    <m/>
    <m/>
    <m/>
    <m/>
    <m/>
    <m/>
    <m/>
    <m/>
    <m/>
    <m/>
    <m/>
    <m/>
    <m/>
    <m/>
    <m/>
    <m/>
  </r>
  <r>
    <x v="383"/>
    <n v="2006"/>
    <n v="1"/>
    <x v="5"/>
    <x v="1"/>
    <x v="0"/>
    <n v="3"/>
    <s v="2006_01_006.gif"/>
    <m/>
    <m/>
    <m/>
    <b v="0"/>
    <n v="0"/>
    <x v="0"/>
    <n v="384"/>
    <s v="Weight and Mass"/>
    <n v="4739"/>
    <x v="8"/>
    <m/>
    <m/>
    <m/>
    <m/>
    <m/>
    <m/>
    <m/>
    <m/>
    <m/>
    <m/>
    <m/>
    <m/>
    <m/>
    <m/>
    <m/>
    <m/>
    <m/>
    <m/>
    <m/>
    <m/>
    <m/>
    <m/>
    <m/>
    <m/>
    <m/>
    <m/>
    <m/>
    <n v="1"/>
    <m/>
    <m/>
    <m/>
    <m/>
    <m/>
    <m/>
    <m/>
    <m/>
    <m/>
    <m/>
    <m/>
    <m/>
    <m/>
    <m/>
    <m/>
    <m/>
    <m/>
    <m/>
    <m/>
    <m/>
    <m/>
    <m/>
    <m/>
    <m/>
    <m/>
    <m/>
    <m/>
    <m/>
    <m/>
    <m/>
    <m/>
    <m/>
  </r>
  <r>
    <x v="384"/>
    <n v="2006"/>
    <n v="1"/>
    <x v="6"/>
    <x v="1"/>
    <x v="0"/>
    <n v="3"/>
    <s v="2006_01_007.gif"/>
    <m/>
    <m/>
    <m/>
    <b v="0"/>
    <n v="0"/>
    <x v="0"/>
    <n v="385"/>
    <s v="Newton's 1st Law (Inertia)"/>
    <n v="4740"/>
    <x v="8"/>
    <m/>
    <m/>
    <m/>
    <m/>
    <m/>
    <m/>
    <m/>
    <m/>
    <m/>
    <m/>
    <m/>
    <m/>
    <m/>
    <m/>
    <m/>
    <m/>
    <m/>
    <m/>
    <m/>
    <m/>
    <m/>
    <m/>
    <m/>
    <m/>
    <m/>
    <n v="1"/>
    <m/>
    <m/>
    <m/>
    <m/>
    <m/>
    <m/>
    <m/>
    <m/>
    <m/>
    <m/>
    <m/>
    <m/>
    <m/>
    <m/>
    <m/>
    <m/>
    <m/>
    <m/>
    <m/>
    <m/>
    <m/>
    <m/>
    <m/>
    <m/>
    <m/>
    <m/>
    <m/>
    <m/>
    <m/>
    <m/>
    <m/>
    <m/>
    <m/>
    <m/>
  </r>
  <r>
    <x v="385"/>
    <n v="2006"/>
    <n v="1"/>
    <x v="7"/>
    <x v="1"/>
    <x v="0"/>
    <n v="1"/>
    <s v="2006_01_008.gif"/>
    <m/>
    <m/>
    <m/>
    <b v="0"/>
    <n v="0"/>
    <x v="0"/>
    <n v="386"/>
    <s v="Newton's 1st Law (Inertia)"/>
    <n v="4741"/>
    <x v="8"/>
    <m/>
    <m/>
    <m/>
    <m/>
    <m/>
    <m/>
    <m/>
    <m/>
    <m/>
    <m/>
    <m/>
    <m/>
    <m/>
    <m/>
    <m/>
    <m/>
    <m/>
    <m/>
    <m/>
    <m/>
    <m/>
    <m/>
    <m/>
    <m/>
    <m/>
    <n v="1"/>
    <m/>
    <m/>
    <m/>
    <m/>
    <m/>
    <m/>
    <m/>
    <m/>
    <m/>
    <m/>
    <m/>
    <m/>
    <m/>
    <m/>
    <m/>
    <m/>
    <m/>
    <m/>
    <m/>
    <m/>
    <m/>
    <m/>
    <m/>
    <m/>
    <m/>
    <m/>
    <m/>
    <m/>
    <m/>
    <m/>
    <m/>
    <m/>
    <m/>
    <m/>
  </r>
  <r>
    <x v="386"/>
    <n v="2006"/>
    <n v="1"/>
    <x v="8"/>
    <x v="1"/>
    <x v="0"/>
    <n v="4"/>
    <s v="2006_01_009.gif"/>
    <m/>
    <m/>
    <m/>
    <b v="0"/>
    <n v="0"/>
    <x v="0"/>
    <n v="387"/>
    <s v="Hooke's Law"/>
    <n v="4742"/>
    <x v="8"/>
    <m/>
    <m/>
    <m/>
    <m/>
    <m/>
    <m/>
    <m/>
    <m/>
    <m/>
    <m/>
    <m/>
    <m/>
    <m/>
    <m/>
    <m/>
    <m/>
    <m/>
    <m/>
    <m/>
    <m/>
    <m/>
    <m/>
    <m/>
    <n v="1"/>
    <m/>
    <m/>
    <m/>
    <m/>
    <m/>
    <m/>
    <m/>
    <m/>
    <m/>
    <m/>
    <m/>
    <m/>
    <m/>
    <m/>
    <m/>
    <m/>
    <m/>
    <m/>
    <m/>
    <m/>
    <m/>
    <m/>
    <m/>
    <m/>
    <m/>
    <m/>
    <m/>
    <m/>
    <m/>
    <m/>
    <m/>
    <m/>
    <m/>
    <m/>
    <m/>
    <m/>
  </r>
  <r>
    <x v="387"/>
    <n v="2006"/>
    <n v="1"/>
    <x v="9"/>
    <x v="1"/>
    <x v="0"/>
    <n v="1"/>
    <s v="2006_01_010.gif"/>
    <m/>
    <m/>
    <m/>
    <b v="0"/>
    <n v="0"/>
    <x v="0"/>
    <n v="388"/>
    <s v="Friction"/>
    <n v="4743"/>
    <x v="8"/>
    <m/>
    <m/>
    <m/>
    <m/>
    <m/>
    <m/>
    <m/>
    <m/>
    <m/>
    <m/>
    <m/>
    <m/>
    <m/>
    <m/>
    <m/>
    <m/>
    <m/>
    <m/>
    <m/>
    <m/>
    <m/>
    <n v="1"/>
    <m/>
    <m/>
    <m/>
    <m/>
    <m/>
    <m/>
    <m/>
    <m/>
    <m/>
    <m/>
    <m/>
    <m/>
    <m/>
    <m/>
    <m/>
    <m/>
    <m/>
    <m/>
    <m/>
    <m/>
    <m/>
    <m/>
    <m/>
    <m/>
    <m/>
    <m/>
    <m/>
    <m/>
    <m/>
    <m/>
    <m/>
    <m/>
    <m/>
    <m/>
    <m/>
    <m/>
    <m/>
    <m/>
  </r>
  <r>
    <x v="388"/>
    <n v="2006"/>
    <n v="1"/>
    <x v="10"/>
    <x v="4"/>
    <x v="0"/>
    <n v="2"/>
    <s v="2006_01_011.gif"/>
    <m/>
    <m/>
    <m/>
    <b v="0"/>
    <n v="0"/>
    <x v="0"/>
    <n v="389"/>
    <s v="Newton's 3rd Law (Equal But Opposite)"/>
    <n v="4744"/>
    <x v="8"/>
    <m/>
    <m/>
    <m/>
    <m/>
    <m/>
    <m/>
    <m/>
    <m/>
    <m/>
    <m/>
    <m/>
    <m/>
    <m/>
    <m/>
    <m/>
    <m/>
    <m/>
    <m/>
    <m/>
    <m/>
    <m/>
    <m/>
    <m/>
    <m/>
    <m/>
    <m/>
    <m/>
    <m/>
    <m/>
    <m/>
    <n v="1"/>
    <m/>
    <m/>
    <m/>
    <m/>
    <m/>
    <m/>
    <m/>
    <m/>
    <m/>
    <m/>
    <m/>
    <m/>
    <m/>
    <m/>
    <m/>
    <m/>
    <m/>
    <m/>
    <m/>
    <m/>
    <m/>
    <m/>
    <m/>
    <m/>
    <m/>
    <m/>
    <m/>
    <m/>
    <m/>
  </r>
  <r>
    <x v="389"/>
    <n v="2006"/>
    <n v="1"/>
    <x v="11"/>
    <x v="2"/>
    <x v="0"/>
    <n v="1"/>
    <s v="2006_01_012.gif"/>
    <m/>
    <m/>
    <m/>
    <b v="0"/>
    <n v="0"/>
    <x v="0"/>
    <n v="390"/>
    <s v="DT/VT Graphs"/>
    <n v="4745"/>
    <x v="8"/>
    <m/>
    <m/>
    <m/>
    <m/>
    <n v="1"/>
    <m/>
    <m/>
    <m/>
    <m/>
    <m/>
    <m/>
    <m/>
    <m/>
    <m/>
    <m/>
    <m/>
    <m/>
    <m/>
    <m/>
    <m/>
    <m/>
    <m/>
    <m/>
    <m/>
    <m/>
    <m/>
    <m/>
    <m/>
    <m/>
    <m/>
    <m/>
    <m/>
    <m/>
    <m/>
    <m/>
    <m/>
    <m/>
    <m/>
    <m/>
    <m/>
    <m/>
    <m/>
    <m/>
    <m/>
    <m/>
    <m/>
    <m/>
    <m/>
    <m/>
    <m/>
    <m/>
    <m/>
    <m/>
    <m/>
    <m/>
    <m/>
    <m/>
    <m/>
    <m/>
    <m/>
  </r>
  <r>
    <x v="390"/>
    <n v="2006"/>
    <n v="1"/>
    <x v="12"/>
    <x v="1"/>
    <x v="2"/>
    <n v="3"/>
    <s v="2006_01_013.gif"/>
    <m/>
    <m/>
    <m/>
    <b v="0"/>
    <n v="0"/>
    <x v="0"/>
    <n v="391"/>
    <s v="Law of Gravity,Mathematical Relationships (Numberless Problems)"/>
    <n v="4746"/>
    <x v="8"/>
    <m/>
    <m/>
    <m/>
    <m/>
    <m/>
    <m/>
    <m/>
    <m/>
    <m/>
    <m/>
    <m/>
    <m/>
    <m/>
    <m/>
    <m/>
    <m/>
    <m/>
    <m/>
    <m/>
    <m/>
    <m/>
    <m/>
    <m/>
    <m/>
    <n v="1"/>
    <m/>
    <m/>
    <m/>
    <m/>
    <m/>
    <m/>
    <m/>
    <m/>
    <m/>
    <m/>
    <m/>
    <m/>
    <m/>
    <m/>
    <m/>
    <m/>
    <m/>
    <m/>
    <m/>
    <m/>
    <m/>
    <m/>
    <m/>
    <m/>
    <m/>
    <m/>
    <m/>
    <m/>
    <m/>
    <m/>
    <m/>
    <m/>
    <m/>
    <n v="1"/>
    <m/>
  </r>
  <r>
    <x v="391"/>
    <n v="2006"/>
    <n v="1"/>
    <x v="13"/>
    <x v="3"/>
    <x v="0"/>
    <n v="3"/>
    <s v="2006_01_014.gif"/>
    <m/>
    <m/>
    <m/>
    <b v="0"/>
    <n v="0"/>
    <x v="0"/>
    <n v="392"/>
    <s v="Centripetal Motion - Calculation"/>
    <n v="4747"/>
    <x v="8"/>
    <m/>
    <m/>
    <m/>
    <m/>
    <m/>
    <m/>
    <m/>
    <m/>
    <m/>
    <m/>
    <m/>
    <m/>
    <m/>
    <m/>
    <m/>
    <m/>
    <m/>
    <m/>
    <m/>
    <m/>
    <n v="1"/>
    <m/>
    <m/>
    <m/>
    <m/>
    <m/>
    <m/>
    <m/>
    <m/>
    <m/>
    <m/>
    <m/>
    <m/>
    <m/>
    <m/>
    <m/>
    <m/>
    <m/>
    <m/>
    <m/>
    <m/>
    <m/>
    <m/>
    <m/>
    <m/>
    <m/>
    <m/>
    <m/>
    <m/>
    <m/>
    <m/>
    <m/>
    <m/>
    <m/>
    <m/>
    <m/>
    <m/>
    <m/>
    <m/>
    <m/>
  </r>
  <r>
    <x v="392"/>
    <n v="2006"/>
    <n v="1"/>
    <x v="14"/>
    <x v="5"/>
    <x v="0"/>
    <n v="3"/>
    <s v="2006_01_015.gif"/>
    <m/>
    <m/>
    <m/>
    <b v="0"/>
    <n v="0"/>
    <x v="0"/>
    <n v="393"/>
    <s v="Kinetic Energy"/>
    <n v="4748"/>
    <x v="8"/>
    <m/>
    <m/>
    <m/>
    <m/>
    <m/>
    <m/>
    <m/>
    <m/>
    <m/>
    <m/>
    <m/>
    <m/>
    <m/>
    <m/>
    <m/>
    <m/>
    <m/>
    <m/>
    <m/>
    <m/>
    <m/>
    <m/>
    <m/>
    <m/>
    <m/>
    <m/>
    <m/>
    <m/>
    <m/>
    <m/>
    <m/>
    <m/>
    <m/>
    <n v="1"/>
    <m/>
    <m/>
    <m/>
    <m/>
    <m/>
    <m/>
    <m/>
    <m/>
    <m/>
    <m/>
    <m/>
    <m/>
    <m/>
    <m/>
    <m/>
    <m/>
    <m/>
    <m/>
    <m/>
    <m/>
    <m/>
    <m/>
    <m/>
    <m/>
    <m/>
    <m/>
  </r>
  <r>
    <x v="393"/>
    <n v="2006"/>
    <n v="1"/>
    <x v="15"/>
    <x v="5"/>
    <x v="0"/>
    <n v="2"/>
    <s v="2006_01_016.gif"/>
    <m/>
    <m/>
    <m/>
    <b v="0"/>
    <n v="0"/>
    <x v="0"/>
    <n v="394"/>
    <s v="Gravitational PE,Work/Power"/>
    <n v="4749"/>
    <x v="8"/>
    <m/>
    <m/>
    <m/>
    <m/>
    <m/>
    <m/>
    <m/>
    <m/>
    <m/>
    <m/>
    <m/>
    <m/>
    <m/>
    <m/>
    <m/>
    <m/>
    <m/>
    <m/>
    <m/>
    <m/>
    <m/>
    <m/>
    <m/>
    <m/>
    <m/>
    <m/>
    <m/>
    <m/>
    <m/>
    <m/>
    <m/>
    <m/>
    <n v="1"/>
    <m/>
    <m/>
    <n v="1"/>
    <m/>
    <m/>
    <m/>
    <m/>
    <m/>
    <m/>
    <m/>
    <m/>
    <m/>
    <m/>
    <m/>
    <m/>
    <m/>
    <m/>
    <m/>
    <m/>
    <m/>
    <m/>
    <m/>
    <m/>
    <m/>
    <m/>
    <m/>
    <m/>
  </r>
  <r>
    <x v="394"/>
    <n v="2006"/>
    <n v="1"/>
    <x v="16"/>
    <x v="5"/>
    <x v="0"/>
    <n v="1"/>
    <s v="2006_01_017.gif"/>
    <m/>
    <m/>
    <m/>
    <b v="0"/>
    <n v="0"/>
    <x v="0"/>
    <n v="395"/>
    <s v="PE of Spring"/>
    <n v="4750"/>
    <x v="8"/>
    <m/>
    <m/>
    <m/>
    <m/>
    <m/>
    <m/>
    <m/>
    <m/>
    <m/>
    <m/>
    <m/>
    <m/>
    <m/>
    <m/>
    <m/>
    <m/>
    <m/>
    <m/>
    <m/>
    <m/>
    <m/>
    <m/>
    <m/>
    <m/>
    <m/>
    <m/>
    <m/>
    <m/>
    <m/>
    <m/>
    <m/>
    <m/>
    <m/>
    <m/>
    <n v="1"/>
    <m/>
    <m/>
    <m/>
    <m/>
    <m/>
    <m/>
    <m/>
    <m/>
    <m/>
    <m/>
    <m/>
    <m/>
    <m/>
    <m/>
    <m/>
    <m/>
    <m/>
    <m/>
    <m/>
    <m/>
    <m/>
    <m/>
    <m/>
    <m/>
    <m/>
  </r>
  <r>
    <x v="395"/>
    <n v="2006"/>
    <n v="1"/>
    <x v="17"/>
    <x v="5"/>
    <x v="0"/>
    <n v="3"/>
    <s v="2006_01_018.gif"/>
    <m/>
    <m/>
    <m/>
    <b v="0"/>
    <n v="0"/>
    <x v="0"/>
    <n v="396"/>
    <s v="Gravitational PE"/>
    <n v="4751"/>
    <x v="8"/>
    <m/>
    <m/>
    <m/>
    <m/>
    <m/>
    <m/>
    <m/>
    <m/>
    <m/>
    <m/>
    <m/>
    <m/>
    <m/>
    <m/>
    <m/>
    <m/>
    <m/>
    <m/>
    <m/>
    <m/>
    <m/>
    <m/>
    <m/>
    <m/>
    <m/>
    <m/>
    <m/>
    <m/>
    <m/>
    <m/>
    <m/>
    <m/>
    <n v="1"/>
    <m/>
    <m/>
    <m/>
    <m/>
    <m/>
    <m/>
    <m/>
    <m/>
    <m/>
    <m/>
    <m/>
    <m/>
    <m/>
    <m/>
    <m/>
    <m/>
    <m/>
    <m/>
    <m/>
    <m/>
    <m/>
    <m/>
    <m/>
    <m/>
    <m/>
    <m/>
    <m/>
  </r>
  <r>
    <x v="396"/>
    <n v="2006"/>
    <n v="1"/>
    <x v="18"/>
    <x v="5"/>
    <x v="0"/>
    <n v="4"/>
    <s v="2006_01_019.gif"/>
    <m/>
    <m/>
    <m/>
    <b v="0"/>
    <n v="0"/>
    <x v="0"/>
    <n v="397"/>
    <s v="Conservation of Energy,Gravitational PE"/>
    <n v="4752"/>
    <x v="8"/>
    <m/>
    <m/>
    <m/>
    <m/>
    <m/>
    <m/>
    <m/>
    <m/>
    <m/>
    <m/>
    <m/>
    <m/>
    <m/>
    <m/>
    <m/>
    <m/>
    <m/>
    <m/>
    <m/>
    <m/>
    <m/>
    <m/>
    <m/>
    <m/>
    <m/>
    <m/>
    <m/>
    <m/>
    <m/>
    <m/>
    <m/>
    <n v="1"/>
    <n v="1"/>
    <m/>
    <m/>
    <m/>
    <m/>
    <m/>
    <m/>
    <m/>
    <m/>
    <m/>
    <m/>
    <m/>
    <m/>
    <m/>
    <m/>
    <m/>
    <m/>
    <m/>
    <m/>
    <m/>
    <m/>
    <m/>
    <m/>
    <m/>
    <m/>
    <m/>
    <m/>
    <m/>
  </r>
  <r>
    <x v="397"/>
    <n v="2006"/>
    <n v="1"/>
    <x v="19"/>
    <x v="2"/>
    <x v="0"/>
    <n v="2"/>
    <s v="2006_01_020.gif"/>
    <m/>
    <m/>
    <m/>
    <b v="0"/>
    <n v="0"/>
    <x v="0"/>
    <n v="398"/>
    <s v="Vertical Constant Acceleration Problems"/>
    <n v="4753"/>
    <x v="8"/>
    <m/>
    <m/>
    <m/>
    <m/>
    <m/>
    <m/>
    <m/>
    <m/>
    <m/>
    <m/>
    <n v="1"/>
    <m/>
    <m/>
    <m/>
    <m/>
    <m/>
    <m/>
    <m/>
    <m/>
    <m/>
    <m/>
    <m/>
    <m/>
    <m/>
    <m/>
    <m/>
    <m/>
    <m/>
    <m/>
    <m/>
    <m/>
    <m/>
    <m/>
    <m/>
    <m/>
    <m/>
    <m/>
    <m/>
    <m/>
    <m/>
    <m/>
    <m/>
    <m/>
    <m/>
    <m/>
    <m/>
    <m/>
    <m/>
    <m/>
    <m/>
    <m/>
    <m/>
    <m/>
    <m/>
    <m/>
    <m/>
    <m/>
    <m/>
    <m/>
    <m/>
  </r>
  <r>
    <x v="398"/>
    <n v="2006"/>
    <n v="1"/>
    <x v="20"/>
    <x v="5"/>
    <x v="0"/>
    <n v="1"/>
    <s v="2006_01_021.gif"/>
    <m/>
    <m/>
    <m/>
    <b v="0"/>
    <n v="0"/>
    <x v="0"/>
    <n v="399"/>
    <s v="Work/Power"/>
    <n v="4754"/>
    <x v="8"/>
    <m/>
    <m/>
    <m/>
    <m/>
    <m/>
    <m/>
    <m/>
    <m/>
    <m/>
    <m/>
    <m/>
    <m/>
    <m/>
    <m/>
    <m/>
    <m/>
    <m/>
    <m/>
    <m/>
    <m/>
    <m/>
    <m/>
    <m/>
    <m/>
    <m/>
    <m/>
    <m/>
    <m/>
    <m/>
    <m/>
    <m/>
    <m/>
    <m/>
    <m/>
    <m/>
    <n v="1"/>
    <m/>
    <m/>
    <m/>
    <m/>
    <m/>
    <m/>
    <m/>
    <m/>
    <m/>
    <m/>
    <m/>
    <m/>
    <m/>
    <m/>
    <m/>
    <m/>
    <m/>
    <m/>
    <m/>
    <m/>
    <m/>
    <m/>
    <m/>
    <m/>
  </r>
  <r>
    <x v="399"/>
    <n v="2006"/>
    <n v="1"/>
    <x v="21"/>
    <x v="8"/>
    <x v="2"/>
    <n v="2"/>
    <s v="2006_01_022.gif"/>
    <m/>
    <m/>
    <m/>
    <b v="0"/>
    <n v="0"/>
    <x v="0"/>
    <n v="400"/>
    <s v="Ohm's Law,Graph Interpretation"/>
    <n v="4755"/>
    <x v="8"/>
    <m/>
    <m/>
    <m/>
    <m/>
    <m/>
    <m/>
    <m/>
    <m/>
    <m/>
    <m/>
    <m/>
    <m/>
    <m/>
    <m/>
    <m/>
    <m/>
    <m/>
    <m/>
    <m/>
    <m/>
    <m/>
    <m/>
    <m/>
    <m/>
    <m/>
    <m/>
    <m/>
    <m/>
    <m/>
    <m/>
    <m/>
    <m/>
    <m/>
    <m/>
    <m/>
    <m/>
    <m/>
    <m/>
    <m/>
    <m/>
    <m/>
    <m/>
    <m/>
    <m/>
    <m/>
    <m/>
    <m/>
    <m/>
    <m/>
    <m/>
    <n v="1"/>
    <m/>
    <m/>
    <m/>
    <m/>
    <m/>
    <m/>
    <n v="1"/>
    <m/>
    <m/>
  </r>
  <r>
    <x v="400"/>
    <n v="2006"/>
    <n v="1"/>
    <x v="22"/>
    <x v="8"/>
    <x v="0"/>
    <n v="4"/>
    <s v="2006_01_023.gif"/>
    <m/>
    <m/>
    <m/>
    <b v="0"/>
    <n v="0"/>
    <x v="0"/>
    <n v="401"/>
    <s v="Resistance of Wire"/>
    <n v="4756"/>
    <x v="8"/>
    <m/>
    <m/>
    <m/>
    <m/>
    <m/>
    <m/>
    <m/>
    <m/>
    <m/>
    <m/>
    <m/>
    <m/>
    <m/>
    <m/>
    <m/>
    <m/>
    <m/>
    <m/>
    <m/>
    <m/>
    <m/>
    <m/>
    <m/>
    <m/>
    <m/>
    <m/>
    <m/>
    <m/>
    <m/>
    <m/>
    <m/>
    <m/>
    <m/>
    <m/>
    <m/>
    <m/>
    <m/>
    <m/>
    <m/>
    <m/>
    <m/>
    <m/>
    <m/>
    <m/>
    <m/>
    <m/>
    <m/>
    <m/>
    <m/>
    <m/>
    <m/>
    <n v="1"/>
    <m/>
    <m/>
    <m/>
    <m/>
    <m/>
    <m/>
    <m/>
    <m/>
  </r>
  <r>
    <x v="401"/>
    <n v="2006"/>
    <n v="1"/>
    <x v="23"/>
    <x v="8"/>
    <x v="0"/>
    <n v="3"/>
    <s v="2006_01_024.gif"/>
    <m/>
    <m/>
    <m/>
    <b v="0"/>
    <n v="0"/>
    <x v="0"/>
    <n v="402"/>
    <s v="Electrical Power"/>
    <n v="4757"/>
    <x v="8"/>
    <m/>
    <m/>
    <m/>
    <m/>
    <m/>
    <m/>
    <m/>
    <m/>
    <m/>
    <m/>
    <m/>
    <m/>
    <m/>
    <m/>
    <m/>
    <m/>
    <m/>
    <m/>
    <m/>
    <m/>
    <m/>
    <m/>
    <m/>
    <m/>
    <m/>
    <m/>
    <m/>
    <m/>
    <m/>
    <m/>
    <m/>
    <m/>
    <m/>
    <m/>
    <m/>
    <m/>
    <m/>
    <m/>
    <m/>
    <m/>
    <m/>
    <m/>
    <m/>
    <m/>
    <m/>
    <m/>
    <m/>
    <m/>
    <m/>
    <n v="1"/>
    <m/>
    <m/>
    <m/>
    <m/>
    <m/>
    <m/>
    <m/>
    <m/>
    <m/>
    <m/>
  </r>
  <r>
    <x v="402"/>
    <n v="2006"/>
    <n v="1"/>
    <x v="24"/>
    <x v="8"/>
    <x v="0"/>
    <n v="4"/>
    <s v="2006_01_025.gif"/>
    <m/>
    <m/>
    <m/>
    <b v="0"/>
    <n v="0"/>
    <x v="0"/>
    <n v="403"/>
    <s v="Electrical Definitions"/>
    <n v="4758"/>
    <x v="8"/>
    <m/>
    <m/>
    <m/>
    <m/>
    <m/>
    <m/>
    <m/>
    <m/>
    <m/>
    <m/>
    <m/>
    <m/>
    <m/>
    <m/>
    <m/>
    <m/>
    <m/>
    <m/>
    <m/>
    <m/>
    <m/>
    <m/>
    <m/>
    <m/>
    <m/>
    <m/>
    <m/>
    <m/>
    <m/>
    <m/>
    <m/>
    <m/>
    <m/>
    <m/>
    <m/>
    <m/>
    <m/>
    <m/>
    <m/>
    <m/>
    <m/>
    <m/>
    <m/>
    <m/>
    <m/>
    <m/>
    <m/>
    <m/>
    <n v="1"/>
    <m/>
    <m/>
    <m/>
    <m/>
    <m/>
    <m/>
    <m/>
    <m/>
    <m/>
    <m/>
    <m/>
  </r>
  <r>
    <x v="403"/>
    <n v="2006"/>
    <n v="1"/>
    <x v="25"/>
    <x v="8"/>
    <x v="0"/>
    <n v="2"/>
    <s v="2006_01_026.gif"/>
    <m/>
    <m/>
    <m/>
    <b v="0"/>
    <n v="0"/>
    <x v="0"/>
    <n v="404"/>
    <s v="Electrical Power"/>
    <n v="4759"/>
    <x v="8"/>
    <m/>
    <m/>
    <m/>
    <m/>
    <m/>
    <m/>
    <m/>
    <m/>
    <m/>
    <m/>
    <m/>
    <m/>
    <m/>
    <m/>
    <m/>
    <m/>
    <m/>
    <m/>
    <m/>
    <m/>
    <m/>
    <m/>
    <m/>
    <m/>
    <m/>
    <m/>
    <m/>
    <m/>
    <m/>
    <m/>
    <m/>
    <m/>
    <m/>
    <m/>
    <m/>
    <m/>
    <m/>
    <m/>
    <m/>
    <m/>
    <m/>
    <m/>
    <m/>
    <m/>
    <m/>
    <m/>
    <m/>
    <m/>
    <m/>
    <n v="1"/>
    <m/>
    <m/>
    <m/>
    <m/>
    <m/>
    <m/>
    <m/>
    <m/>
    <m/>
    <m/>
  </r>
  <r>
    <x v="404"/>
    <n v="2006"/>
    <n v="1"/>
    <x v="26"/>
    <x v="12"/>
    <x v="13"/>
    <n v="2"/>
    <s v="2006_01_027.gif"/>
    <m/>
    <m/>
    <m/>
    <b v="0"/>
    <n v="0"/>
    <x v="0"/>
    <n v="405"/>
    <s v="Electric Fields and Potential"/>
    <n v="4760"/>
    <x v="8"/>
    <m/>
    <m/>
    <m/>
    <m/>
    <m/>
    <m/>
    <m/>
    <m/>
    <m/>
    <m/>
    <m/>
    <m/>
    <m/>
    <m/>
    <m/>
    <m/>
    <m/>
    <m/>
    <m/>
    <m/>
    <m/>
    <m/>
    <m/>
    <m/>
    <m/>
    <m/>
    <m/>
    <m/>
    <m/>
    <m/>
    <m/>
    <m/>
    <m/>
    <m/>
    <m/>
    <m/>
    <m/>
    <m/>
    <m/>
    <m/>
    <m/>
    <m/>
    <m/>
    <m/>
    <m/>
    <m/>
    <m/>
    <n v="1"/>
    <m/>
    <m/>
    <m/>
    <m/>
    <m/>
    <m/>
    <m/>
    <m/>
    <m/>
    <m/>
    <m/>
    <m/>
  </r>
  <r>
    <x v="405"/>
    <n v="2006"/>
    <n v="1"/>
    <x v="27"/>
    <x v="9"/>
    <x v="0"/>
    <n v="4"/>
    <s v="2006_01_028.gif"/>
    <m/>
    <m/>
    <m/>
    <b v="0"/>
    <n v="0"/>
    <x v="0"/>
    <n v="406"/>
    <s v="Refraction and Snell's Law"/>
    <n v="4761"/>
    <x v="8"/>
    <m/>
    <m/>
    <m/>
    <m/>
    <m/>
    <m/>
    <m/>
    <m/>
    <m/>
    <m/>
    <m/>
    <m/>
    <m/>
    <m/>
    <m/>
    <m/>
    <m/>
    <m/>
    <m/>
    <m/>
    <m/>
    <m/>
    <m/>
    <m/>
    <m/>
    <m/>
    <m/>
    <m/>
    <m/>
    <m/>
    <m/>
    <m/>
    <m/>
    <m/>
    <m/>
    <m/>
    <m/>
    <m/>
    <m/>
    <m/>
    <m/>
    <m/>
    <m/>
    <n v="1"/>
    <m/>
    <m/>
    <m/>
    <m/>
    <m/>
    <m/>
    <m/>
    <m/>
    <m/>
    <m/>
    <m/>
    <m/>
    <m/>
    <m/>
    <m/>
    <m/>
  </r>
  <r>
    <x v="406"/>
    <n v="2006"/>
    <n v="1"/>
    <x v="28"/>
    <x v="9"/>
    <x v="0"/>
    <n v="1"/>
    <s v="2006_01_029.gif"/>
    <m/>
    <m/>
    <m/>
    <b v="0"/>
    <n v="0"/>
    <x v="0"/>
    <n v="407"/>
    <s v="Light and Sound"/>
    <n v="4762"/>
    <x v="8"/>
    <m/>
    <m/>
    <m/>
    <m/>
    <m/>
    <m/>
    <m/>
    <m/>
    <m/>
    <m/>
    <m/>
    <m/>
    <m/>
    <m/>
    <m/>
    <m/>
    <m/>
    <m/>
    <m/>
    <m/>
    <m/>
    <m/>
    <m/>
    <m/>
    <m/>
    <m/>
    <m/>
    <m/>
    <m/>
    <m/>
    <m/>
    <m/>
    <m/>
    <m/>
    <m/>
    <m/>
    <m/>
    <m/>
    <m/>
    <m/>
    <m/>
    <m/>
    <n v="1"/>
    <m/>
    <m/>
    <m/>
    <m/>
    <m/>
    <m/>
    <m/>
    <m/>
    <m/>
    <m/>
    <m/>
    <m/>
    <m/>
    <m/>
    <m/>
    <m/>
    <m/>
  </r>
  <r>
    <x v="407"/>
    <n v="2006"/>
    <n v="1"/>
    <x v="29"/>
    <x v="7"/>
    <x v="0"/>
    <n v="3"/>
    <s v="2006_01_030.gif"/>
    <m/>
    <m/>
    <m/>
    <b v="0"/>
    <n v="0"/>
    <x v="0"/>
    <n v="408"/>
    <s v="Wave Vocabulary"/>
    <n v="4763"/>
    <x v="8"/>
    <m/>
    <m/>
    <m/>
    <m/>
    <m/>
    <m/>
    <m/>
    <m/>
    <m/>
    <m/>
    <m/>
    <m/>
    <m/>
    <m/>
    <m/>
    <m/>
    <m/>
    <m/>
    <m/>
    <m/>
    <m/>
    <m/>
    <m/>
    <m/>
    <m/>
    <m/>
    <m/>
    <m/>
    <m/>
    <m/>
    <m/>
    <m/>
    <m/>
    <m/>
    <m/>
    <m/>
    <m/>
    <m/>
    <m/>
    <n v="1"/>
    <m/>
    <m/>
    <m/>
    <m/>
    <m/>
    <m/>
    <m/>
    <m/>
    <m/>
    <m/>
    <m/>
    <m/>
    <m/>
    <m/>
    <m/>
    <m/>
    <m/>
    <m/>
    <m/>
    <m/>
  </r>
  <r>
    <x v="408"/>
    <n v="2006"/>
    <n v="1"/>
    <x v="30"/>
    <x v="9"/>
    <x v="0"/>
    <n v="2"/>
    <s v="2006_01_031.gif"/>
    <m/>
    <m/>
    <m/>
    <b v="0"/>
    <n v="0"/>
    <x v="0"/>
    <n v="409"/>
    <s v="Doppler Effect"/>
    <n v="4764"/>
    <x v="8"/>
    <m/>
    <m/>
    <m/>
    <m/>
    <m/>
    <m/>
    <m/>
    <m/>
    <m/>
    <m/>
    <m/>
    <m/>
    <m/>
    <m/>
    <m/>
    <m/>
    <m/>
    <m/>
    <m/>
    <m/>
    <m/>
    <m/>
    <m/>
    <m/>
    <m/>
    <m/>
    <m/>
    <m/>
    <m/>
    <m/>
    <m/>
    <m/>
    <m/>
    <m/>
    <m/>
    <m/>
    <m/>
    <m/>
    <m/>
    <m/>
    <m/>
    <n v="1"/>
    <m/>
    <m/>
    <m/>
    <m/>
    <m/>
    <m/>
    <m/>
    <m/>
    <m/>
    <m/>
    <m/>
    <m/>
    <m/>
    <m/>
    <m/>
    <m/>
    <m/>
    <m/>
  </r>
  <r>
    <x v="409"/>
    <n v="2006"/>
    <n v="1"/>
    <x v="31"/>
    <x v="7"/>
    <x v="0"/>
    <n v="4"/>
    <s v="2006_01_032.gif"/>
    <m/>
    <m/>
    <m/>
    <b v="0"/>
    <n v="0"/>
    <x v="0"/>
    <n v="410"/>
    <s v="Superposition and Standing Waves"/>
    <n v="4765"/>
    <x v="8"/>
    <m/>
    <m/>
    <m/>
    <m/>
    <m/>
    <m/>
    <m/>
    <m/>
    <m/>
    <m/>
    <m/>
    <m/>
    <m/>
    <m/>
    <m/>
    <m/>
    <m/>
    <m/>
    <m/>
    <m/>
    <m/>
    <m/>
    <m/>
    <m/>
    <m/>
    <m/>
    <m/>
    <m/>
    <m/>
    <m/>
    <m/>
    <m/>
    <m/>
    <m/>
    <m/>
    <m/>
    <m/>
    <n v="1"/>
    <m/>
    <m/>
    <m/>
    <m/>
    <m/>
    <m/>
    <m/>
    <m/>
    <m/>
    <m/>
    <m/>
    <m/>
    <m/>
    <m/>
    <m/>
    <m/>
    <m/>
    <m/>
    <m/>
    <m/>
    <m/>
    <m/>
  </r>
  <r>
    <x v="410"/>
    <n v="2006"/>
    <n v="1"/>
    <x v="32"/>
    <x v="6"/>
    <x v="0"/>
    <n v="4"/>
    <s v="2006_01_033.gif"/>
    <m/>
    <m/>
    <m/>
    <b v="0"/>
    <n v="0"/>
    <x v="0"/>
    <n v="411"/>
    <s v="Conservation of Charge"/>
    <n v="4766"/>
    <x v="8"/>
    <m/>
    <m/>
    <m/>
    <m/>
    <m/>
    <m/>
    <m/>
    <m/>
    <m/>
    <m/>
    <m/>
    <m/>
    <m/>
    <m/>
    <m/>
    <m/>
    <m/>
    <m/>
    <m/>
    <m/>
    <m/>
    <m/>
    <m/>
    <m/>
    <m/>
    <m/>
    <m/>
    <m/>
    <m/>
    <m/>
    <m/>
    <m/>
    <m/>
    <m/>
    <m/>
    <m/>
    <m/>
    <m/>
    <m/>
    <m/>
    <m/>
    <m/>
    <m/>
    <m/>
    <n v="1"/>
    <m/>
    <m/>
    <m/>
    <m/>
    <m/>
    <m/>
    <m/>
    <m/>
    <m/>
    <m/>
    <m/>
    <m/>
    <m/>
    <m/>
    <m/>
  </r>
  <r>
    <x v="411"/>
    <n v="2006"/>
    <n v="1"/>
    <x v="33"/>
    <x v="10"/>
    <x v="0"/>
    <n v="1"/>
    <s v="2006_01_034.gif"/>
    <m/>
    <m/>
    <m/>
    <b v="0"/>
    <n v="0"/>
    <x v="0"/>
    <n v="412"/>
    <s v="Energy/Frequency of Photon"/>
    <n v="4767"/>
    <x v="8"/>
    <m/>
    <m/>
    <m/>
    <m/>
    <m/>
    <m/>
    <m/>
    <m/>
    <m/>
    <m/>
    <m/>
    <m/>
    <m/>
    <m/>
    <m/>
    <m/>
    <m/>
    <m/>
    <m/>
    <m/>
    <m/>
    <m/>
    <m/>
    <m/>
    <m/>
    <m/>
    <m/>
    <m/>
    <m/>
    <m/>
    <m/>
    <m/>
    <m/>
    <m/>
    <m/>
    <m/>
    <m/>
    <m/>
    <m/>
    <m/>
    <m/>
    <m/>
    <m/>
    <m/>
    <m/>
    <m/>
    <m/>
    <m/>
    <m/>
    <m/>
    <m/>
    <m/>
    <m/>
    <m/>
    <n v="1"/>
    <m/>
    <m/>
    <m/>
    <m/>
    <m/>
  </r>
  <r>
    <x v="412"/>
    <n v="2006"/>
    <n v="1"/>
    <x v="34"/>
    <x v="10"/>
    <x v="0"/>
    <n v="2"/>
    <s v="2006_01_035.gif"/>
    <m/>
    <m/>
    <m/>
    <b v="0"/>
    <n v="0"/>
    <x v="0"/>
    <n v="413"/>
    <s v="Particle Physics"/>
    <n v="4768"/>
    <x v="8"/>
    <m/>
    <m/>
    <m/>
    <m/>
    <m/>
    <m/>
    <m/>
    <m/>
    <m/>
    <m/>
    <m/>
    <m/>
    <m/>
    <m/>
    <m/>
    <m/>
    <m/>
    <m/>
    <m/>
    <m/>
    <m/>
    <m/>
    <m/>
    <m/>
    <m/>
    <m/>
    <m/>
    <m/>
    <m/>
    <m/>
    <m/>
    <m/>
    <m/>
    <m/>
    <m/>
    <m/>
    <m/>
    <m/>
    <m/>
    <m/>
    <m/>
    <m/>
    <m/>
    <m/>
    <m/>
    <m/>
    <m/>
    <m/>
    <m/>
    <m/>
    <m/>
    <m/>
    <m/>
    <m/>
    <m/>
    <m/>
    <n v="1"/>
    <m/>
    <m/>
    <m/>
  </r>
  <r>
    <x v="413"/>
    <n v="2006"/>
    <n v="1"/>
    <x v="35"/>
    <x v="11"/>
    <x v="0"/>
    <n v="3"/>
    <s v="2006_01_036.gif"/>
    <m/>
    <m/>
    <m/>
    <b v="0"/>
    <n v="0"/>
    <x v="1"/>
    <n v="414"/>
    <s v="Estimation"/>
    <n v="4769"/>
    <x v="8"/>
    <m/>
    <m/>
    <n v="1"/>
    <m/>
    <m/>
    <m/>
    <m/>
    <m/>
    <m/>
    <m/>
    <m/>
    <m/>
    <m/>
    <m/>
    <m/>
    <m/>
    <m/>
    <m/>
    <m/>
    <m/>
    <m/>
    <m/>
    <m/>
    <m/>
    <m/>
    <m/>
    <m/>
    <m/>
    <m/>
    <m/>
    <m/>
    <m/>
    <m/>
    <m/>
    <m/>
    <m/>
    <m/>
    <m/>
    <m/>
    <m/>
    <m/>
    <m/>
    <m/>
    <m/>
    <m/>
    <m/>
    <m/>
    <m/>
    <m/>
    <m/>
    <m/>
    <m/>
    <m/>
    <m/>
    <m/>
    <m/>
    <m/>
    <m/>
    <m/>
    <m/>
  </r>
  <r>
    <x v="414"/>
    <n v="2006"/>
    <n v="1"/>
    <x v="36"/>
    <x v="11"/>
    <x v="0"/>
    <n v="1"/>
    <s v="2006_01_037.gif"/>
    <m/>
    <m/>
    <m/>
    <b v="0"/>
    <n v="0"/>
    <x v="1"/>
    <n v="415"/>
    <s v="Units"/>
    <n v="4770"/>
    <x v="8"/>
    <m/>
    <m/>
    <m/>
    <n v="1"/>
    <m/>
    <m/>
    <m/>
    <m/>
    <m/>
    <m/>
    <m/>
    <m/>
    <m/>
    <m/>
    <m/>
    <m/>
    <m/>
    <m/>
    <m/>
    <m/>
    <m/>
    <m/>
    <m/>
    <m/>
    <m/>
    <m/>
    <m/>
    <m/>
    <m/>
    <m/>
    <m/>
    <m/>
    <m/>
    <m/>
    <m/>
    <m/>
    <m/>
    <m/>
    <m/>
    <m/>
    <m/>
    <m/>
    <m/>
    <m/>
    <m/>
    <m/>
    <m/>
    <m/>
    <m/>
    <m/>
    <m/>
    <m/>
    <m/>
    <m/>
    <m/>
    <m/>
    <m/>
    <m/>
    <m/>
    <m/>
  </r>
  <r>
    <x v="415"/>
    <n v="2006"/>
    <n v="1"/>
    <x v="37"/>
    <x v="2"/>
    <x v="0"/>
    <n v="3"/>
    <s v="2006_01_038.gif"/>
    <m/>
    <m/>
    <m/>
    <b v="0"/>
    <n v="0"/>
    <x v="1"/>
    <n v="416"/>
    <s v="DT/VT Graphs"/>
    <n v="4771"/>
    <x v="8"/>
    <m/>
    <m/>
    <m/>
    <m/>
    <n v="1"/>
    <m/>
    <m/>
    <m/>
    <m/>
    <m/>
    <m/>
    <m/>
    <m/>
    <m/>
    <m/>
    <m/>
    <m/>
    <m/>
    <m/>
    <m/>
    <m/>
    <m/>
    <m/>
    <m/>
    <m/>
    <m/>
    <m/>
    <m/>
    <m/>
    <m/>
    <m/>
    <m/>
    <m/>
    <m/>
    <m/>
    <m/>
    <m/>
    <m/>
    <m/>
    <m/>
    <m/>
    <m/>
    <m/>
    <m/>
    <m/>
    <m/>
    <m/>
    <m/>
    <m/>
    <m/>
    <m/>
    <m/>
    <m/>
    <m/>
    <m/>
    <m/>
    <m/>
    <m/>
    <m/>
    <m/>
  </r>
  <r>
    <x v="416"/>
    <n v="2006"/>
    <n v="1"/>
    <x v="38"/>
    <x v="5"/>
    <x v="0"/>
    <n v="2"/>
    <s v="2006_01_039.gif"/>
    <m/>
    <m/>
    <m/>
    <b v="0"/>
    <n v="0"/>
    <x v="1"/>
    <n v="417"/>
    <s v="Conservation of Energy"/>
    <n v="4772"/>
    <x v="8"/>
    <m/>
    <m/>
    <m/>
    <m/>
    <m/>
    <m/>
    <m/>
    <m/>
    <m/>
    <m/>
    <m/>
    <m/>
    <m/>
    <m/>
    <m/>
    <m/>
    <m/>
    <m/>
    <m/>
    <m/>
    <m/>
    <m/>
    <m/>
    <m/>
    <m/>
    <m/>
    <m/>
    <m/>
    <m/>
    <m/>
    <m/>
    <n v="1"/>
    <m/>
    <m/>
    <m/>
    <m/>
    <m/>
    <m/>
    <m/>
    <m/>
    <m/>
    <m/>
    <m/>
    <m/>
    <m/>
    <m/>
    <m/>
    <m/>
    <m/>
    <m/>
    <m/>
    <m/>
    <m/>
    <m/>
    <m/>
    <m/>
    <m/>
    <m/>
    <m/>
    <m/>
  </r>
  <r>
    <x v="417"/>
    <n v="2006"/>
    <n v="1"/>
    <x v="39"/>
    <x v="3"/>
    <x v="0"/>
    <n v="1"/>
    <s v="2006_01_040.gif"/>
    <m/>
    <m/>
    <m/>
    <b v="0"/>
    <n v="0"/>
    <x v="1"/>
    <n v="418"/>
    <s v="Centripetal Motion - Direction F,A,V"/>
    <n v="4773"/>
    <x v="8"/>
    <m/>
    <m/>
    <m/>
    <m/>
    <m/>
    <m/>
    <m/>
    <m/>
    <m/>
    <m/>
    <m/>
    <m/>
    <m/>
    <m/>
    <m/>
    <m/>
    <m/>
    <m/>
    <m/>
    <n v="1"/>
    <m/>
    <m/>
    <m/>
    <m/>
    <m/>
    <m/>
    <m/>
    <m/>
    <m/>
    <m/>
    <m/>
    <m/>
    <m/>
    <m/>
    <m/>
    <m/>
    <m/>
    <m/>
    <m/>
    <m/>
    <m/>
    <m/>
    <m/>
    <m/>
    <m/>
    <m/>
    <m/>
    <m/>
    <m/>
    <m/>
    <m/>
    <m/>
    <m/>
    <m/>
    <m/>
    <m/>
    <m/>
    <m/>
    <m/>
    <m/>
  </r>
  <r>
    <x v="418"/>
    <n v="2006"/>
    <n v="1"/>
    <x v="40"/>
    <x v="8"/>
    <x v="2"/>
    <n v="1"/>
    <s v="2006_01_041.gif"/>
    <m/>
    <m/>
    <m/>
    <b v="0"/>
    <n v="0"/>
    <x v="1"/>
    <n v="419"/>
    <s v="Resistance of Wire,Mathematical Relationships (Numberless Problems)"/>
    <n v="4774"/>
    <x v="8"/>
    <m/>
    <m/>
    <m/>
    <m/>
    <m/>
    <m/>
    <m/>
    <m/>
    <m/>
    <m/>
    <m/>
    <m/>
    <m/>
    <m/>
    <m/>
    <m/>
    <m/>
    <m/>
    <m/>
    <m/>
    <m/>
    <m/>
    <m/>
    <m/>
    <m/>
    <m/>
    <m/>
    <m/>
    <m/>
    <m/>
    <m/>
    <m/>
    <m/>
    <m/>
    <m/>
    <m/>
    <m/>
    <m/>
    <m/>
    <m/>
    <m/>
    <m/>
    <m/>
    <m/>
    <m/>
    <m/>
    <m/>
    <m/>
    <m/>
    <m/>
    <m/>
    <n v="1"/>
    <m/>
    <m/>
    <m/>
    <m/>
    <m/>
    <m/>
    <n v="1"/>
    <m/>
  </r>
  <r>
    <x v="419"/>
    <n v="2006"/>
    <n v="1"/>
    <x v="41"/>
    <x v="10"/>
    <x v="0"/>
    <n v="2"/>
    <s v="2006_01_042.gif"/>
    <m/>
    <m/>
    <m/>
    <b v="0"/>
    <n v="0"/>
    <x v="1"/>
    <n v="420"/>
    <s v="Particle Physics"/>
    <n v="4775"/>
    <x v="8"/>
    <m/>
    <m/>
    <m/>
    <m/>
    <m/>
    <m/>
    <m/>
    <m/>
    <m/>
    <m/>
    <m/>
    <m/>
    <m/>
    <m/>
    <m/>
    <m/>
    <m/>
    <m/>
    <m/>
    <m/>
    <m/>
    <m/>
    <m/>
    <m/>
    <m/>
    <m/>
    <m/>
    <m/>
    <m/>
    <m/>
    <m/>
    <m/>
    <m/>
    <m/>
    <m/>
    <m/>
    <m/>
    <m/>
    <m/>
    <m/>
    <m/>
    <m/>
    <m/>
    <m/>
    <m/>
    <m/>
    <m/>
    <m/>
    <m/>
    <m/>
    <m/>
    <m/>
    <m/>
    <m/>
    <m/>
    <m/>
    <n v="1"/>
    <m/>
    <m/>
    <m/>
  </r>
  <r>
    <x v="420"/>
    <n v="2006"/>
    <n v="1"/>
    <x v="42"/>
    <x v="1"/>
    <x v="0"/>
    <n v="2"/>
    <s v="2006_01_043.gif"/>
    <m/>
    <m/>
    <m/>
    <b v="0"/>
    <n v="0"/>
    <x v="1"/>
    <n v="421"/>
    <s v="Newton's 2nd Law (F=MA)"/>
    <n v="4776"/>
    <x v="8"/>
    <m/>
    <m/>
    <m/>
    <m/>
    <m/>
    <m/>
    <m/>
    <m/>
    <m/>
    <m/>
    <m/>
    <m/>
    <m/>
    <m/>
    <m/>
    <m/>
    <m/>
    <m/>
    <m/>
    <m/>
    <m/>
    <m/>
    <m/>
    <m/>
    <m/>
    <m/>
    <n v="1"/>
    <m/>
    <m/>
    <m/>
    <m/>
    <m/>
    <m/>
    <m/>
    <m/>
    <m/>
    <m/>
    <m/>
    <m/>
    <m/>
    <m/>
    <m/>
    <m/>
    <m/>
    <m/>
    <m/>
    <m/>
    <m/>
    <m/>
    <m/>
    <m/>
    <m/>
    <m/>
    <m/>
    <m/>
    <m/>
    <m/>
    <m/>
    <m/>
    <m/>
  </r>
  <r>
    <x v="421"/>
    <n v="2006"/>
    <n v="1"/>
    <x v="43"/>
    <x v="5"/>
    <x v="2"/>
    <n v="4"/>
    <s v="2006_01_044.gif"/>
    <m/>
    <m/>
    <m/>
    <b v="0"/>
    <n v="0"/>
    <x v="1"/>
    <n v="422"/>
    <s v="Kinetic Energy,Graph Interpretation"/>
    <n v="4777"/>
    <x v="8"/>
    <m/>
    <m/>
    <m/>
    <m/>
    <m/>
    <m/>
    <m/>
    <m/>
    <m/>
    <m/>
    <m/>
    <m/>
    <m/>
    <m/>
    <m/>
    <m/>
    <m/>
    <m/>
    <m/>
    <m/>
    <m/>
    <m/>
    <m/>
    <m/>
    <m/>
    <m/>
    <m/>
    <m/>
    <m/>
    <m/>
    <m/>
    <m/>
    <m/>
    <n v="1"/>
    <m/>
    <m/>
    <m/>
    <m/>
    <m/>
    <m/>
    <m/>
    <m/>
    <m/>
    <m/>
    <m/>
    <m/>
    <m/>
    <m/>
    <m/>
    <m/>
    <m/>
    <m/>
    <m/>
    <m/>
    <m/>
    <m/>
    <m/>
    <n v="1"/>
    <m/>
    <m/>
  </r>
  <r>
    <x v="422"/>
    <n v="2006"/>
    <n v="1"/>
    <x v="44"/>
    <x v="4"/>
    <x v="2"/>
    <n v="4"/>
    <s v="2006_01_045.gif"/>
    <m/>
    <m/>
    <m/>
    <b v="0"/>
    <n v="0"/>
    <x v="1"/>
    <n v="423"/>
    <s v="Conservation of Momentum,Mathematical Relationships (Numberless Problems)"/>
    <n v="4778"/>
    <x v="8"/>
    <m/>
    <m/>
    <m/>
    <m/>
    <m/>
    <m/>
    <m/>
    <m/>
    <m/>
    <m/>
    <m/>
    <m/>
    <m/>
    <m/>
    <m/>
    <m/>
    <m/>
    <m/>
    <m/>
    <m/>
    <m/>
    <m/>
    <m/>
    <m/>
    <m/>
    <m/>
    <m/>
    <m/>
    <n v="1"/>
    <m/>
    <m/>
    <m/>
    <m/>
    <m/>
    <m/>
    <m/>
    <m/>
    <m/>
    <m/>
    <m/>
    <m/>
    <m/>
    <m/>
    <m/>
    <m/>
    <m/>
    <m/>
    <m/>
    <m/>
    <m/>
    <m/>
    <m/>
    <m/>
    <m/>
    <m/>
    <m/>
    <m/>
    <m/>
    <n v="1"/>
    <m/>
  </r>
  <r>
    <x v="423"/>
    <n v="2006"/>
    <n v="1"/>
    <x v="45"/>
    <x v="0"/>
    <x v="0"/>
    <n v="3"/>
    <s v="2006_01_046.gif"/>
    <m/>
    <m/>
    <m/>
    <b v="0"/>
    <n v="0"/>
    <x v="1"/>
    <n v="424"/>
    <s v="Adding Vectors"/>
    <n v="4779"/>
    <x v="8"/>
    <m/>
    <m/>
    <m/>
    <m/>
    <m/>
    <m/>
    <m/>
    <m/>
    <m/>
    <m/>
    <m/>
    <n v="1"/>
    <m/>
    <m/>
    <m/>
    <m/>
    <m/>
    <m/>
    <m/>
    <m/>
    <m/>
    <m/>
    <m/>
    <m/>
    <m/>
    <m/>
    <m/>
    <m/>
    <m/>
    <m/>
    <m/>
    <m/>
    <m/>
    <m/>
    <m/>
    <m/>
    <m/>
    <m/>
    <m/>
    <m/>
    <m/>
    <m/>
    <m/>
    <m/>
    <m/>
    <m/>
    <m/>
    <m/>
    <m/>
    <m/>
    <m/>
    <m/>
    <m/>
    <m/>
    <m/>
    <m/>
    <m/>
    <m/>
    <m/>
    <m/>
  </r>
  <r>
    <x v="424"/>
    <n v="2006"/>
    <n v="1"/>
    <x v="46"/>
    <x v="10"/>
    <x v="0"/>
    <n v="3"/>
    <s v="2006_01_047.gif"/>
    <m/>
    <m/>
    <m/>
    <b v="0"/>
    <n v="0"/>
    <x v="1"/>
    <n v="425"/>
    <s v="Energy/Frequency of Photon"/>
    <n v="4780"/>
    <x v="8"/>
    <m/>
    <m/>
    <m/>
    <m/>
    <m/>
    <m/>
    <m/>
    <m/>
    <m/>
    <m/>
    <m/>
    <m/>
    <m/>
    <m/>
    <m/>
    <m/>
    <m/>
    <m/>
    <m/>
    <m/>
    <m/>
    <m/>
    <m/>
    <m/>
    <m/>
    <m/>
    <m/>
    <m/>
    <m/>
    <m/>
    <m/>
    <m/>
    <m/>
    <m/>
    <m/>
    <m/>
    <m/>
    <m/>
    <m/>
    <m/>
    <m/>
    <m/>
    <m/>
    <m/>
    <m/>
    <m/>
    <m/>
    <m/>
    <m/>
    <m/>
    <m/>
    <m/>
    <m/>
    <m/>
    <n v="1"/>
    <m/>
    <m/>
    <m/>
    <m/>
    <m/>
  </r>
  <r>
    <x v="425"/>
    <n v="2006"/>
    <n v="6"/>
    <x v="0"/>
    <x v="2"/>
    <x v="0"/>
    <n v="3"/>
    <s v="2006_06_001.gif"/>
    <m/>
    <m/>
    <m/>
    <b v="0"/>
    <n v="0"/>
    <x v="0"/>
    <n v="426"/>
    <s v="Vertical Constant Acceleration Problems"/>
    <n v="4808"/>
    <x v="9"/>
    <m/>
    <m/>
    <m/>
    <m/>
    <m/>
    <m/>
    <m/>
    <m/>
    <m/>
    <m/>
    <n v="1"/>
    <m/>
    <m/>
    <m/>
    <m/>
    <m/>
    <m/>
    <m/>
    <m/>
    <m/>
    <m/>
    <m/>
    <m/>
    <m/>
    <m/>
    <m/>
    <m/>
    <m/>
    <m/>
    <m/>
    <m/>
    <m/>
    <m/>
    <m/>
    <m/>
    <m/>
    <m/>
    <m/>
    <m/>
    <m/>
    <m/>
    <m/>
    <m/>
    <m/>
    <m/>
    <m/>
    <m/>
    <m/>
    <m/>
    <m/>
    <m/>
    <m/>
    <m/>
    <m/>
    <m/>
    <m/>
    <m/>
    <m/>
    <m/>
    <m/>
  </r>
  <r>
    <x v="426"/>
    <n v="2006"/>
    <n v="6"/>
    <x v="1"/>
    <x v="2"/>
    <x v="0"/>
    <n v="1"/>
    <s v="2006_06_002.gif"/>
    <m/>
    <m/>
    <m/>
    <b v="0"/>
    <n v="0"/>
    <x v="0"/>
    <n v="427"/>
    <s v="Vertical Constant Acceleration Problems"/>
    <n v="4809"/>
    <x v="9"/>
    <m/>
    <m/>
    <m/>
    <m/>
    <m/>
    <m/>
    <m/>
    <m/>
    <m/>
    <m/>
    <n v="1"/>
    <m/>
    <m/>
    <m/>
    <m/>
    <m/>
    <m/>
    <m/>
    <m/>
    <m/>
    <m/>
    <m/>
    <m/>
    <m/>
    <m/>
    <m/>
    <m/>
    <m/>
    <m/>
    <m/>
    <m/>
    <m/>
    <m/>
    <m/>
    <m/>
    <m/>
    <m/>
    <m/>
    <m/>
    <m/>
    <m/>
    <m/>
    <m/>
    <m/>
    <m/>
    <m/>
    <m/>
    <m/>
    <m/>
    <m/>
    <m/>
    <m/>
    <m/>
    <m/>
    <m/>
    <m/>
    <m/>
    <m/>
    <m/>
    <m/>
  </r>
  <r>
    <x v="427"/>
    <n v="2006"/>
    <n v="6"/>
    <x v="2"/>
    <x v="0"/>
    <x v="0"/>
    <n v="1"/>
    <s v="2006_06_003.gif"/>
    <m/>
    <m/>
    <m/>
    <b v="0"/>
    <n v="0"/>
    <x v="0"/>
    <n v="428"/>
    <s v="Adding Vectors"/>
    <n v="4810"/>
    <x v="9"/>
    <m/>
    <m/>
    <m/>
    <m/>
    <m/>
    <m/>
    <m/>
    <m/>
    <m/>
    <m/>
    <m/>
    <n v="1"/>
    <m/>
    <m/>
    <m/>
    <m/>
    <m/>
    <m/>
    <m/>
    <m/>
    <m/>
    <m/>
    <m/>
    <m/>
    <m/>
    <m/>
    <m/>
    <m/>
    <m/>
    <m/>
    <m/>
    <m/>
    <m/>
    <m/>
    <m/>
    <m/>
    <m/>
    <m/>
    <m/>
    <m/>
    <m/>
    <m/>
    <m/>
    <m/>
    <m/>
    <m/>
    <m/>
    <m/>
    <m/>
    <m/>
    <m/>
    <m/>
    <m/>
    <m/>
    <m/>
    <m/>
    <m/>
    <m/>
    <m/>
    <m/>
  </r>
  <r>
    <x v="428"/>
    <n v="2006"/>
    <n v="6"/>
    <x v="3"/>
    <x v="0"/>
    <x v="9"/>
    <n v="4"/>
    <s v="2006_06_004.gif"/>
    <m/>
    <m/>
    <m/>
    <b v="0"/>
    <n v="0"/>
    <x v="0"/>
    <n v="429"/>
    <s v="Vector Components,Projectiles at an Angle"/>
    <n v="4811"/>
    <x v="9"/>
    <m/>
    <m/>
    <m/>
    <m/>
    <m/>
    <m/>
    <m/>
    <m/>
    <m/>
    <m/>
    <m/>
    <m/>
    <n v="1"/>
    <m/>
    <m/>
    <n v="1"/>
    <m/>
    <m/>
    <m/>
    <m/>
    <m/>
    <m/>
    <m/>
    <m/>
    <m/>
    <m/>
    <m/>
    <m/>
    <m/>
    <m/>
    <m/>
    <m/>
    <m/>
    <m/>
    <m/>
    <m/>
    <m/>
    <m/>
    <m/>
    <m/>
    <m/>
    <m/>
    <m/>
    <m/>
    <m/>
    <m/>
    <m/>
    <m/>
    <m/>
    <m/>
    <m/>
    <m/>
    <m/>
    <m/>
    <m/>
    <m/>
    <m/>
    <m/>
    <m/>
    <m/>
  </r>
  <r>
    <x v="429"/>
    <n v="2006"/>
    <n v="6"/>
    <x v="4"/>
    <x v="1"/>
    <x v="0"/>
    <n v="4"/>
    <s v="2006_06_005.gif"/>
    <m/>
    <m/>
    <m/>
    <b v="0"/>
    <n v="0"/>
    <x v="0"/>
    <n v="430"/>
    <s v="Newton's 1st Law (Inertia)"/>
    <n v="4812"/>
    <x v="9"/>
    <m/>
    <m/>
    <m/>
    <m/>
    <m/>
    <m/>
    <m/>
    <m/>
    <m/>
    <m/>
    <m/>
    <m/>
    <m/>
    <m/>
    <m/>
    <m/>
    <m/>
    <m/>
    <m/>
    <m/>
    <m/>
    <m/>
    <m/>
    <m/>
    <m/>
    <n v="1"/>
    <m/>
    <m/>
    <m/>
    <m/>
    <m/>
    <m/>
    <m/>
    <m/>
    <m/>
    <m/>
    <m/>
    <m/>
    <m/>
    <m/>
    <m/>
    <m/>
    <m/>
    <m/>
    <m/>
    <m/>
    <m/>
    <m/>
    <m/>
    <m/>
    <m/>
    <m/>
    <m/>
    <m/>
    <m/>
    <m/>
    <m/>
    <m/>
    <m/>
    <m/>
  </r>
  <r>
    <x v="430"/>
    <n v="2006"/>
    <n v="6"/>
    <x v="5"/>
    <x v="0"/>
    <x v="0"/>
    <n v="3"/>
    <s v="2006_06_006.gif"/>
    <m/>
    <m/>
    <m/>
    <b v="0"/>
    <n v="0"/>
    <x v="0"/>
    <n v="431"/>
    <s v="Adding Vectors"/>
    <n v="4813"/>
    <x v="9"/>
    <m/>
    <m/>
    <m/>
    <m/>
    <m/>
    <m/>
    <m/>
    <m/>
    <m/>
    <m/>
    <m/>
    <n v="1"/>
    <m/>
    <m/>
    <m/>
    <m/>
    <m/>
    <m/>
    <m/>
    <m/>
    <m/>
    <m/>
    <m/>
    <m/>
    <m/>
    <m/>
    <m/>
    <m/>
    <m/>
    <m/>
    <m/>
    <m/>
    <m/>
    <m/>
    <m/>
    <m/>
    <m/>
    <m/>
    <m/>
    <m/>
    <m/>
    <m/>
    <m/>
    <m/>
    <m/>
    <m/>
    <m/>
    <m/>
    <m/>
    <m/>
    <m/>
    <m/>
    <m/>
    <m/>
    <m/>
    <m/>
    <m/>
    <m/>
    <m/>
    <m/>
  </r>
  <r>
    <x v="431"/>
    <n v="2006"/>
    <n v="6"/>
    <x v="6"/>
    <x v="3"/>
    <x v="0"/>
    <n v="1"/>
    <s v="2006_06_007.gif"/>
    <m/>
    <m/>
    <m/>
    <b v="0"/>
    <n v="0"/>
    <x v="0"/>
    <n v="432"/>
    <s v="Centripetal Motion - Direction F,A,V"/>
    <n v="4814"/>
    <x v="9"/>
    <m/>
    <m/>
    <m/>
    <m/>
    <m/>
    <m/>
    <m/>
    <m/>
    <m/>
    <m/>
    <m/>
    <m/>
    <m/>
    <m/>
    <m/>
    <m/>
    <m/>
    <m/>
    <m/>
    <n v="1"/>
    <m/>
    <m/>
    <m/>
    <m/>
    <m/>
    <m/>
    <m/>
    <m/>
    <m/>
    <m/>
    <m/>
    <m/>
    <m/>
    <m/>
    <m/>
    <m/>
    <m/>
    <m/>
    <m/>
    <m/>
    <m/>
    <m/>
    <m/>
    <m/>
    <m/>
    <m/>
    <m/>
    <m/>
    <m/>
    <m/>
    <m/>
    <m/>
    <m/>
    <m/>
    <m/>
    <m/>
    <m/>
    <m/>
    <m/>
    <m/>
  </r>
  <r>
    <x v="432"/>
    <n v="2006"/>
    <n v="6"/>
    <x v="7"/>
    <x v="3"/>
    <x v="0"/>
    <n v="2"/>
    <s v="2006_06_008.gif"/>
    <m/>
    <m/>
    <m/>
    <b v="0"/>
    <n v="0"/>
    <x v="0"/>
    <n v="433"/>
    <s v="Centripetal Motion - Calculation"/>
    <n v="4815"/>
    <x v="9"/>
    <m/>
    <m/>
    <m/>
    <m/>
    <m/>
    <m/>
    <m/>
    <m/>
    <m/>
    <m/>
    <m/>
    <m/>
    <m/>
    <m/>
    <m/>
    <m/>
    <m/>
    <m/>
    <m/>
    <m/>
    <n v="1"/>
    <m/>
    <m/>
    <m/>
    <m/>
    <m/>
    <m/>
    <m/>
    <m/>
    <m/>
    <m/>
    <m/>
    <m/>
    <m/>
    <m/>
    <m/>
    <m/>
    <m/>
    <m/>
    <m/>
    <m/>
    <m/>
    <m/>
    <m/>
    <m/>
    <m/>
    <m/>
    <m/>
    <m/>
    <m/>
    <m/>
    <m/>
    <m/>
    <m/>
    <m/>
    <m/>
    <m/>
    <m/>
    <m/>
    <m/>
  </r>
  <r>
    <x v="433"/>
    <n v="2006"/>
    <n v="6"/>
    <x v="8"/>
    <x v="4"/>
    <x v="0"/>
    <n v="3"/>
    <s v="2006_06_009.gif"/>
    <m/>
    <m/>
    <m/>
    <b v="0"/>
    <n v="0"/>
    <x v="0"/>
    <n v="434"/>
    <s v="Impulse"/>
    <n v="4816"/>
    <x v="9"/>
    <m/>
    <m/>
    <m/>
    <m/>
    <m/>
    <m/>
    <m/>
    <m/>
    <m/>
    <m/>
    <m/>
    <m/>
    <m/>
    <m/>
    <m/>
    <m/>
    <m/>
    <m/>
    <m/>
    <m/>
    <m/>
    <m/>
    <m/>
    <m/>
    <m/>
    <m/>
    <m/>
    <m/>
    <m/>
    <n v="1"/>
    <m/>
    <m/>
    <m/>
    <m/>
    <m/>
    <m/>
    <m/>
    <m/>
    <m/>
    <m/>
    <m/>
    <m/>
    <m/>
    <m/>
    <m/>
    <m/>
    <m/>
    <m/>
    <m/>
    <m/>
    <m/>
    <m/>
    <m/>
    <m/>
    <m/>
    <m/>
    <m/>
    <m/>
    <m/>
    <m/>
  </r>
  <r>
    <x v="434"/>
    <n v="2006"/>
    <n v="6"/>
    <x v="9"/>
    <x v="6"/>
    <x v="0"/>
    <n v="1"/>
    <s v="2006_06_010.gif"/>
    <m/>
    <m/>
    <m/>
    <b v="0"/>
    <n v="0"/>
    <x v="0"/>
    <n v="435"/>
    <s v="Induction, Conduction, Polarization"/>
    <n v="4817"/>
    <x v="9"/>
    <m/>
    <m/>
    <m/>
    <m/>
    <m/>
    <m/>
    <m/>
    <m/>
    <m/>
    <m/>
    <m/>
    <m/>
    <m/>
    <m/>
    <m/>
    <m/>
    <m/>
    <m/>
    <m/>
    <m/>
    <m/>
    <m/>
    <m/>
    <m/>
    <m/>
    <m/>
    <m/>
    <m/>
    <m/>
    <m/>
    <m/>
    <m/>
    <m/>
    <m/>
    <m/>
    <m/>
    <m/>
    <m/>
    <m/>
    <m/>
    <m/>
    <m/>
    <m/>
    <m/>
    <m/>
    <m/>
    <n v="1"/>
    <m/>
    <m/>
    <m/>
    <m/>
    <m/>
    <m/>
    <m/>
    <m/>
    <m/>
    <m/>
    <m/>
    <m/>
    <m/>
  </r>
  <r>
    <x v="435"/>
    <n v="2006"/>
    <n v="6"/>
    <x v="10"/>
    <x v="12"/>
    <x v="6"/>
    <n v="4"/>
    <s v="2006_06_011.gif"/>
    <m/>
    <m/>
    <m/>
    <b v="0"/>
    <n v="0"/>
    <x v="0"/>
    <n v="436"/>
    <s v="Law of Gravity"/>
    <n v="4818"/>
    <x v="9"/>
    <m/>
    <m/>
    <m/>
    <m/>
    <m/>
    <m/>
    <m/>
    <m/>
    <m/>
    <m/>
    <m/>
    <m/>
    <m/>
    <m/>
    <m/>
    <m/>
    <m/>
    <m/>
    <m/>
    <m/>
    <m/>
    <m/>
    <m/>
    <m/>
    <n v="1"/>
    <m/>
    <m/>
    <m/>
    <m/>
    <m/>
    <m/>
    <m/>
    <m/>
    <m/>
    <m/>
    <m/>
    <m/>
    <m/>
    <m/>
    <m/>
    <m/>
    <m/>
    <m/>
    <m/>
    <m/>
    <m/>
    <m/>
    <m/>
    <m/>
    <m/>
    <m/>
    <m/>
    <m/>
    <m/>
    <m/>
    <m/>
    <m/>
    <m/>
    <m/>
    <m/>
  </r>
  <r>
    <x v="436"/>
    <n v="2006"/>
    <n v="6"/>
    <x v="11"/>
    <x v="5"/>
    <x v="0"/>
    <n v="2"/>
    <s v="2006_06_012.gif"/>
    <m/>
    <m/>
    <m/>
    <b v="0"/>
    <n v="0"/>
    <x v="0"/>
    <n v="437"/>
    <s v="Work/Power"/>
    <n v="4819"/>
    <x v="9"/>
    <m/>
    <m/>
    <m/>
    <m/>
    <m/>
    <m/>
    <m/>
    <m/>
    <m/>
    <m/>
    <m/>
    <m/>
    <m/>
    <m/>
    <m/>
    <m/>
    <m/>
    <m/>
    <m/>
    <m/>
    <m/>
    <m/>
    <m/>
    <m/>
    <m/>
    <m/>
    <m/>
    <m/>
    <m/>
    <m/>
    <m/>
    <m/>
    <m/>
    <m/>
    <m/>
    <n v="1"/>
    <m/>
    <m/>
    <m/>
    <m/>
    <m/>
    <m/>
    <m/>
    <m/>
    <m/>
    <m/>
    <m/>
    <m/>
    <m/>
    <m/>
    <m/>
    <m/>
    <m/>
    <m/>
    <m/>
    <m/>
    <m/>
    <m/>
    <m/>
    <m/>
  </r>
  <r>
    <x v="437"/>
    <n v="2006"/>
    <n v="6"/>
    <x v="12"/>
    <x v="5"/>
    <x v="0"/>
    <n v="4"/>
    <s v="2006_06_013.gif"/>
    <m/>
    <m/>
    <m/>
    <b v="0"/>
    <n v="0"/>
    <x v="0"/>
    <n v="438"/>
    <s v="Gravitational PE"/>
    <n v="4820"/>
    <x v="9"/>
    <m/>
    <m/>
    <m/>
    <m/>
    <m/>
    <m/>
    <m/>
    <m/>
    <m/>
    <m/>
    <m/>
    <m/>
    <m/>
    <m/>
    <m/>
    <m/>
    <m/>
    <m/>
    <m/>
    <m/>
    <m/>
    <m/>
    <m/>
    <m/>
    <m/>
    <m/>
    <m/>
    <m/>
    <m/>
    <m/>
    <m/>
    <m/>
    <n v="1"/>
    <m/>
    <m/>
    <m/>
    <m/>
    <m/>
    <m/>
    <m/>
    <m/>
    <m/>
    <m/>
    <m/>
    <m/>
    <m/>
    <m/>
    <m/>
    <m/>
    <m/>
    <m/>
    <m/>
    <m/>
    <m/>
    <m/>
    <m/>
    <m/>
    <m/>
    <m/>
    <m/>
  </r>
  <r>
    <x v="438"/>
    <n v="2006"/>
    <n v="6"/>
    <x v="13"/>
    <x v="5"/>
    <x v="0"/>
    <n v="1"/>
    <s v="2006_06_014.gif"/>
    <m/>
    <m/>
    <m/>
    <b v="0"/>
    <n v="0"/>
    <x v="0"/>
    <n v="439"/>
    <s v="Kinetic Energy,PE of Spring"/>
    <n v="4821"/>
    <x v="9"/>
    <m/>
    <m/>
    <m/>
    <m/>
    <m/>
    <m/>
    <m/>
    <m/>
    <m/>
    <m/>
    <m/>
    <m/>
    <m/>
    <m/>
    <m/>
    <m/>
    <m/>
    <m/>
    <m/>
    <m/>
    <m/>
    <m/>
    <m/>
    <m/>
    <m/>
    <m/>
    <m/>
    <m/>
    <m/>
    <m/>
    <m/>
    <m/>
    <m/>
    <n v="1"/>
    <n v="1"/>
    <m/>
    <m/>
    <m/>
    <m/>
    <m/>
    <m/>
    <m/>
    <m/>
    <m/>
    <m/>
    <m/>
    <m/>
    <m/>
    <m/>
    <m/>
    <m/>
    <m/>
    <m/>
    <m/>
    <m/>
    <m/>
    <m/>
    <m/>
    <m/>
    <m/>
  </r>
  <r>
    <x v="439"/>
    <n v="2006"/>
    <n v="6"/>
    <x v="14"/>
    <x v="5"/>
    <x v="0"/>
    <n v="3"/>
    <s v="2006_06_015.gif"/>
    <m/>
    <m/>
    <m/>
    <b v="0"/>
    <n v="0"/>
    <x v="0"/>
    <n v="440"/>
    <s v="Conservation of Energy"/>
    <n v="4822"/>
    <x v="9"/>
    <m/>
    <m/>
    <m/>
    <m/>
    <m/>
    <m/>
    <m/>
    <m/>
    <m/>
    <m/>
    <m/>
    <m/>
    <m/>
    <m/>
    <m/>
    <m/>
    <m/>
    <m/>
    <m/>
    <m/>
    <m/>
    <m/>
    <m/>
    <m/>
    <m/>
    <m/>
    <m/>
    <m/>
    <m/>
    <m/>
    <m/>
    <n v="1"/>
    <m/>
    <m/>
    <m/>
    <m/>
    <m/>
    <m/>
    <m/>
    <m/>
    <m/>
    <m/>
    <m/>
    <m/>
    <m/>
    <m/>
    <m/>
    <m/>
    <m/>
    <m/>
    <m/>
    <m/>
    <m/>
    <m/>
    <m/>
    <m/>
    <m/>
    <m/>
    <m/>
    <m/>
  </r>
  <r>
    <x v="440"/>
    <n v="2006"/>
    <n v="6"/>
    <x v="15"/>
    <x v="5"/>
    <x v="0"/>
    <n v="3"/>
    <s v="2006_06_016.gif"/>
    <m/>
    <m/>
    <m/>
    <b v="0"/>
    <n v="0"/>
    <x v="0"/>
    <n v="441"/>
    <s v="Kinetic Energy"/>
    <n v="4823"/>
    <x v="9"/>
    <m/>
    <m/>
    <m/>
    <m/>
    <m/>
    <m/>
    <m/>
    <m/>
    <m/>
    <m/>
    <m/>
    <m/>
    <m/>
    <m/>
    <m/>
    <m/>
    <m/>
    <m/>
    <m/>
    <m/>
    <m/>
    <m/>
    <m/>
    <m/>
    <m/>
    <m/>
    <m/>
    <m/>
    <m/>
    <m/>
    <m/>
    <m/>
    <m/>
    <n v="1"/>
    <m/>
    <m/>
    <m/>
    <m/>
    <m/>
    <m/>
    <m/>
    <m/>
    <m/>
    <m/>
    <m/>
    <m/>
    <m/>
    <m/>
    <m/>
    <m/>
    <m/>
    <m/>
    <m/>
    <m/>
    <m/>
    <m/>
    <m/>
    <m/>
    <m/>
    <m/>
  </r>
  <r>
    <x v="441"/>
    <n v="2006"/>
    <n v="6"/>
    <x v="16"/>
    <x v="9"/>
    <x v="0"/>
    <n v="2"/>
    <s v="2006_06_017.gif"/>
    <m/>
    <m/>
    <m/>
    <b v="0"/>
    <n v="0"/>
    <x v="0"/>
    <n v="442"/>
    <s v="Light and Sound"/>
    <n v="4824"/>
    <x v="9"/>
    <m/>
    <m/>
    <m/>
    <m/>
    <m/>
    <m/>
    <m/>
    <m/>
    <m/>
    <m/>
    <m/>
    <m/>
    <m/>
    <m/>
    <m/>
    <m/>
    <m/>
    <m/>
    <m/>
    <m/>
    <m/>
    <m/>
    <m/>
    <m/>
    <m/>
    <m/>
    <m/>
    <m/>
    <m/>
    <m/>
    <m/>
    <m/>
    <m/>
    <m/>
    <m/>
    <m/>
    <m/>
    <m/>
    <m/>
    <m/>
    <m/>
    <m/>
    <n v="1"/>
    <m/>
    <m/>
    <m/>
    <m/>
    <m/>
    <m/>
    <m/>
    <m/>
    <m/>
    <m/>
    <m/>
    <m/>
    <m/>
    <m/>
    <m/>
    <m/>
    <m/>
  </r>
  <r>
    <x v="442"/>
    <n v="2006"/>
    <n v="6"/>
    <x v="17"/>
    <x v="8"/>
    <x v="0"/>
    <n v="2"/>
    <s v="2006_06_018.gif"/>
    <m/>
    <m/>
    <m/>
    <b v="0"/>
    <n v="0"/>
    <x v="0"/>
    <n v="443"/>
    <s v="Resistance of Wire"/>
    <n v="4825"/>
    <x v="9"/>
    <m/>
    <m/>
    <m/>
    <m/>
    <m/>
    <m/>
    <m/>
    <m/>
    <m/>
    <m/>
    <m/>
    <m/>
    <m/>
    <m/>
    <m/>
    <m/>
    <m/>
    <m/>
    <m/>
    <m/>
    <m/>
    <m/>
    <m/>
    <m/>
    <m/>
    <m/>
    <m/>
    <m/>
    <m/>
    <m/>
    <m/>
    <m/>
    <m/>
    <m/>
    <m/>
    <m/>
    <m/>
    <m/>
    <m/>
    <m/>
    <m/>
    <m/>
    <m/>
    <m/>
    <m/>
    <m/>
    <m/>
    <m/>
    <m/>
    <m/>
    <m/>
    <n v="1"/>
    <m/>
    <m/>
    <m/>
    <m/>
    <m/>
    <m/>
    <m/>
    <m/>
  </r>
  <r>
    <x v="443"/>
    <n v="2006"/>
    <n v="6"/>
    <x v="18"/>
    <x v="8"/>
    <x v="2"/>
    <n v="3"/>
    <s v="2006_06_019.gif"/>
    <m/>
    <m/>
    <m/>
    <b v="0"/>
    <n v="0"/>
    <x v="0"/>
    <n v="444"/>
    <s v="Ohm's Law,Mathematical Relationships (Numberless Problems)"/>
    <n v="4826"/>
    <x v="9"/>
    <m/>
    <m/>
    <m/>
    <m/>
    <m/>
    <m/>
    <m/>
    <m/>
    <m/>
    <m/>
    <m/>
    <m/>
    <m/>
    <m/>
    <m/>
    <m/>
    <m/>
    <m/>
    <m/>
    <m/>
    <m/>
    <m/>
    <m/>
    <m/>
    <m/>
    <m/>
    <m/>
    <m/>
    <m/>
    <m/>
    <m/>
    <m/>
    <m/>
    <m/>
    <m/>
    <m/>
    <m/>
    <m/>
    <m/>
    <m/>
    <m/>
    <m/>
    <m/>
    <m/>
    <m/>
    <m/>
    <m/>
    <m/>
    <m/>
    <m/>
    <n v="1"/>
    <m/>
    <m/>
    <m/>
    <m/>
    <m/>
    <m/>
    <m/>
    <n v="1"/>
    <m/>
  </r>
  <r>
    <x v="444"/>
    <n v="2006"/>
    <n v="6"/>
    <x v="19"/>
    <x v="8"/>
    <x v="0"/>
    <n v="4"/>
    <s v="2006_06_020.gif"/>
    <m/>
    <m/>
    <m/>
    <b v="0"/>
    <n v="0"/>
    <x v="0"/>
    <n v="445"/>
    <s v="Series and Parallel"/>
    <n v="4827"/>
    <x v="9"/>
    <m/>
    <m/>
    <m/>
    <m/>
    <m/>
    <m/>
    <m/>
    <m/>
    <m/>
    <m/>
    <m/>
    <m/>
    <m/>
    <m/>
    <m/>
    <m/>
    <m/>
    <m/>
    <m/>
    <m/>
    <m/>
    <m/>
    <m/>
    <m/>
    <m/>
    <m/>
    <m/>
    <m/>
    <m/>
    <m/>
    <m/>
    <m/>
    <m/>
    <m/>
    <m/>
    <m/>
    <m/>
    <m/>
    <m/>
    <m/>
    <m/>
    <m/>
    <m/>
    <m/>
    <m/>
    <m/>
    <m/>
    <m/>
    <m/>
    <m/>
    <m/>
    <m/>
    <n v="1"/>
    <m/>
    <m/>
    <m/>
    <m/>
    <m/>
    <m/>
    <m/>
  </r>
  <r>
    <x v="445"/>
    <n v="2006"/>
    <n v="6"/>
    <x v="20"/>
    <x v="8"/>
    <x v="0"/>
    <n v="1"/>
    <s v="2006_06_021.gif"/>
    <m/>
    <m/>
    <m/>
    <b v="0"/>
    <n v="0"/>
    <x v="0"/>
    <n v="446"/>
    <s v="Series and Parallel"/>
    <n v="4828"/>
    <x v="9"/>
    <m/>
    <m/>
    <m/>
    <m/>
    <m/>
    <m/>
    <m/>
    <m/>
    <m/>
    <m/>
    <m/>
    <m/>
    <m/>
    <m/>
    <m/>
    <m/>
    <m/>
    <m/>
    <m/>
    <m/>
    <m/>
    <m/>
    <m/>
    <m/>
    <m/>
    <m/>
    <m/>
    <m/>
    <m/>
    <m/>
    <m/>
    <m/>
    <m/>
    <m/>
    <m/>
    <m/>
    <m/>
    <m/>
    <m/>
    <m/>
    <m/>
    <m/>
    <m/>
    <m/>
    <m/>
    <m/>
    <m/>
    <m/>
    <m/>
    <m/>
    <m/>
    <m/>
    <n v="1"/>
    <m/>
    <m/>
    <m/>
    <m/>
    <m/>
    <m/>
    <m/>
  </r>
  <r>
    <x v="446"/>
    <n v="2006"/>
    <n v="6"/>
    <x v="21"/>
    <x v="8"/>
    <x v="2"/>
    <n v="1"/>
    <s v="2006_06_022.gif"/>
    <m/>
    <m/>
    <m/>
    <b v="0"/>
    <n v="0"/>
    <x v="0"/>
    <n v="447"/>
    <s v="Electrical Power,Mathematical Relationships (Numberless Problems)"/>
    <n v="4829"/>
    <x v="9"/>
    <m/>
    <m/>
    <m/>
    <m/>
    <m/>
    <m/>
    <m/>
    <m/>
    <m/>
    <m/>
    <m/>
    <m/>
    <m/>
    <m/>
    <m/>
    <m/>
    <m/>
    <m/>
    <m/>
    <m/>
    <m/>
    <m/>
    <m/>
    <m/>
    <m/>
    <m/>
    <m/>
    <m/>
    <m/>
    <m/>
    <m/>
    <m/>
    <m/>
    <m/>
    <m/>
    <m/>
    <m/>
    <m/>
    <m/>
    <m/>
    <m/>
    <m/>
    <m/>
    <m/>
    <m/>
    <m/>
    <m/>
    <m/>
    <m/>
    <n v="1"/>
    <m/>
    <m/>
    <m/>
    <m/>
    <m/>
    <m/>
    <m/>
    <m/>
    <n v="1"/>
    <m/>
  </r>
  <r>
    <x v="447"/>
    <n v="2006"/>
    <n v="6"/>
    <x v="22"/>
    <x v="8"/>
    <x v="0"/>
    <n v="4"/>
    <s v="2006_06_023.gif"/>
    <m/>
    <m/>
    <m/>
    <b v="0"/>
    <n v="0"/>
    <x v="0"/>
    <n v="448"/>
    <s v="Electrical Power"/>
    <n v="4830"/>
    <x v="9"/>
    <m/>
    <m/>
    <m/>
    <m/>
    <m/>
    <m/>
    <m/>
    <m/>
    <m/>
    <m/>
    <m/>
    <m/>
    <m/>
    <m/>
    <m/>
    <m/>
    <m/>
    <m/>
    <m/>
    <m/>
    <m/>
    <m/>
    <m/>
    <m/>
    <m/>
    <m/>
    <m/>
    <m/>
    <m/>
    <m/>
    <m/>
    <m/>
    <m/>
    <m/>
    <m/>
    <m/>
    <m/>
    <m/>
    <m/>
    <m/>
    <m/>
    <m/>
    <m/>
    <m/>
    <m/>
    <m/>
    <m/>
    <m/>
    <m/>
    <n v="1"/>
    <m/>
    <m/>
    <m/>
    <m/>
    <m/>
    <m/>
    <m/>
    <m/>
    <m/>
    <m/>
  </r>
  <r>
    <x v="448"/>
    <n v="2006"/>
    <n v="6"/>
    <x v="23"/>
    <x v="8"/>
    <x v="0"/>
    <n v="3"/>
    <s v="2006_06_024.gif"/>
    <m/>
    <m/>
    <m/>
    <b v="0"/>
    <n v="0"/>
    <x v="0"/>
    <n v="449"/>
    <s v="Series and Parallel"/>
    <n v="4831"/>
    <x v="9"/>
    <m/>
    <m/>
    <m/>
    <m/>
    <m/>
    <m/>
    <m/>
    <m/>
    <m/>
    <m/>
    <m/>
    <m/>
    <m/>
    <m/>
    <m/>
    <m/>
    <m/>
    <m/>
    <m/>
    <m/>
    <m/>
    <m/>
    <m/>
    <m/>
    <m/>
    <m/>
    <m/>
    <m/>
    <m/>
    <m/>
    <m/>
    <m/>
    <m/>
    <m/>
    <m/>
    <m/>
    <m/>
    <m/>
    <m/>
    <m/>
    <m/>
    <m/>
    <m/>
    <m/>
    <m/>
    <m/>
    <m/>
    <m/>
    <m/>
    <m/>
    <m/>
    <m/>
    <n v="1"/>
    <m/>
    <m/>
    <m/>
    <m/>
    <m/>
    <m/>
    <m/>
  </r>
  <r>
    <x v="449"/>
    <n v="2006"/>
    <n v="6"/>
    <x v="24"/>
    <x v="9"/>
    <x v="0"/>
    <n v="2"/>
    <s v="2006_06_025.gif"/>
    <m/>
    <m/>
    <m/>
    <b v="0"/>
    <n v="0"/>
    <x v="0"/>
    <n v="450"/>
    <s v="Light and Sound"/>
    <n v="4832"/>
    <x v="9"/>
    <m/>
    <m/>
    <m/>
    <m/>
    <m/>
    <m/>
    <m/>
    <m/>
    <m/>
    <m/>
    <m/>
    <m/>
    <m/>
    <m/>
    <m/>
    <m/>
    <m/>
    <m/>
    <m/>
    <m/>
    <m/>
    <m/>
    <m/>
    <m/>
    <m/>
    <m/>
    <m/>
    <m/>
    <m/>
    <m/>
    <m/>
    <m/>
    <m/>
    <m/>
    <m/>
    <m/>
    <m/>
    <m/>
    <m/>
    <m/>
    <m/>
    <m/>
    <n v="1"/>
    <m/>
    <m/>
    <m/>
    <m/>
    <m/>
    <m/>
    <m/>
    <m/>
    <m/>
    <m/>
    <m/>
    <m/>
    <m/>
    <m/>
    <m/>
    <m/>
    <m/>
  </r>
  <r>
    <x v="450"/>
    <n v="2006"/>
    <n v="6"/>
    <x v="25"/>
    <x v="2"/>
    <x v="0"/>
    <n v="2"/>
    <s v="2006_06_026.gif"/>
    <m/>
    <m/>
    <m/>
    <b v="0"/>
    <n v="0"/>
    <x v="0"/>
    <n v="451"/>
    <s v="DT/VT Graphs"/>
    <n v="4833"/>
    <x v="9"/>
    <m/>
    <m/>
    <m/>
    <m/>
    <n v="1"/>
    <m/>
    <m/>
    <m/>
    <m/>
    <m/>
    <m/>
    <m/>
    <m/>
    <m/>
    <m/>
    <m/>
    <m/>
    <m/>
    <m/>
    <m/>
    <m/>
    <m/>
    <m/>
    <m/>
    <m/>
    <m/>
    <m/>
    <m/>
    <m/>
    <m/>
    <m/>
    <m/>
    <m/>
    <m/>
    <m/>
    <m/>
    <m/>
    <m/>
    <m/>
    <m/>
    <m/>
    <m/>
    <m/>
    <m/>
    <m/>
    <m/>
    <m/>
    <m/>
    <m/>
    <m/>
    <m/>
    <m/>
    <m/>
    <m/>
    <m/>
    <m/>
    <m/>
    <m/>
    <m/>
    <m/>
  </r>
  <r>
    <x v="451"/>
    <n v="2006"/>
    <n v="6"/>
    <x v="26"/>
    <x v="7"/>
    <x v="0"/>
    <n v="4"/>
    <s v="2006_06_027.gif"/>
    <m/>
    <m/>
    <m/>
    <b v="0"/>
    <n v="0"/>
    <x v="0"/>
    <n v="452"/>
    <s v="Wave Vocabulary"/>
    <n v="4834"/>
    <x v="9"/>
    <m/>
    <m/>
    <m/>
    <m/>
    <m/>
    <m/>
    <m/>
    <m/>
    <m/>
    <m/>
    <m/>
    <m/>
    <m/>
    <m/>
    <m/>
    <m/>
    <m/>
    <m/>
    <m/>
    <m/>
    <m/>
    <m/>
    <m/>
    <m/>
    <m/>
    <m/>
    <m/>
    <m/>
    <m/>
    <m/>
    <m/>
    <m/>
    <m/>
    <m/>
    <m/>
    <m/>
    <m/>
    <m/>
    <m/>
    <n v="1"/>
    <m/>
    <m/>
    <m/>
    <m/>
    <m/>
    <m/>
    <m/>
    <m/>
    <m/>
    <m/>
    <m/>
    <m/>
    <m/>
    <m/>
    <m/>
    <m/>
    <m/>
    <m/>
    <m/>
    <m/>
  </r>
  <r>
    <x v="452"/>
    <n v="2006"/>
    <n v="6"/>
    <x v="27"/>
    <x v="9"/>
    <x v="0"/>
    <n v="2"/>
    <s v="2006_06_028.gif"/>
    <m/>
    <m/>
    <m/>
    <b v="0"/>
    <n v="0"/>
    <x v="0"/>
    <n v="453"/>
    <s v="Refraction and Snell's Law"/>
    <n v="4835"/>
    <x v="9"/>
    <m/>
    <m/>
    <m/>
    <m/>
    <m/>
    <m/>
    <m/>
    <m/>
    <m/>
    <m/>
    <m/>
    <m/>
    <m/>
    <m/>
    <m/>
    <m/>
    <m/>
    <m/>
    <m/>
    <m/>
    <m/>
    <m/>
    <m/>
    <m/>
    <m/>
    <m/>
    <m/>
    <m/>
    <m/>
    <m/>
    <m/>
    <m/>
    <m/>
    <m/>
    <m/>
    <m/>
    <m/>
    <m/>
    <m/>
    <m/>
    <m/>
    <m/>
    <m/>
    <n v="1"/>
    <m/>
    <m/>
    <m/>
    <m/>
    <m/>
    <m/>
    <m/>
    <m/>
    <m/>
    <m/>
    <m/>
    <m/>
    <m/>
    <m/>
    <m/>
    <m/>
  </r>
  <r>
    <x v="453"/>
    <n v="2006"/>
    <n v="6"/>
    <x v="28"/>
    <x v="9"/>
    <x v="0"/>
    <n v="2"/>
    <s v="2006_06_029.gif"/>
    <m/>
    <m/>
    <m/>
    <b v="0"/>
    <n v="0"/>
    <x v="0"/>
    <n v="454"/>
    <s v="Refraction and Snell's Law"/>
    <n v="4836"/>
    <x v="9"/>
    <m/>
    <m/>
    <m/>
    <m/>
    <m/>
    <m/>
    <m/>
    <m/>
    <m/>
    <m/>
    <m/>
    <m/>
    <m/>
    <m/>
    <m/>
    <m/>
    <m/>
    <m/>
    <m/>
    <m/>
    <m/>
    <m/>
    <m/>
    <m/>
    <m/>
    <m/>
    <m/>
    <m/>
    <m/>
    <m/>
    <m/>
    <m/>
    <m/>
    <m/>
    <m/>
    <m/>
    <m/>
    <m/>
    <m/>
    <m/>
    <m/>
    <m/>
    <m/>
    <n v="1"/>
    <m/>
    <m/>
    <m/>
    <m/>
    <m/>
    <m/>
    <m/>
    <m/>
    <m/>
    <m/>
    <m/>
    <m/>
    <m/>
    <m/>
    <m/>
    <m/>
  </r>
  <r>
    <x v="454"/>
    <n v="2006"/>
    <n v="6"/>
    <x v="29"/>
    <x v="9"/>
    <x v="0"/>
    <n v="2"/>
    <s v="2006_06_030.gif"/>
    <m/>
    <m/>
    <m/>
    <b v="0"/>
    <n v="0"/>
    <x v="0"/>
    <n v="455"/>
    <s v="Refraction and Snell's Law"/>
    <n v="4837"/>
    <x v="9"/>
    <m/>
    <m/>
    <m/>
    <m/>
    <m/>
    <m/>
    <m/>
    <m/>
    <m/>
    <m/>
    <m/>
    <m/>
    <m/>
    <m/>
    <m/>
    <m/>
    <m/>
    <m/>
    <m/>
    <m/>
    <m/>
    <m/>
    <m/>
    <m/>
    <m/>
    <m/>
    <m/>
    <m/>
    <m/>
    <m/>
    <m/>
    <m/>
    <m/>
    <m/>
    <m/>
    <m/>
    <m/>
    <m/>
    <m/>
    <m/>
    <m/>
    <m/>
    <m/>
    <n v="1"/>
    <m/>
    <m/>
    <m/>
    <m/>
    <m/>
    <m/>
    <m/>
    <m/>
    <m/>
    <m/>
    <m/>
    <m/>
    <m/>
    <m/>
    <m/>
    <m/>
  </r>
  <r>
    <x v="455"/>
    <n v="2006"/>
    <n v="6"/>
    <x v="30"/>
    <x v="7"/>
    <x v="0"/>
    <n v="4"/>
    <s v="2006_06_031.gif"/>
    <m/>
    <m/>
    <m/>
    <b v="0"/>
    <n v="0"/>
    <x v="0"/>
    <n v="456"/>
    <s v="Resonance"/>
    <n v="4838"/>
    <x v="9"/>
    <m/>
    <m/>
    <m/>
    <m/>
    <m/>
    <m/>
    <m/>
    <m/>
    <m/>
    <m/>
    <m/>
    <m/>
    <m/>
    <m/>
    <m/>
    <m/>
    <m/>
    <m/>
    <m/>
    <m/>
    <m/>
    <m/>
    <m/>
    <m/>
    <m/>
    <m/>
    <m/>
    <m/>
    <m/>
    <m/>
    <m/>
    <m/>
    <m/>
    <m/>
    <m/>
    <m/>
    <n v="1"/>
    <m/>
    <m/>
    <m/>
    <m/>
    <m/>
    <m/>
    <m/>
    <m/>
    <m/>
    <m/>
    <m/>
    <m/>
    <m/>
    <m/>
    <m/>
    <m/>
    <m/>
    <m/>
    <m/>
    <m/>
    <m/>
    <m/>
    <m/>
  </r>
  <r>
    <x v="456"/>
    <n v="2006"/>
    <n v="6"/>
    <x v="31"/>
    <x v="7"/>
    <x v="0"/>
    <n v="3"/>
    <s v="2006_06_032.gif"/>
    <m/>
    <m/>
    <m/>
    <b v="0"/>
    <n v="0"/>
    <x v="0"/>
    <n v="457"/>
    <s v="Superposition and Standing Waves"/>
    <n v="4839"/>
    <x v="9"/>
    <m/>
    <m/>
    <m/>
    <m/>
    <m/>
    <m/>
    <m/>
    <m/>
    <m/>
    <m/>
    <m/>
    <m/>
    <m/>
    <m/>
    <m/>
    <m/>
    <m/>
    <m/>
    <m/>
    <m/>
    <m/>
    <m/>
    <m/>
    <m/>
    <m/>
    <m/>
    <m/>
    <m/>
    <m/>
    <m/>
    <m/>
    <m/>
    <m/>
    <m/>
    <m/>
    <m/>
    <m/>
    <n v="1"/>
    <m/>
    <m/>
    <m/>
    <m/>
    <m/>
    <m/>
    <m/>
    <m/>
    <m/>
    <m/>
    <m/>
    <m/>
    <m/>
    <m/>
    <m/>
    <m/>
    <m/>
    <m/>
    <m/>
    <m/>
    <m/>
    <m/>
  </r>
  <r>
    <x v="457"/>
    <n v="2006"/>
    <n v="6"/>
    <x v="32"/>
    <x v="7"/>
    <x v="0"/>
    <n v="1"/>
    <s v="2006_06_033.gif"/>
    <m/>
    <m/>
    <m/>
    <b v="0"/>
    <n v="0"/>
    <x v="0"/>
    <n v="458"/>
    <s v="Wave Vocabulary"/>
    <n v="4840"/>
    <x v="9"/>
    <m/>
    <m/>
    <m/>
    <m/>
    <m/>
    <m/>
    <m/>
    <m/>
    <m/>
    <m/>
    <m/>
    <m/>
    <m/>
    <m/>
    <m/>
    <m/>
    <m/>
    <m/>
    <m/>
    <m/>
    <m/>
    <m/>
    <m/>
    <m/>
    <m/>
    <m/>
    <m/>
    <m/>
    <m/>
    <m/>
    <m/>
    <m/>
    <m/>
    <m/>
    <m/>
    <m/>
    <m/>
    <m/>
    <m/>
    <n v="1"/>
    <m/>
    <m/>
    <m/>
    <m/>
    <m/>
    <m/>
    <m/>
    <m/>
    <m/>
    <m/>
    <m/>
    <m/>
    <m/>
    <m/>
    <m/>
    <m/>
    <m/>
    <m/>
    <m/>
    <m/>
  </r>
  <r>
    <x v="458"/>
    <n v="2006"/>
    <n v="6"/>
    <x v="33"/>
    <x v="10"/>
    <x v="0"/>
    <n v="3"/>
    <s v="2006_06_034.gif"/>
    <m/>
    <m/>
    <m/>
    <b v="0"/>
    <n v="0"/>
    <x v="0"/>
    <n v="459"/>
    <s v="Particle Physics"/>
    <n v="4841"/>
    <x v="9"/>
    <m/>
    <m/>
    <m/>
    <m/>
    <m/>
    <m/>
    <m/>
    <m/>
    <m/>
    <m/>
    <m/>
    <m/>
    <m/>
    <m/>
    <m/>
    <m/>
    <m/>
    <m/>
    <m/>
    <m/>
    <m/>
    <m/>
    <m/>
    <m/>
    <m/>
    <m/>
    <m/>
    <m/>
    <m/>
    <m/>
    <m/>
    <m/>
    <m/>
    <m/>
    <m/>
    <m/>
    <m/>
    <m/>
    <m/>
    <m/>
    <m/>
    <m/>
    <m/>
    <m/>
    <m/>
    <m/>
    <m/>
    <m/>
    <m/>
    <m/>
    <m/>
    <m/>
    <m/>
    <m/>
    <m/>
    <m/>
    <n v="1"/>
    <m/>
    <m/>
    <m/>
  </r>
  <r>
    <x v="459"/>
    <n v="2006"/>
    <n v="6"/>
    <x v="34"/>
    <x v="10"/>
    <x v="0"/>
    <n v="3"/>
    <s v="2006_06_035.gif"/>
    <m/>
    <m/>
    <m/>
    <b v="0"/>
    <n v="0"/>
    <x v="0"/>
    <n v="460"/>
    <s v="Energy/Mass Equivalency"/>
    <n v="4842"/>
    <x v="9"/>
    <m/>
    <m/>
    <m/>
    <m/>
    <m/>
    <m/>
    <m/>
    <m/>
    <m/>
    <m/>
    <m/>
    <m/>
    <m/>
    <m/>
    <m/>
    <m/>
    <m/>
    <m/>
    <m/>
    <m/>
    <m/>
    <m/>
    <m/>
    <m/>
    <m/>
    <m/>
    <m/>
    <m/>
    <m/>
    <m/>
    <m/>
    <m/>
    <m/>
    <m/>
    <m/>
    <m/>
    <m/>
    <m/>
    <m/>
    <m/>
    <m/>
    <m/>
    <m/>
    <m/>
    <m/>
    <m/>
    <m/>
    <m/>
    <m/>
    <m/>
    <m/>
    <m/>
    <m/>
    <m/>
    <m/>
    <n v="1"/>
    <m/>
    <m/>
    <m/>
    <m/>
  </r>
  <r>
    <x v="460"/>
    <n v="2006"/>
    <n v="6"/>
    <x v="35"/>
    <x v="11"/>
    <x v="0"/>
    <n v="2"/>
    <s v="2006_06_036.gif"/>
    <m/>
    <m/>
    <m/>
    <b v="0"/>
    <n v="0"/>
    <x v="1"/>
    <n v="461"/>
    <s v="Estimation"/>
    <n v="4843"/>
    <x v="9"/>
    <m/>
    <m/>
    <n v="1"/>
    <m/>
    <m/>
    <m/>
    <m/>
    <m/>
    <m/>
    <m/>
    <m/>
    <m/>
    <m/>
    <m/>
    <m/>
    <m/>
    <m/>
    <m/>
    <m/>
    <m/>
    <m/>
    <m/>
    <m/>
    <m/>
    <m/>
    <m/>
    <m/>
    <m/>
    <m/>
    <m/>
    <m/>
    <m/>
    <m/>
    <m/>
    <m/>
    <m/>
    <m/>
    <m/>
    <m/>
    <m/>
    <m/>
    <m/>
    <m/>
    <m/>
    <m/>
    <m/>
    <m/>
    <m/>
    <m/>
    <m/>
    <m/>
    <m/>
    <m/>
    <m/>
    <m/>
    <m/>
    <m/>
    <m/>
    <m/>
    <m/>
  </r>
  <r>
    <x v="461"/>
    <n v="2006"/>
    <n v="6"/>
    <x v="36"/>
    <x v="1"/>
    <x v="0"/>
    <n v="1"/>
    <s v="2006_06_037.gif"/>
    <m/>
    <m/>
    <m/>
    <b v="0"/>
    <n v="0"/>
    <x v="1"/>
    <n v="462"/>
    <s v="Weight and Mass"/>
    <n v="4844"/>
    <x v="9"/>
    <m/>
    <m/>
    <m/>
    <m/>
    <m/>
    <m/>
    <m/>
    <m/>
    <m/>
    <m/>
    <m/>
    <m/>
    <m/>
    <m/>
    <m/>
    <m/>
    <m/>
    <m/>
    <m/>
    <m/>
    <m/>
    <m/>
    <m/>
    <m/>
    <m/>
    <m/>
    <m/>
    <n v="1"/>
    <m/>
    <m/>
    <m/>
    <m/>
    <m/>
    <m/>
    <m/>
    <m/>
    <m/>
    <m/>
    <m/>
    <m/>
    <m/>
    <m/>
    <m/>
    <m/>
    <m/>
    <m/>
    <m/>
    <m/>
    <m/>
    <m/>
    <m/>
    <m/>
    <m/>
    <m/>
    <m/>
    <m/>
    <m/>
    <m/>
    <m/>
    <m/>
  </r>
  <r>
    <x v="462"/>
    <n v="2006"/>
    <n v="6"/>
    <x v="37"/>
    <x v="4"/>
    <x v="0"/>
    <n v="4"/>
    <s v="2006_06_038.gif"/>
    <m/>
    <m/>
    <m/>
    <b v="0"/>
    <n v="0"/>
    <x v="1"/>
    <n v="463"/>
    <s v="Impulse"/>
    <n v="4845"/>
    <x v="9"/>
    <m/>
    <m/>
    <m/>
    <m/>
    <m/>
    <m/>
    <m/>
    <m/>
    <m/>
    <m/>
    <m/>
    <m/>
    <m/>
    <m/>
    <m/>
    <m/>
    <m/>
    <m/>
    <m/>
    <m/>
    <m/>
    <m/>
    <m/>
    <m/>
    <m/>
    <m/>
    <m/>
    <m/>
    <m/>
    <n v="1"/>
    <m/>
    <m/>
    <m/>
    <m/>
    <m/>
    <m/>
    <m/>
    <m/>
    <m/>
    <m/>
    <m/>
    <m/>
    <m/>
    <m/>
    <m/>
    <m/>
    <m/>
    <m/>
    <m/>
    <m/>
    <m/>
    <m/>
    <m/>
    <m/>
    <m/>
    <m/>
    <m/>
    <m/>
    <m/>
    <m/>
  </r>
  <r>
    <x v="463"/>
    <n v="2006"/>
    <n v="6"/>
    <x v="38"/>
    <x v="1"/>
    <x v="2"/>
    <n v="1"/>
    <s v="2006_06_039.gif"/>
    <m/>
    <m/>
    <m/>
    <b v="0"/>
    <n v="0"/>
    <x v="1"/>
    <n v="464"/>
    <s v="Hooke's Law,Graph Interpretation"/>
    <n v="4846"/>
    <x v="9"/>
    <m/>
    <m/>
    <m/>
    <m/>
    <m/>
    <m/>
    <m/>
    <m/>
    <m/>
    <m/>
    <m/>
    <m/>
    <m/>
    <m/>
    <m/>
    <m/>
    <m/>
    <m/>
    <m/>
    <m/>
    <m/>
    <m/>
    <m/>
    <n v="1"/>
    <m/>
    <m/>
    <m/>
    <m/>
    <m/>
    <m/>
    <m/>
    <m/>
    <m/>
    <m/>
    <m/>
    <m/>
    <m/>
    <m/>
    <m/>
    <m/>
    <m/>
    <m/>
    <m/>
    <m/>
    <m/>
    <m/>
    <m/>
    <m/>
    <m/>
    <m/>
    <m/>
    <m/>
    <m/>
    <m/>
    <m/>
    <m/>
    <m/>
    <n v="1"/>
    <m/>
    <m/>
  </r>
  <r>
    <x v="464"/>
    <n v="2006"/>
    <n v="6"/>
    <x v="39"/>
    <x v="4"/>
    <x v="0"/>
    <n v="1"/>
    <s v="2006_06_040.gif"/>
    <m/>
    <m/>
    <m/>
    <b v="0"/>
    <n v="0"/>
    <x v="1"/>
    <n v="465"/>
    <s v="Conservation of Momentum"/>
    <n v="4847"/>
    <x v="9"/>
    <m/>
    <m/>
    <m/>
    <m/>
    <m/>
    <m/>
    <m/>
    <m/>
    <m/>
    <m/>
    <m/>
    <m/>
    <m/>
    <m/>
    <m/>
    <m/>
    <m/>
    <m/>
    <m/>
    <m/>
    <m/>
    <m/>
    <m/>
    <m/>
    <m/>
    <m/>
    <m/>
    <m/>
    <n v="1"/>
    <m/>
    <m/>
    <m/>
    <m/>
    <m/>
    <m/>
    <m/>
    <m/>
    <m/>
    <m/>
    <m/>
    <m/>
    <m/>
    <m/>
    <m/>
    <m/>
    <m/>
    <m/>
    <m/>
    <m/>
    <m/>
    <m/>
    <m/>
    <m/>
    <m/>
    <m/>
    <m/>
    <m/>
    <m/>
    <m/>
    <m/>
  </r>
  <r>
    <x v="465"/>
    <n v="2006"/>
    <n v="6"/>
    <x v="40"/>
    <x v="2"/>
    <x v="14"/>
    <n v="4"/>
    <s v="2006_06_041.gif"/>
    <m/>
    <m/>
    <m/>
    <b v="0"/>
    <n v="0"/>
    <x v="1"/>
    <n v="466"/>
    <s v="Units"/>
    <n v="4848"/>
    <x v="9"/>
    <m/>
    <m/>
    <m/>
    <n v="1"/>
    <m/>
    <m/>
    <m/>
    <m/>
    <m/>
    <m/>
    <m/>
    <m/>
    <m/>
    <m/>
    <m/>
    <m/>
    <m/>
    <m/>
    <m/>
    <m/>
    <m/>
    <m/>
    <m/>
    <m/>
    <m/>
    <m/>
    <m/>
    <m/>
    <m/>
    <m/>
    <m/>
    <m/>
    <m/>
    <m/>
    <m/>
    <m/>
    <m/>
    <m/>
    <m/>
    <m/>
    <m/>
    <m/>
    <m/>
    <m/>
    <m/>
    <m/>
    <m/>
    <m/>
    <m/>
    <m/>
    <m/>
    <m/>
    <m/>
    <m/>
    <m/>
    <m/>
    <m/>
    <m/>
    <m/>
    <m/>
  </r>
  <r>
    <x v="466"/>
    <n v="2006"/>
    <n v="6"/>
    <x v="41"/>
    <x v="6"/>
    <x v="0"/>
    <n v="2"/>
    <s v="2006_06_042.gif"/>
    <m/>
    <m/>
    <m/>
    <b v="0"/>
    <n v="0"/>
    <x v="1"/>
    <n v="467"/>
    <s v="Electric Fields and Potential"/>
    <n v="4849"/>
    <x v="9"/>
    <m/>
    <m/>
    <m/>
    <m/>
    <m/>
    <m/>
    <m/>
    <m/>
    <m/>
    <m/>
    <m/>
    <m/>
    <m/>
    <m/>
    <m/>
    <m/>
    <m/>
    <m/>
    <m/>
    <m/>
    <m/>
    <m/>
    <m/>
    <m/>
    <m/>
    <m/>
    <m/>
    <m/>
    <m/>
    <m/>
    <m/>
    <m/>
    <m/>
    <m/>
    <m/>
    <m/>
    <m/>
    <m/>
    <m/>
    <m/>
    <m/>
    <m/>
    <m/>
    <m/>
    <m/>
    <m/>
    <m/>
    <n v="1"/>
    <m/>
    <m/>
    <m/>
    <m/>
    <m/>
    <m/>
    <m/>
    <m/>
    <m/>
    <m/>
    <m/>
    <m/>
  </r>
  <r>
    <x v="467"/>
    <n v="2006"/>
    <n v="6"/>
    <x v="42"/>
    <x v="8"/>
    <x v="0"/>
    <n v="4"/>
    <s v="2006_06_043.gif"/>
    <m/>
    <m/>
    <m/>
    <b v="0"/>
    <n v="0"/>
    <x v="1"/>
    <n v="468"/>
    <s v="Resistance of Wire"/>
    <n v="4850"/>
    <x v="9"/>
    <m/>
    <m/>
    <m/>
    <m/>
    <m/>
    <m/>
    <m/>
    <m/>
    <m/>
    <m/>
    <m/>
    <m/>
    <m/>
    <m/>
    <m/>
    <m/>
    <m/>
    <m/>
    <m/>
    <m/>
    <m/>
    <m/>
    <m/>
    <m/>
    <m/>
    <m/>
    <m/>
    <m/>
    <m/>
    <m/>
    <m/>
    <m/>
    <m/>
    <m/>
    <m/>
    <m/>
    <m/>
    <m/>
    <m/>
    <m/>
    <m/>
    <m/>
    <m/>
    <m/>
    <m/>
    <m/>
    <m/>
    <m/>
    <m/>
    <m/>
    <m/>
    <n v="1"/>
    <m/>
    <m/>
    <m/>
    <m/>
    <m/>
    <m/>
    <m/>
    <m/>
  </r>
  <r>
    <x v="468"/>
    <n v="2006"/>
    <n v="6"/>
    <x v="43"/>
    <x v="3"/>
    <x v="1"/>
    <n v="1"/>
    <s v="2006_06_044.gif"/>
    <m/>
    <m/>
    <m/>
    <b v="0"/>
    <n v="0"/>
    <x v="1"/>
    <n v="469"/>
    <s v="Vector Components,Projectiles at an Angle"/>
    <n v="4851"/>
    <x v="9"/>
    <m/>
    <m/>
    <m/>
    <m/>
    <m/>
    <m/>
    <m/>
    <m/>
    <m/>
    <m/>
    <m/>
    <m/>
    <n v="1"/>
    <m/>
    <m/>
    <n v="1"/>
    <m/>
    <m/>
    <m/>
    <m/>
    <m/>
    <m/>
    <m/>
    <m/>
    <m/>
    <m/>
    <m/>
    <m/>
    <m/>
    <m/>
    <m/>
    <m/>
    <m/>
    <m/>
    <m/>
    <m/>
    <m/>
    <m/>
    <m/>
    <m/>
    <m/>
    <m/>
    <m/>
    <m/>
    <m/>
    <m/>
    <m/>
    <m/>
    <m/>
    <m/>
    <m/>
    <m/>
    <m/>
    <m/>
    <m/>
    <m/>
    <m/>
    <m/>
    <m/>
    <m/>
  </r>
  <r>
    <x v="469"/>
    <n v="2006"/>
    <n v="6"/>
    <x v="44"/>
    <x v="5"/>
    <x v="2"/>
    <n v="3"/>
    <s v="2006_06_045.gif"/>
    <m/>
    <m/>
    <m/>
    <b v="0"/>
    <n v="0"/>
    <x v="1"/>
    <n v="470"/>
    <s v="Work/Power,Graph Interpretation"/>
    <n v="4852"/>
    <x v="9"/>
    <m/>
    <m/>
    <m/>
    <m/>
    <m/>
    <m/>
    <m/>
    <m/>
    <m/>
    <m/>
    <m/>
    <m/>
    <m/>
    <m/>
    <m/>
    <m/>
    <m/>
    <m/>
    <m/>
    <m/>
    <m/>
    <m/>
    <m/>
    <m/>
    <m/>
    <m/>
    <m/>
    <m/>
    <m/>
    <m/>
    <m/>
    <m/>
    <m/>
    <m/>
    <m/>
    <n v="1"/>
    <m/>
    <m/>
    <m/>
    <m/>
    <m/>
    <m/>
    <m/>
    <m/>
    <m/>
    <m/>
    <m/>
    <m/>
    <m/>
    <m/>
    <m/>
    <m/>
    <m/>
    <m/>
    <m/>
    <m/>
    <m/>
    <n v="1"/>
    <m/>
    <m/>
  </r>
  <r>
    <x v="470"/>
    <n v="2006"/>
    <n v="6"/>
    <x v="45"/>
    <x v="7"/>
    <x v="0"/>
    <n v="2"/>
    <s v="2006_06_046.gif"/>
    <m/>
    <m/>
    <m/>
    <b v="0"/>
    <n v="0"/>
    <x v="1"/>
    <n v="471"/>
    <s v="Superposition and Standing Waves"/>
    <n v="4853"/>
    <x v="9"/>
    <m/>
    <m/>
    <m/>
    <m/>
    <m/>
    <m/>
    <m/>
    <m/>
    <m/>
    <m/>
    <m/>
    <m/>
    <m/>
    <m/>
    <m/>
    <m/>
    <m/>
    <m/>
    <m/>
    <m/>
    <m/>
    <m/>
    <m/>
    <m/>
    <m/>
    <m/>
    <m/>
    <m/>
    <m/>
    <m/>
    <m/>
    <m/>
    <m/>
    <m/>
    <m/>
    <m/>
    <m/>
    <n v="1"/>
    <m/>
    <m/>
    <m/>
    <m/>
    <m/>
    <m/>
    <m/>
    <m/>
    <m/>
    <m/>
    <m/>
    <m/>
    <m/>
    <m/>
    <m/>
    <m/>
    <m/>
    <m/>
    <m/>
    <m/>
    <m/>
    <m/>
  </r>
  <r>
    <x v="471"/>
    <n v="2006"/>
    <n v="6"/>
    <x v="46"/>
    <x v="6"/>
    <x v="2"/>
    <n v="3"/>
    <s v="2006_06_047.gif"/>
    <m/>
    <m/>
    <m/>
    <b v="0"/>
    <n v="0"/>
    <x v="1"/>
    <n v="472"/>
    <s v="Electric Fields and Potential,Graph Interpretation"/>
    <n v="4854"/>
    <x v="9"/>
    <m/>
    <m/>
    <m/>
    <m/>
    <m/>
    <m/>
    <m/>
    <m/>
    <m/>
    <m/>
    <m/>
    <m/>
    <m/>
    <m/>
    <m/>
    <m/>
    <m/>
    <m/>
    <m/>
    <m/>
    <m/>
    <m/>
    <m/>
    <m/>
    <m/>
    <m/>
    <m/>
    <m/>
    <m/>
    <m/>
    <m/>
    <m/>
    <m/>
    <m/>
    <m/>
    <m/>
    <m/>
    <m/>
    <m/>
    <m/>
    <m/>
    <m/>
    <m/>
    <m/>
    <m/>
    <m/>
    <m/>
    <n v="1"/>
    <m/>
    <m/>
    <m/>
    <m/>
    <m/>
    <m/>
    <m/>
    <m/>
    <m/>
    <n v="1"/>
    <m/>
    <m/>
  </r>
  <r>
    <x v="472"/>
    <n v="2006"/>
    <n v="6"/>
    <x v="47"/>
    <x v="7"/>
    <x v="12"/>
    <n v="2"/>
    <s v="2006_06_048.gif"/>
    <m/>
    <m/>
    <m/>
    <b v="0"/>
    <n v="0"/>
    <x v="1"/>
    <n v="473"/>
    <s v="Wave Vocabulary,Light and Sound"/>
    <n v="4855"/>
    <x v="9"/>
    <m/>
    <m/>
    <m/>
    <m/>
    <m/>
    <m/>
    <m/>
    <m/>
    <m/>
    <m/>
    <m/>
    <m/>
    <m/>
    <m/>
    <m/>
    <m/>
    <m/>
    <m/>
    <m/>
    <m/>
    <m/>
    <m/>
    <m/>
    <m/>
    <m/>
    <m/>
    <m/>
    <m/>
    <m/>
    <m/>
    <m/>
    <m/>
    <m/>
    <m/>
    <m/>
    <m/>
    <m/>
    <m/>
    <m/>
    <n v="1"/>
    <m/>
    <m/>
    <n v="1"/>
    <m/>
    <m/>
    <m/>
    <m/>
    <m/>
    <m/>
    <m/>
    <m/>
    <m/>
    <m/>
    <m/>
    <m/>
    <m/>
    <m/>
    <m/>
    <m/>
    <m/>
  </r>
  <r>
    <x v="473"/>
    <n v="2006"/>
    <n v="6"/>
    <x v="48"/>
    <x v="9"/>
    <x v="0"/>
    <n v="3"/>
    <s v="2006_06_049.gif"/>
    <m/>
    <m/>
    <m/>
    <b v="0"/>
    <n v="0"/>
    <x v="1"/>
    <n v="474"/>
    <s v="Light and Sound"/>
    <n v="4856"/>
    <x v="9"/>
    <m/>
    <m/>
    <m/>
    <m/>
    <m/>
    <m/>
    <m/>
    <m/>
    <m/>
    <m/>
    <m/>
    <m/>
    <m/>
    <m/>
    <m/>
    <m/>
    <m/>
    <m/>
    <m/>
    <m/>
    <m/>
    <m/>
    <m/>
    <m/>
    <m/>
    <m/>
    <m/>
    <m/>
    <m/>
    <m/>
    <m/>
    <m/>
    <m/>
    <m/>
    <m/>
    <m/>
    <m/>
    <m/>
    <m/>
    <m/>
    <m/>
    <m/>
    <n v="1"/>
    <m/>
    <m/>
    <m/>
    <m/>
    <m/>
    <m/>
    <m/>
    <m/>
    <m/>
    <m/>
    <m/>
    <m/>
    <m/>
    <m/>
    <m/>
    <m/>
    <m/>
  </r>
  <r>
    <x v="474"/>
    <n v="2006"/>
    <n v="6"/>
    <x v="49"/>
    <x v="10"/>
    <x v="12"/>
    <n v="1"/>
    <s v="2006_06_050.gif"/>
    <m/>
    <m/>
    <m/>
    <b v="0"/>
    <n v="0"/>
    <x v="1"/>
    <n v="475"/>
    <s v="Light and Sound,Energy/Frequency of Photon"/>
    <n v="4857"/>
    <x v="9"/>
    <m/>
    <m/>
    <m/>
    <m/>
    <m/>
    <m/>
    <m/>
    <m/>
    <m/>
    <m/>
    <m/>
    <m/>
    <m/>
    <m/>
    <m/>
    <m/>
    <m/>
    <m/>
    <m/>
    <m/>
    <m/>
    <m/>
    <m/>
    <m/>
    <m/>
    <m/>
    <m/>
    <m/>
    <m/>
    <m/>
    <m/>
    <m/>
    <m/>
    <m/>
    <m/>
    <m/>
    <m/>
    <m/>
    <m/>
    <m/>
    <m/>
    <m/>
    <n v="1"/>
    <m/>
    <m/>
    <m/>
    <m/>
    <m/>
    <m/>
    <m/>
    <m/>
    <m/>
    <m/>
    <m/>
    <n v="1"/>
    <m/>
    <m/>
    <m/>
    <m/>
    <m/>
  </r>
  <r>
    <x v="475"/>
    <n v="2006"/>
    <n v="6"/>
    <x v="50"/>
    <x v="10"/>
    <x v="0"/>
    <n v="4"/>
    <s v="2006_06_051.gif"/>
    <m/>
    <m/>
    <m/>
    <b v="0"/>
    <n v="0"/>
    <x v="1"/>
    <n v="476"/>
    <s v="Particle Physics"/>
    <n v="4858"/>
    <x v="9"/>
    <m/>
    <m/>
    <m/>
    <m/>
    <m/>
    <m/>
    <m/>
    <m/>
    <m/>
    <m/>
    <m/>
    <m/>
    <m/>
    <m/>
    <m/>
    <m/>
    <m/>
    <m/>
    <m/>
    <m/>
    <m/>
    <m/>
    <m/>
    <m/>
    <m/>
    <m/>
    <m/>
    <m/>
    <m/>
    <m/>
    <m/>
    <m/>
    <m/>
    <m/>
    <m/>
    <m/>
    <m/>
    <m/>
    <m/>
    <m/>
    <m/>
    <m/>
    <m/>
    <m/>
    <m/>
    <m/>
    <m/>
    <m/>
    <m/>
    <m/>
    <m/>
    <m/>
    <m/>
    <m/>
    <m/>
    <m/>
    <n v="1"/>
    <m/>
    <m/>
    <m/>
  </r>
  <r>
    <x v="476"/>
    <n v="2007"/>
    <n v="1"/>
    <x v="0"/>
    <x v="0"/>
    <x v="0"/>
    <n v="2"/>
    <s v="2007_01_001.gif"/>
    <m/>
    <m/>
    <m/>
    <b v="0"/>
    <n v="0"/>
    <x v="0"/>
    <n v="477"/>
    <s v="Vector vs. Scalar"/>
    <n v="4882"/>
    <x v="10"/>
    <m/>
    <m/>
    <m/>
    <m/>
    <m/>
    <m/>
    <m/>
    <m/>
    <m/>
    <m/>
    <m/>
    <m/>
    <m/>
    <n v="1"/>
    <m/>
    <m/>
    <m/>
    <m/>
    <m/>
    <m/>
    <m/>
    <m/>
    <m/>
    <m/>
    <m/>
    <m/>
    <m/>
    <m/>
    <m/>
    <m/>
    <m/>
    <m/>
    <m/>
    <m/>
    <m/>
    <m/>
    <m/>
    <m/>
    <m/>
    <m/>
    <m/>
    <m/>
    <m/>
    <m/>
    <m/>
    <m/>
    <m/>
    <m/>
    <m/>
    <m/>
    <m/>
    <m/>
    <m/>
    <m/>
    <m/>
    <m/>
    <m/>
    <m/>
    <m/>
    <m/>
  </r>
  <r>
    <x v="477"/>
    <n v="2007"/>
    <n v="1"/>
    <x v="1"/>
    <x v="0"/>
    <x v="0"/>
    <n v="1"/>
    <s v="2007_01_002.gif"/>
    <m/>
    <m/>
    <m/>
    <b v="0"/>
    <n v="0"/>
    <x v="0"/>
    <n v="478"/>
    <s v="Adding Vectors"/>
    <n v="4883"/>
    <x v="10"/>
    <m/>
    <m/>
    <m/>
    <m/>
    <m/>
    <m/>
    <m/>
    <m/>
    <m/>
    <m/>
    <m/>
    <n v="1"/>
    <m/>
    <m/>
    <m/>
    <m/>
    <m/>
    <m/>
    <m/>
    <m/>
    <m/>
    <m/>
    <m/>
    <m/>
    <m/>
    <m/>
    <m/>
    <m/>
    <m/>
    <m/>
    <m/>
    <m/>
    <m/>
    <m/>
    <m/>
    <m/>
    <m/>
    <m/>
    <m/>
    <m/>
    <m/>
    <m/>
    <m/>
    <m/>
    <m/>
    <m/>
    <m/>
    <m/>
    <m/>
    <m/>
    <m/>
    <m/>
    <m/>
    <m/>
    <m/>
    <m/>
    <m/>
    <m/>
    <m/>
    <m/>
  </r>
  <r>
    <x v="478"/>
    <n v="2007"/>
    <n v="1"/>
    <x v="2"/>
    <x v="2"/>
    <x v="0"/>
    <n v="1"/>
    <s v="2007_01_003.gif"/>
    <m/>
    <m/>
    <m/>
    <b v="0"/>
    <n v="0"/>
    <x v="0"/>
    <n v="479"/>
    <s v="Horizontal Constant Acceleration Problems"/>
    <n v="4884"/>
    <x v="10"/>
    <m/>
    <m/>
    <m/>
    <m/>
    <m/>
    <m/>
    <m/>
    <m/>
    <m/>
    <n v="1"/>
    <m/>
    <m/>
    <m/>
    <m/>
    <m/>
    <m/>
    <m/>
    <m/>
    <m/>
    <m/>
    <m/>
    <m/>
    <m/>
    <m/>
    <m/>
    <m/>
    <m/>
    <m/>
    <m/>
    <m/>
    <m/>
    <m/>
    <m/>
    <m/>
    <m/>
    <m/>
    <m/>
    <m/>
    <m/>
    <m/>
    <m/>
    <m/>
    <m/>
    <m/>
    <m/>
    <m/>
    <m/>
    <m/>
    <m/>
    <m/>
    <m/>
    <m/>
    <m/>
    <m/>
    <m/>
    <m/>
    <m/>
    <m/>
    <m/>
    <m/>
  </r>
  <r>
    <x v="479"/>
    <n v="2007"/>
    <n v="1"/>
    <x v="3"/>
    <x v="2"/>
    <x v="0"/>
    <n v="2"/>
    <s v="2007_01_004.gif"/>
    <m/>
    <m/>
    <m/>
    <b v="0"/>
    <n v="0"/>
    <x v="0"/>
    <n v="480"/>
    <s v="Vertical Constant Acceleration Problems"/>
    <n v="4885"/>
    <x v="10"/>
    <m/>
    <m/>
    <m/>
    <m/>
    <m/>
    <m/>
    <m/>
    <m/>
    <m/>
    <m/>
    <n v="1"/>
    <m/>
    <m/>
    <m/>
    <m/>
    <m/>
    <m/>
    <m/>
    <m/>
    <m/>
    <m/>
    <m/>
    <m/>
    <m/>
    <m/>
    <m/>
    <m/>
    <m/>
    <m/>
    <m/>
    <m/>
    <m/>
    <m/>
    <m/>
    <m/>
    <m/>
    <m/>
    <m/>
    <m/>
    <m/>
    <m/>
    <m/>
    <m/>
    <m/>
    <m/>
    <m/>
    <m/>
    <m/>
    <m/>
    <m/>
    <m/>
    <m/>
    <m/>
    <m/>
    <m/>
    <m/>
    <m/>
    <m/>
    <m/>
    <m/>
  </r>
  <r>
    <x v="480"/>
    <n v="2007"/>
    <n v="1"/>
    <x v="4"/>
    <x v="3"/>
    <x v="0"/>
    <n v="4"/>
    <s v="2007_01_005.gif"/>
    <m/>
    <m/>
    <m/>
    <b v="0"/>
    <n v="0"/>
    <x v="0"/>
    <n v="481"/>
    <s v="Projectiles at an Angle"/>
    <n v="4886"/>
    <x v="10"/>
    <m/>
    <m/>
    <m/>
    <m/>
    <m/>
    <m/>
    <m/>
    <m/>
    <m/>
    <m/>
    <m/>
    <m/>
    <m/>
    <m/>
    <m/>
    <n v="1"/>
    <m/>
    <m/>
    <m/>
    <m/>
    <m/>
    <m/>
    <m/>
    <m/>
    <m/>
    <m/>
    <m/>
    <m/>
    <m/>
    <m/>
    <m/>
    <m/>
    <m/>
    <m/>
    <m/>
    <m/>
    <m/>
    <m/>
    <m/>
    <m/>
    <m/>
    <m/>
    <m/>
    <m/>
    <m/>
    <m/>
    <m/>
    <m/>
    <m/>
    <m/>
    <m/>
    <m/>
    <m/>
    <m/>
    <m/>
    <m/>
    <m/>
    <m/>
    <m/>
    <m/>
  </r>
  <r>
    <x v="481"/>
    <n v="2007"/>
    <n v="1"/>
    <x v="5"/>
    <x v="3"/>
    <x v="0"/>
    <n v="2"/>
    <s v="2007_01_006.gif"/>
    <m/>
    <m/>
    <m/>
    <b v="0"/>
    <n v="0"/>
    <x v="0"/>
    <n v="482"/>
    <s v="Centripetal Motion - Direction F,A,V"/>
    <n v="4887"/>
    <x v="10"/>
    <m/>
    <m/>
    <m/>
    <m/>
    <m/>
    <m/>
    <m/>
    <m/>
    <m/>
    <m/>
    <m/>
    <m/>
    <m/>
    <m/>
    <m/>
    <m/>
    <m/>
    <m/>
    <m/>
    <n v="1"/>
    <m/>
    <m/>
    <m/>
    <m/>
    <m/>
    <m/>
    <m/>
    <m/>
    <m/>
    <m/>
    <m/>
    <m/>
    <m/>
    <m/>
    <m/>
    <m/>
    <m/>
    <m/>
    <m/>
    <m/>
    <m/>
    <m/>
    <m/>
    <m/>
    <m/>
    <m/>
    <m/>
    <m/>
    <m/>
    <m/>
    <m/>
    <m/>
    <m/>
    <m/>
    <m/>
    <m/>
    <m/>
    <m/>
    <m/>
    <m/>
  </r>
  <r>
    <x v="482"/>
    <n v="2007"/>
    <n v="1"/>
    <x v="6"/>
    <x v="3"/>
    <x v="0"/>
    <n v="2"/>
    <s v="2007_01_007.gif"/>
    <m/>
    <m/>
    <m/>
    <b v="0"/>
    <n v="0"/>
    <x v="0"/>
    <n v="483"/>
    <s v="Horizontal Projectile Range"/>
    <n v="4888"/>
    <x v="10"/>
    <m/>
    <m/>
    <m/>
    <m/>
    <m/>
    <m/>
    <m/>
    <m/>
    <m/>
    <m/>
    <m/>
    <m/>
    <m/>
    <m/>
    <m/>
    <m/>
    <n v="1"/>
    <m/>
    <m/>
    <m/>
    <m/>
    <m/>
    <m/>
    <m/>
    <m/>
    <m/>
    <m/>
    <m/>
    <m/>
    <m/>
    <m/>
    <m/>
    <m/>
    <m/>
    <m/>
    <m/>
    <m/>
    <m/>
    <m/>
    <m/>
    <m/>
    <m/>
    <m/>
    <m/>
    <m/>
    <m/>
    <m/>
    <m/>
    <m/>
    <m/>
    <m/>
    <m/>
    <m/>
    <m/>
    <m/>
    <m/>
    <m/>
    <m/>
    <m/>
    <m/>
  </r>
  <r>
    <x v="483"/>
    <n v="2007"/>
    <n v="1"/>
    <x v="7"/>
    <x v="4"/>
    <x v="0"/>
    <n v="3"/>
    <s v="2007_01_008.gif"/>
    <m/>
    <m/>
    <m/>
    <b v="0"/>
    <n v="0"/>
    <x v="0"/>
    <n v="484"/>
    <s v="Conservation of Momentum"/>
    <n v="4889"/>
    <x v="10"/>
    <m/>
    <m/>
    <m/>
    <m/>
    <m/>
    <m/>
    <m/>
    <m/>
    <m/>
    <m/>
    <m/>
    <m/>
    <m/>
    <m/>
    <m/>
    <m/>
    <m/>
    <m/>
    <m/>
    <m/>
    <m/>
    <m/>
    <m/>
    <m/>
    <m/>
    <m/>
    <m/>
    <m/>
    <n v="1"/>
    <m/>
    <m/>
    <m/>
    <m/>
    <m/>
    <m/>
    <m/>
    <m/>
    <m/>
    <m/>
    <m/>
    <m/>
    <m/>
    <m/>
    <m/>
    <m/>
    <m/>
    <m/>
    <m/>
    <m/>
    <m/>
    <m/>
    <m/>
    <m/>
    <m/>
    <m/>
    <m/>
    <m/>
    <m/>
    <m/>
    <m/>
  </r>
  <r>
    <x v="484"/>
    <n v="2007"/>
    <n v="1"/>
    <x v="8"/>
    <x v="1"/>
    <x v="0"/>
    <n v="4"/>
    <s v="2007_01_009.gif"/>
    <m/>
    <m/>
    <m/>
    <b v="0"/>
    <n v="0"/>
    <x v="0"/>
    <n v="485"/>
    <s v="Newton's 1st Law (Inertia)"/>
    <n v="4890"/>
    <x v="10"/>
    <m/>
    <m/>
    <m/>
    <m/>
    <m/>
    <m/>
    <m/>
    <m/>
    <m/>
    <m/>
    <m/>
    <m/>
    <m/>
    <m/>
    <m/>
    <m/>
    <m/>
    <m/>
    <m/>
    <m/>
    <m/>
    <m/>
    <m/>
    <m/>
    <m/>
    <n v="1"/>
    <m/>
    <m/>
    <m/>
    <m/>
    <m/>
    <m/>
    <m/>
    <m/>
    <m/>
    <m/>
    <m/>
    <m/>
    <m/>
    <m/>
    <m/>
    <m/>
    <m/>
    <m/>
    <m/>
    <m/>
    <m/>
    <m/>
    <m/>
    <m/>
    <m/>
    <m/>
    <m/>
    <m/>
    <m/>
    <m/>
    <m/>
    <m/>
    <m/>
    <m/>
  </r>
  <r>
    <x v="485"/>
    <n v="2007"/>
    <n v="1"/>
    <x v="9"/>
    <x v="1"/>
    <x v="0"/>
    <n v="2"/>
    <s v="2007_01_010.gif"/>
    <m/>
    <m/>
    <m/>
    <b v="0"/>
    <n v="0"/>
    <x v="0"/>
    <n v="486"/>
    <s v="Weight and Mass"/>
    <n v="4891"/>
    <x v="10"/>
    <m/>
    <m/>
    <m/>
    <m/>
    <m/>
    <m/>
    <m/>
    <m/>
    <m/>
    <m/>
    <m/>
    <m/>
    <m/>
    <m/>
    <m/>
    <m/>
    <m/>
    <m/>
    <m/>
    <m/>
    <m/>
    <m/>
    <m/>
    <m/>
    <m/>
    <m/>
    <m/>
    <n v="1"/>
    <m/>
    <m/>
    <m/>
    <m/>
    <m/>
    <m/>
    <m/>
    <m/>
    <m/>
    <m/>
    <m/>
    <m/>
    <m/>
    <m/>
    <m/>
    <m/>
    <m/>
    <m/>
    <m/>
    <m/>
    <m/>
    <m/>
    <m/>
    <m/>
    <m/>
    <m/>
    <m/>
    <m/>
    <m/>
    <m/>
    <m/>
    <m/>
  </r>
  <r>
    <x v="486"/>
    <n v="2007"/>
    <n v="1"/>
    <x v="10"/>
    <x v="4"/>
    <x v="0"/>
    <n v="4"/>
    <s v="2007_01_011.gif"/>
    <m/>
    <m/>
    <m/>
    <b v="0"/>
    <n v="0"/>
    <x v="0"/>
    <n v="487"/>
    <s v="Impulse"/>
    <n v="4892"/>
    <x v="10"/>
    <m/>
    <m/>
    <m/>
    <m/>
    <m/>
    <m/>
    <m/>
    <m/>
    <m/>
    <m/>
    <m/>
    <m/>
    <m/>
    <m/>
    <m/>
    <m/>
    <m/>
    <m/>
    <m/>
    <m/>
    <m/>
    <m/>
    <m/>
    <m/>
    <m/>
    <m/>
    <m/>
    <m/>
    <m/>
    <n v="1"/>
    <m/>
    <m/>
    <m/>
    <m/>
    <m/>
    <m/>
    <m/>
    <m/>
    <m/>
    <m/>
    <m/>
    <m/>
    <m/>
    <m/>
    <m/>
    <m/>
    <m/>
    <m/>
    <m/>
    <m/>
    <m/>
    <m/>
    <m/>
    <m/>
    <m/>
    <m/>
    <m/>
    <m/>
    <m/>
    <m/>
  </r>
  <r>
    <x v="487"/>
    <n v="2007"/>
    <n v="1"/>
    <x v="11"/>
    <x v="5"/>
    <x v="0"/>
    <n v="1"/>
    <s v="2007_01_012.gif"/>
    <m/>
    <m/>
    <m/>
    <b v="0"/>
    <n v="0"/>
    <x v="0"/>
    <n v="488"/>
    <s v="PE of Spring"/>
    <n v="4893"/>
    <x v="10"/>
    <m/>
    <m/>
    <m/>
    <m/>
    <m/>
    <m/>
    <m/>
    <m/>
    <m/>
    <m/>
    <m/>
    <m/>
    <m/>
    <m/>
    <m/>
    <m/>
    <m/>
    <m/>
    <m/>
    <m/>
    <m/>
    <m/>
    <m/>
    <m/>
    <m/>
    <m/>
    <m/>
    <m/>
    <m/>
    <m/>
    <m/>
    <m/>
    <m/>
    <m/>
    <n v="1"/>
    <m/>
    <m/>
    <m/>
    <m/>
    <m/>
    <m/>
    <m/>
    <m/>
    <m/>
    <m/>
    <m/>
    <m/>
    <m/>
    <m/>
    <m/>
    <m/>
    <m/>
    <m/>
    <m/>
    <m/>
    <m/>
    <m/>
    <m/>
    <m/>
    <m/>
  </r>
  <r>
    <x v="488"/>
    <n v="2007"/>
    <n v="1"/>
    <x v="12"/>
    <x v="5"/>
    <x v="0"/>
    <n v="4"/>
    <s v="2007_01_013.gif"/>
    <m/>
    <m/>
    <m/>
    <b v="0"/>
    <n v="0"/>
    <x v="0"/>
    <n v="489"/>
    <s v="Conservation of Energy,Work/Power"/>
    <n v="4894"/>
    <x v="10"/>
    <m/>
    <m/>
    <m/>
    <m/>
    <m/>
    <m/>
    <m/>
    <m/>
    <m/>
    <m/>
    <m/>
    <m/>
    <m/>
    <m/>
    <m/>
    <m/>
    <m/>
    <m/>
    <m/>
    <m/>
    <m/>
    <m/>
    <m/>
    <m/>
    <m/>
    <m/>
    <m/>
    <m/>
    <m/>
    <m/>
    <m/>
    <n v="1"/>
    <m/>
    <m/>
    <m/>
    <n v="1"/>
    <m/>
    <m/>
    <m/>
    <m/>
    <m/>
    <m/>
    <m/>
    <m/>
    <m/>
    <m/>
    <m/>
    <m/>
    <m/>
    <m/>
    <m/>
    <m/>
    <m/>
    <m/>
    <m/>
    <m/>
    <m/>
    <m/>
    <m/>
    <m/>
  </r>
  <r>
    <x v="489"/>
    <n v="2007"/>
    <n v="1"/>
    <x v="13"/>
    <x v="5"/>
    <x v="0"/>
    <n v="1"/>
    <s v="2007_01_014.gif"/>
    <m/>
    <m/>
    <m/>
    <b v="0"/>
    <n v="0"/>
    <x v="0"/>
    <n v="490"/>
    <s v="Conservation of Energy"/>
    <n v="4895"/>
    <x v="10"/>
    <m/>
    <m/>
    <m/>
    <m/>
    <m/>
    <m/>
    <m/>
    <m/>
    <m/>
    <m/>
    <m/>
    <m/>
    <m/>
    <m/>
    <m/>
    <m/>
    <m/>
    <m/>
    <m/>
    <m/>
    <m/>
    <m/>
    <m/>
    <m/>
    <m/>
    <m/>
    <m/>
    <m/>
    <m/>
    <m/>
    <m/>
    <n v="1"/>
    <m/>
    <m/>
    <m/>
    <m/>
    <m/>
    <m/>
    <m/>
    <m/>
    <m/>
    <m/>
    <m/>
    <m/>
    <m/>
    <m/>
    <m/>
    <m/>
    <m/>
    <m/>
    <m/>
    <m/>
    <m/>
    <m/>
    <m/>
    <m/>
    <m/>
    <m/>
    <m/>
    <m/>
  </r>
  <r>
    <x v="490"/>
    <n v="2007"/>
    <n v="1"/>
    <x v="14"/>
    <x v="6"/>
    <x v="0"/>
    <n v="2"/>
    <s v="2007_01_015.gif"/>
    <m/>
    <m/>
    <m/>
    <b v="0"/>
    <n v="0"/>
    <x v="0"/>
    <n v="491"/>
    <s v="Electric Fields and Potential"/>
    <n v="4896"/>
    <x v="10"/>
    <m/>
    <m/>
    <m/>
    <m/>
    <m/>
    <m/>
    <m/>
    <m/>
    <m/>
    <m/>
    <m/>
    <m/>
    <m/>
    <m/>
    <m/>
    <m/>
    <m/>
    <m/>
    <m/>
    <m/>
    <m/>
    <m/>
    <m/>
    <m/>
    <m/>
    <m/>
    <m/>
    <m/>
    <m/>
    <m/>
    <m/>
    <m/>
    <m/>
    <m/>
    <m/>
    <m/>
    <m/>
    <m/>
    <m/>
    <m/>
    <m/>
    <m/>
    <m/>
    <m/>
    <m/>
    <m/>
    <m/>
    <n v="1"/>
    <m/>
    <m/>
    <m/>
    <m/>
    <m/>
    <m/>
    <m/>
    <m/>
    <m/>
    <m/>
    <m/>
    <m/>
  </r>
  <r>
    <x v="491"/>
    <n v="2007"/>
    <n v="1"/>
    <x v="15"/>
    <x v="12"/>
    <x v="4"/>
    <n v="1"/>
    <s v="2007_01_016.gif"/>
    <m/>
    <m/>
    <m/>
    <b v="0"/>
    <n v="0"/>
    <x v="0"/>
    <n v="492"/>
    <s v="Magnetism"/>
    <n v="4897"/>
    <x v="10"/>
    <m/>
    <m/>
    <m/>
    <m/>
    <m/>
    <m/>
    <m/>
    <m/>
    <m/>
    <m/>
    <m/>
    <m/>
    <m/>
    <m/>
    <m/>
    <m/>
    <m/>
    <m/>
    <m/>
    <m/>
    <m/>
    <m/>
    <m/>
    <m/>
    <m/>
    <m/>
    <m/>
    <m/>
    <m/>
    <m/>
    <m/>
    <m/>
    <m/>
    <m/>
    <m/>
    <m/>
    <m/>
    <m/>
    <m/>
    <m/>
    <m/>
    <m/>
    <m/>
    <m/>
    <m/>
    <m/>
    <m/>
    <m/>
    <m/>
    <m/>
    <m/>
    <m/>
    <m/>
    <m/>
    <m/>
    <m/>
    <m/>
    <m/>
    <m/>
    <n v="1"/>
  </r>
  <r>
    <x v="492"/>
    <n v="2007"/>
    <n v="1"/>
    <x v="16"/>
    <x v="8"/>
    <x v="0"/>
    <n v="1"/>
    <s v="2007_01_017.gif"/>
    <m/>
    <m/>
    <m/>
    <b v="0"/>
    <n v="0"/>
    <x v="0"/>
    <n v="493"/>
    <s v="Ohm's Law"/>
    <n v="4898"/>
    <x v="10"/>
    <m/>
    <m/>
    <m/>
    <m/>
    <m/>
    <m/>
    <m/>
    <m/>
    <m/>
    <m/>
    <m/>
    <m/>
    <m/>
    <m/>
    <m/>
    <m/>
    <m/>
    <m/>
    <m/>
    <m/>
    <m/>
    <m/>
    <m/>
    <m/>
    <m/>
    <m/>
    <m/>
    <m/>
    <m/>
    <m/>
    <m/>
    <m/>
    <m/>
    <m/>
    <m/>
    <m/>
    <m/>
    <m/>
    <m/>
    <m/>
    <m/>
    <m/>
    <m/>
    <m/>
    <m/>
    <m/>
    <m/>
    <m/>
    <m/>
    <m/>
    <n v="1"/>
    <m/>
    <m/>
    <m/>
    <m/>
    <m/>
    <m/>
    <m/>
    <m/>
    <m/>
  </r>
  <r>
    <x v="493"/>
    <n v="2007"/>
    <n v="1"/>
    <x v="17"/>
    <x v="6"/>
    <x v="2"/>
    <n v="4"/>
    <s v="2007_01_018.gif"/>
    <m/>
    <m/>
    <m/>
    <b v="0"/>
    <n v="0"/>
    <x v="0"/>
    <n v="494"/>
    <s v="Coulomb's Law,Mathematical Relationships (Numberless Problems)"/>
    <n v="4899"/>
    <x v="10"/>
    <m/>
    <m/>
    <m/>
    <m/>
    <m/>
    <m/>
    <m/>
    <m/>
    <m/>
    <m/>
    <m/>
    <m/>
    <m/>
    <m/>
    <m/>
    <m/>
    <m/>
    <m/>
    <m/>
    <m/>
    <m/>
    <m/>
    <m/>
    <m/>
    <m/>
    <m/>
    <m/>
    <m/>
    <m/>
    <m/>
    <m/>
    <m/>
    <m/>
    <m/>
    <m/>
    <m/>
    <m/>
    <m/>
    <m/>
    <m/>
    <m/>
    <m/>
    <m/>
    <m/>
    <m/>
    <n v="1"/>
    <m/>
    <m/>
    <m/>
    <m/>
    <m/>
    <m/>
    <m/>
    <m/>
    <m/>
    <m/>
    <m/>
    <m/>
    <n v="1"/>
    <m/>
  </r>
  <r>
    <x v="494"/>
    <n v="2007"/>
    <n v="1"/>
    <x v="18"/>
    <x v="4"/>
    <x v="0"/>
    <n v="2"/>
    <s v="2007_01_019.gif"/>
    <m/>
    <m/>
    <m/>
    <b v="0"/>
    <n v="0"/>
    <x v="0"/>
    <n v="495"/>
    <s v="Newton's 3rd Law (Equal But Opposite)"/>
    <n v="4900"/>
    <x v="10"/>
    <m/>
    <m/>
    <m/>
    <m/>
    <m/>
    <m/>
    <m/>
    <m/>
    <m/>
    <m/>
    <m/>
    <m/>
    <m/>
    <m/>
    <m/>
    <m/>
    <m/>
    <m/>
    <m/>
    <m/>
    <m/>
    <m/>
    <m/>
    <m/>
    <m/>
    <m/>
    <m/>
    <m/>
    <m/>
    <m/>
    <n v="1"/>
    <m/>
    <m/>
    <m/>
    <m/>
    <m/>
    <m/>
    <m/>
    <m/>
    <m/>
    <m/>
    <m/>
    <m/>
    <m/>
    <m/>
    <m/>
    <m/>
    <m/>
    <m/>
    <m/>
    <m/>
    <m/>
    <m/>
    <m/>
    <m/>
    <m/>
    <m/>
    <m/>
    <m/>
    <m/>
  </r>
  <r>
    <x v="495"/>
    <n v="2007"/>
    <n v="1"/>
    <x v="19"/>
    <x v="12"/>
    <x v="13"/>
    <n v="1"/>
    <s v="2007_01_020.gif"/>
    <m/>
    <m/>
    <m/>
    <b v="0"/>
    <n v="0"/>
    <x v="0"/>
    <n v="496"/>
    <s v="Electric Fields and Potential"/>
    <n v="4901"/>
    <x v="10"/>
    <m/>
    <m/>
    <m/>
    <m/>
    <m/>
    <m/>
    <m/>
    <m/>
    <m/>
    <m/>
    <m/>
    <m/>
    <m/>
    <m/>
    <m/>
    <m/>
    <m/>
    <m/>
    <m/>
    <m/>
    <m/>
    <m/>
    <m/>
    <m/>
    <m/>
    <m/>
    <m/>
    <m/>
    <m/>
    <m/>
    <m/>
    <m/>
    <m/>
    <m/>
    <m/>
    <m/>
    <m/>
    <m/>
    <m/>
    <m/>
    <m/>
    <m/>
    <m/>
    <m/>
    <m/>
    <m/>
    <m/>
    <n v="1"/>
    <m/>
    <m/>
    <m/>
    <m/>
    <m/>
    <m/>
    <m/>
    <m/>
    <m/>
    <m/>
    <m/>
    <m/>
  </r>
  <r>
    <x v="496"/>
    <n v="2007"/>
    <n v="1"/>
    <x v="20"/>
    <x v="7"/>
    <x v="0"/>
    <n v="3"/>
    <s v="2007_01_021.gif"/>
    <m/>
    <m/>
    <m/>
    <b v="0"/>
    <n v="0"/>
    <x v="0"/>
    <n v="497"/>
    <s v="Wave Vocabulary"/>
    <n v="4902"/>
    <x v="10"/>
    <m/>
    <m/>
    <m/>
    <m/>
    <m/>
    <m/>
    <m/>
    <m/>
    <m/>
    <m/>
    <m/>
    <m/>
    <m/>
    <m/>
    <m/>
    <m/>
    <m/>
    <m/>
    <m/>
    <m/>
    <m/>
    <m/>
    <m/>
    <m/>
    <m/>
    <m/>
    <m/>
    <m/>
    <m/>
    <m/>
    <m/>
    <m/>
    <m/>
    <m/>
    <m/>
    <m/>
    <m/>
    <m/>
    <m/>
    <n v="1"/>
    <m/>
    <m/>
    <m/>
    <m/>
    <m/>
    <m/>
    <m/>
    <m/>
    <m/>
    <m/>
    <m/>
    <m/>
    <m/>
    <m/>
    <m/>
    <m/>
    <m/>
    <m/>
    <m/>
    <m/>
  </r>
  <r>
    <x v="497"/>
    <n v="2007"/>
    <n v="1"/>
    <x v="21"/>
    <x v="7"/>
    <x v="0"/>
    <n v="3"/>
    <s v="2007_01_022.gif"/>
    <m/>
    <m/>
    <m/>
    <b v="0"/>
    <n v="0"/>
    <x v="0"/>
    <n v="498"/>
    <s v="Superposition and Standing Waves"/>
    <n v="4903"/>
    <x v="10"/>
    <m/>
    <m/>
    <m/>
    <m/>
    <m/>
    <m/>
    <m/>
    <m/>
    <m/>
    <m/>
    <m/>
    <m/>
    <m/>
    <m/>
    <m/>
    <m/>
    <m/>
    <m/>
    <m/>
    <m/>
    <m/>
    <m/>
    <m/>
    <m/>
    <m/>
    <m/>
    <m/>
    <m/>
    <m/>
    <m/>
    <m/>
    <m/>
    <m/>
    <m/>
    <m/>
    <m/>
    <m/>
    <n v="1"/>
    <m/>
    <m/>
    <m/>
    <m/>
    <m/>
    <m/>
    <m/>
    <m/>
    <m/>
    <m/>
    <m/>
    <m/>
    <m/>
    <m/>
    <m/>
    <m/>
    <m/>
    <m/>
    <m/>
    <m/>
    <m/>
    <m/>
  </r>
  <r>
    <x v="498"/>
    <n v="2007"/>
    <n v="1"/>
    <x v="22"/>
    <x v="9"/>
    <x v="0"/>
    <n v="4"/>
    <s v="2007_01_023.gif"/>
    <m/>
    <m/>
    <m/>
    <b v="0"/>
    <n v="0"/>
    <x v="0"/>
    <n v="499"/>
    <s v="Light and Sound"/>
    <n v="4904"/>
    <x v="10"/>
    <m/>
    <m/>
    <m/>
    <m/>
    <m/>
    <m/>
    <m/>
    <m/>
    <m/>
    <m/>
    <m/>
    <m/>
    <m/>
    <m/>
    <m/>
    <m/>
    <m/>
    <m/>
    <m/>
    <m/>
    <m/>
    <m/>
    <m/>
    <m/>
    <m/>
    <m/>
    <m/>
    <m/>
    <m/>
    <m/>
    <m/>
    <m/>
    <m/>
    <m/>
    <m/>
    <m/>
    <m/>
    <m/>
    <m/>
    <m/>
    <m/>
    <m/>
    <n v="1"/>
    <m/>
    <m/>
    <m/>
    <m/>
    <m/>
    <m/>
    <m/>
    <m/>
    <m/>
    <m/>
    <m/>
    <m/>
    <m/>
    <m/>
    <m/>
    <m/>
    <m/>
  </r>
  <r>
    <x v="499"/>
    <n v="2007"/>
    <n v="1"/>
    <x v="23"/>
    <x v="9"/>
    <x v="0"/>
    <n v="1"/>
    <s v="2007_01_024.gif"/>
    <m/>
    <m/>
    <m/>
    <b v="0"/>
    <n v="0"/>
    <x v="0"/>
    <n v="500"/>
    <s v="Light and Sound"/>
    <n v="4905"/>
    <x v="10"/>
    <m/>
    <m/>
    <m/>
    <m/>
    <m/>
    <m/>
    <m/>
    <m/>
    <m/>
    <m/>
    <m/>
    <m/>
    <m/>
    <m/>
    <m/>
    <m/>
    <m/>
    <m/>
    <m/>
    <m/>
    <m/>
    <m/>
    <m/>
    <m/>
    <m/>
    <m/>
    <m/>
    <m/>
    <m/>
    <m/>
    <m/>
    <m/>
    <m/>
    <m/>
    <m/>
    <m/>
    <m/>
    <m/>
    <m/>
    <m/>
    <m/>
    <m/>
    <n v="1"/>
    <m/>
    <m/>
    <m/>
    <m/>
    <m/>
    <m/>
    <m/>
    <m/>
    <m/>
    <m/>
    <m/>
    <m/>
    <m/>
    <m/>
    <m/>
    <m/>
    <m/>
  </r>
  <r>
    <x v="500"/>
    <n v="2007"/>
    <n v="1"/>
    <x v="24"/>
    <x v="7"/>
    <x v="0"/>
    <n v="1"/>
    <s v="2007_01_025.gif"/>
    <m/>
    <m/>
    <m/>
    <b v="0"/>
    <n v="0"/>
    <x v="0"/>
    <n v="501"/>
    <s v="Wave Vocabulary"/>
    <n v="4906"/>
    <x v="10"/>
    <m/>
    <m/>
    <m/>
    <m/>
    <m/>
    <m/>
    <m/>
    <m/>
    <m/>
    <m/>
    <m/>
    <m/>
    <m/>
    <m/>
    <m/>
    <m/>
    <m/>
    <m/>
    <m/>
    <m/>
    <m/>
    <m/>
    <m/>
    <m/>
    <m/>
    <m/>
    <m/>
    <m/>
    <m/>
    <m/>
    <m/>
    <m/>
    <m/>
    <m/>
    <m/>
    <m/>
    <m/>
    <m/>
    <m/>
    <n v="1"/>
    <m/>
    <m/>
    <m/>
    <m/>
    <m/>
    <m/>
    <m/>
    <m/>
    <m/>
    <m/>
    <m/>
    <m/>
    <m/>
    <m/>
    <m/>
    <m/>
    <m/>
    <m/>
    <m/>
    <m/>
  </r>
  <r>
    <x v="501"/>
    <n v="2007"/>
    <n v="1"/>
    <x v="25"/>
    <x v="9"/>
    <x v="0"/>
    <n v="4"/>
    <s v="2007_01_026.gif"/>
    <m/>
    <m/>
    <m/>
    <b v="0"/>
    <n v="0"/>
    <x v="0"/>
    <n v="502"/>
    <s v="Refraction and Snell's Law"/>
    <n v="4907"/>
    <x v="10"/>
    <m/>
    <m/>
    <m/>
    <m/>
    <m/>
    <m/>
    <m/>
    <m/>
    <m/>
    <m/>
    <m/>
    <m/>
    <m/>
    <m/>
    <m/>
    <m/>
    <m/>
    <m/>
    <m/>
    <m/>
    <m/>
    <m/>
    <m/>
    <m/>
    <m/>
    <m/>
    <m/>
    <m/>
    <m/>
    <m/>
    <m/>
    <m/>
    <m/>
    <m/>
    <m/>
    <m/>
    <m/>
    <m/>
    <m/>
    <m/>
    <m/>
    <m/>
    <m/>
    <n v="1"/>
    <m/>
    <m/>
    <m/>
    <m/>
    <m/>
    <m/>
    <m/>
    <m/>
    <m/>
    <m/>
    <m/>
    <m/>
    <m/>
    <m/>
    <m/>
    <m/>
  </r>
  <r>
    <x v="502"/>
    <n v="2007"/>
    <n v="1"/>
    <x v="26"/>
    <x v="9"/>
    <x v="0"/>
    <n v="2"/>
    <s v="2007_01_027.gif"/>
    <m/>
    <m/>
    <m/>
    <b v="0"/>
    <n v="0"/>
    <x v="0"/>
    <n v="503"/>
    <s v="Refraction and Snell's Law"/>
    <n v="4908"/>
    <x v="10"/>
    <m/>
    <m/>
    <m/>
    <m/>
    <m/>
    <m/>
    <m/>
    <m/>
    <m/>
    <m/>
    <m/>
    <m/>
    <m/>
    <m/>
    <m/>
    <m/>
    <m/>
    <m/>
    <m/>
    <m/>
    <m/>
    <m/>
    <m/>
    <m/>
    <m/>
    <m/>
    <m/>
    <m/>
    <m/>
    <m/>
    <m/>
    <m/>
    <m/>
    <m/>
    <m/>
    <m/>
    <m/>
    <m/>
    <m/>
    <m/>
    <m/>
    <m/>
    <m/>
    <n v="1"/>
    <m/>
    <m/>
    <m/>
    <m/>
    <m/>
    <m/>
    <m/>
    <m/>
    <m/>
    <m/>
    <m/>
    <m/>
    <m/>
    <m/>
    <m/>
    <m/>
  </r>
  <r>
    <x v="503"/>
    <n v="2007"/>
    <n v="1"/>
    <x v="27"/>
    <x v="9"/>
    <x v="0"/>
    <n v="3"/>
    <s v="2007_01_028.gif"/>
    <m/>
    <m/>
    <m/>
    <b v="0"/>
    <n v="0"/>
    <x v="0"/>
    <n v="504"/>
    <s v="Diffraction"/>
    <n v="4909"/>
    <x v="10"/>
    <m/>
    <m/>
    <m/>
    <m/>
    <m/>
    <m/>
    <m/>
    <m/>
    <m/>
    <m/>
    <m/>
    <m/>
    <m/>
    <m/>
    <m/>
    <m/>
    <m/>
    <m/>
    <m/>
    <m/>
    <m/>
    <m/>
    <m/>
    <m/>
    <m/>
    <m/>
    <m/>
    <m/>
    <m/>
    <m/>
    <m/>
    <m/>
    <m/>
    <m/>
    <m/>
    <m/>
    <m/>
    <m/>
    <m/>
    <m/>
    <n v="1"/>
    <m/>
    <m/>
    <m/>
    <m/>
    <m/>
    <m/>
    <m/>
    <m/>
    <m/>
    <m/>
    <m/>
    <m/>
    <m/>
    <m/>
    <m/>
    <m/>
    <m/>
    <m/>
    <m/>
  </r>
  <r>
    <x v="504"/>
    <n v="2007"/>
    <n v="1"/>
    <x v="28"/>
    <x v="7"/>
    <x v="0"/>
    <n v="2"/>
    <s v="2007_01_029.gif"/>
    <m/>
    <m/>
    <m/>
    <b v="0"/>
    <n v="0"/>
    <x v="0"/>
    <n v="505"/>
    <s v="Resonance"/>
    <n v="4910"/>
    <x v="10"/>
    <m/>
    <m/>
    <m/>
    <m/>
    <m/>
    <m/>
    <m/>
    <m/>
    <m/>
    <m/>
    <m/>
    <m/>
    <m/>
    <m/>
    <m/>
    <m/>
    <m/>
    <m/>
    <m/>
    <m/>
    <m/>
    <m/>
    <m/>
    <m/>
    <m/>
    <m/>
    <m/>
    <m/>
    <m/>
    <m/>
    <m/>
    <m/>
    <m/>
    <m/>
    <m/>
    <m/>
    <n v="1"/>
    <m/>
    <m/>
    <m/>
    <m/>
    <m/>
    <m/>
    <m/>
    <m/>
    <m/>
    <m/>
    <m/>
    <m/>
    <m/>
    <m/>
    <m/>
    <m/>
    <m/>
    <m/>
    <m/>
    <m/>
    <m/>
    <m/>
    <m/>
  </r>
  <r>
    <x v="505"/>
    <n v="2007"/>
    <n v="1"/>
    <x v="29"/>
    <x v="10"/>
    <x v="0"/>
    <n v="3"/>
    <s v="2007_01_030.gif"/>
    <m/>
    <m/>
    <m/>
    <b v="0"/>
    <n v="0"/>
    <x v="0"/>
    <n v="506"/>
    <s v="Energy/Frequency of Photon"/>
    <n v="4911"/>
    <x v="10"/>
    <m/>
    <m/>
    <m/>
    <m/>
    <m/>
    <m/>
    <m/>
    <m/>
    <m/>
    <m/>
    <m/>
    <m/>
    <m/>
    <m/>
    <m/>
    <m/>
    <m/>
    <m/>
    <m/>
    <m/>
    <m/>
    <m/>
    <m/>
    <m/>
    <m/>
    <m/>
    <m/>
    <m/>
    <m/>
    <m/>
    <m/>
    <m/>
    <m/>
    <m/>
    <m/>
    <m/>
    <m/>
    <m/>
    <m/>
    <m/>
    <m/>
    <m/>
    <m/>
    <m/>
    <m/>
    <m/>
    <m/>
    <m/>
    <m/>
    <m/>
    <m/>
    <m/>
    <m/>
    <m/>
    <n v="1"/>
    <m/>
    <m/>
    <m/>
    <m/>
    <m/>
  </r>
  <r>
    <x v="506"/>
    <n v="2007"/>
    <n v="1"/>
    <x v="30"/>
    <x v="6"/>
    <x v="0"/>
    <n v="3"/>
    <s v="2007_01_031.gif"/>
    <m/>
    <m/>
    <m/>
    <b v="0"/>
    <n v="0"/>
    <x v="0"/>
    <n v="507"/>
    <s v="Conservation of Charge,Induction, Conduction, Polarization"/>
    <n v="4912"/>
    <x v="10"/>
    <m/>
    <m/>
    <m/>
    <m/>
    <m/>
    <m/>
    <m/>
    <m/>
    <m/>
    <m/>
    <m/>
    <m/>
    <m/>
    <m/>
    <m/>
    <m/>
    <m/>
    <m/>
    <m/>
    <m/>
    <m/>
    <m/>
    <m/>
    <m/>
    <m/>
    <m/>
    <m/>
    <m/>
    <m/>
    <m/>
    <m/>
    <m/>
    <m/>
    <m/>
    <m/>
    <m/>
    <m/>
    <m/>
    <m/>
    <m/>
    <m/>
    <m/>
    <m/>
    <m/>
    <n v="1"/>
    <m/>
    <n v="1"/>
    <m/>
    <m/>
    <m/>
    <m/>
    <m/>
    <m/>
    <m/>
    <m/>
    <m/>
    <m/>
    <m/>
    <m/>
    <m/>
  </r>
  <r>
    <x v="507"/>
    <n v="2007"/>
    <n v="1"/>
    <x v="31"/>
    <x v="10"/>
    <x v="0"/>
    <n v="2"/>
    <s v="2007_01_032.gif"/>
    <m/>
    <m/>
    <m/>
    <b v="0"/>
    <n v="0"/>
    <x v="0"/>
    <n v="508"/>
    <s v="Energy/Frequency of Photon"/>
    <n v="4913"/>
    <x v="10"/>
    <m/>
    <m/>
    <m/>
    <m/>
    <m/>
    <m/>
    <m/>
    <m/>
    <m/>
    <m/>
    <m/>
    <m/>
    <m/>
    <m/>
    <m/>
    <m/>
    <m/>
    <m/>
    <m/>
    <m/>
    <m/>
    <m/>
    <m/>
    <m/>
    <m/>
    <m/>
    <m/>
    <m/>
    <m/>
    <m/>
    <m/>
    <m/>
    <m/>
    <m/>
    <m/>
    <m/>
    <m/>
    <m/>
    <m/>
    <m/>
    <m/>
    <m/>
    <m/>
    <m/>
    <m/>
    <m/>
    <m/>
    <m/>
    <m/>
    <m/>
    <m/>
    <m/>
    <m/>
    <m/>
    <n v="1"/>
    <m/>
    <m/>
    <m/>
    <m/>
    <m/>
  </r>
  <r>
    <x v="508"/>
    <n v="2007"/>
    <n v="1"/>
    <x v="32"/>
    <x v="6"/>
    <x v="0"/>
    <n v="4"/>
    <s v="2007_01_033.gif"/>
    <m/>
    <m/>
    <m/>
    <b v="0"/>
    <n v="0"/>
    <x v="0"/>
    <n v="509"/>
    <s v="Conservation of Charge"/>
    <n v="4914"/>
    <x v="10"/>
    <m/>
    <m/>
    <m/>
    <m/>
    <m/>
    <m/>
    <m/>
    <m/>
    <m/>
    <m/>
    <m/>
    <m/>
    <m/>
    <m/>
    <m/>
    <m/>
    <m/>
    <m/>
    <m/>
    <m/>
    <m/>
    <m/>
    <m/>
    <m/>
    <m/>
    <m/>
    <m/>
    <m/>
    <m/>
    <m/>
    <m/>
    <m/>
    <m/>
    <m/>
    <m/>
    <m/>
    <m/>
    <m/>
    <m/>
    <m/>
    <m/>
    <m/>
    <m/>
    <m/>
    <n v="1"/>
    <m/>
    <m/>
    <m/>
    <m/>
    <m/>
    <m/>
    <m/>
    <m/>
    <m/>
    <m/>
    <m/>
    <m/>
    <m/>
    <m/>
    <m/>
  </r>
  <r>
    <x v="509"/>
    <n v="2007"/>
    <n v="1"/>
    <x v="33"/>
    <x v="10"/>
    <x v="0"/>
    <n v="1"/>
    <s v="2007_01_034.gif"/>
    <m/>
    <m/>
    <m/>
    <b v="0"/>
    <n v="0"/>
    <x v="0"/>
    <n v="510"/>
    <s v="Particle Physics"/>
    <n v="4915"/>
    <x v="10"/>
    <m/>
    <m/>
    <m/>
    <m/>
    <m/>
    <m/>
    <m/>
    <m/>
    <m/>
    <m/>
    <m/>
    <m/>
    <m/>
    <m/>
    <m/>
    <m/>
    <m/>
    <m/>
    <m/>
    <m/>
    <m/>
    <m/>
    <m/>
    <m/>
    <m/>
    <m/>
    <m/>
    <m/>
    <m/>
    <m/>
    <m/>
    <m/>
    <m/>
    <m/>
    <m/>
    <m/>
    <m/>
    <m/>
    <m/>
    <m/>
    <m/>
    <m/>
    <m/>
    <m/>
    <m/>
    <m/>
    <m/>
    <m/>
    <m/>
    <m/>
    <m/>
    <m/>
    <m/>
    <m/>
    <m/>
    <m/>
    <n v="1"/>
    <m/>
    <m/>
    <m/>
  </r>
  <r>
    <x v="510"/>
    <n v="2007"/>
    <n v="1"/>
    <x v="34"/>
    <x v="10"/>
    <x v="0"/>
    <n v="3"/>
    <s v="2007_01_035.gif"/>
    <m/>
    <m/>
    <m/>
    <b v="0"/>
    <n v="0"/>
    <x v="0"/>
    <n v="511"/>
    <s v="Particle Physics"/>
    <n v="4916"/>
    <x v="10"/>
    <m/>
    <m/>
    <m/>
    <m/>
    <m/>
    <m/>
    <m/>
    <m/>
    <m/>
    <m/>
    <m/>
    <m/>
    <m/>
    <m/>
    <m/>
    <m/>
    <m/>
    <m/>
    <m/>
    <m/>
    <m/>
    <m/>
    <m/>
    <m/>
    <m/>
    <m/>
    <m/>
    <m/>
    <m/>
    <m/>
    <m/>
    <m/>
    <m/>
    <m/>
    <m/>
    <m/>
    <m/>
    <m/>
    <m/>
    <m/>
    <m/>
    <m/>
    <m/>
    <m/>
    <m/>
    <m/>
    <m/>
    <m/>
    <m/>
    <m/>
    <m/>
    <m/>
    <m/>
    <m/>
    <m/>
    <m/>
    <n v="1"/>
    <m/>
    <m/>
    <m/>
  </r>
  <r>
    <x v="511"/>
    <n v="2007"/>
    <n v="1"/>
    <x v="35"/>
    <x v="2"/>
    <x v="0"/>
    <n v="1"/>
    <s v="2007_01_036.gif"/>
    <m/>
    <m/>
    <m/>
    <b v="0"/>
    <n v="0"/>
    <x v="1"/>
    <n v="512"/>
    <s v="DT/VT Graphs"/>
    <n v="4917"/>
    <x v="10"/>
    <m/>
    <m/>
    <m/>
    <m/>
    <n v="1"/>
    <m/>
    <m/>
    <m/>
    <m/>
    <m/>
    <m/>
    <m/>
    <m/>
    <m/>
    <m/>
    <m/>
    <m/>
    <m/>
    <m/>
    <m/>
    <m/>
    <m/>
    <m/>
    <m/>
    <m/>
    <m/>
    <m/>
    <m/>
    <m/>
    <m/>
    <m/>
    <m/>
    <m/>
    <m/>
    <m/>
    <m/>
    <m/>
    <m/>
    <m/>
    <m/>
    <m/>
    <m/>
    <m/>
    <m/>
    <m/>
    <m/>
    <m/>
    <m/>
    <m/>
    <m/>
    <m/>
    <m/>
    <m/>
    <m/>
    <m/>
    <m/>
    <m/>
    <m/>
    <m/>
    <m/>
  </r>
  <r>
    <x v="512"/>
    <n v="2007"/>
    <n v="1"/>
    <x v="36"/>
    <x v="2"/>
    <x v="0"/>
    <n v="4"/>
    <s v="2007_01_037.gif"/>
    <m/>
    <m/>
    <m/>
    <b v="0"/>
    <n v="0"/>
    <x v="1"/>
    <n v="513"/>
    <s v="DT/VT Graphs"/>
    <n v="4918"/>
    <x v="10"/>
    <m/>
    <m/>
    <m/>
    <m/>
    <n v="1"/>
    <m/>
    <m/>
    <m/>
    <m/>
    <m/>
    <m/>
    <m/>
    <m/>
    <m/>
    <m/>
    <m/>
    <m/>
    <m/>
    <m/>
    <m/>
    <m/>
    <m/>
    <m/>
    <m/>
    <m/>
    <m/>
    <m/>
    <m/>
    <m/>
    <m/>
    <m/>
    <m/>
    <m/>
    <m/>
    <m/>
    <m/>
    <m/>
    <m/>
    <m/>
    <m/>
    <m/>
    <m/>
    <m/>
    <m/>
    <m/>
    <m/>
    <m/>
    <m/>
    <m/>
    <m/>
    <m/>
    <m/>
    <m/>
    <m/>
    <m/>
    <m/>
    <m/>
    <m/>
    <m/>
    <m/>
  </r>
  <r>
    <x v="513"/>
    <n v="2007"/>
    <n v="1"/>
    <x v="37"/>
    <x v="1"/>
    <x v="0"/>
    <n v="2"/>
    <s v="2007_01_038.gif"/>
    <m/>
    <m/>
    <m/>
    <b v="0"/>
    <n v="0"/>
    <x v="1"/>
    <n v="514"/>
    <s v="Newton's 2nd Law (F=MA)"/>
    <n v="4919"/>
    <x v="10"/>
    <m/>
    <m/>
    <m/>
    <m/>
    <m/>
    <m/>
    <m/>
    <m/>
    <m/>
    <m/>
    <m/>
    <m/>
    <m/>
    <m/>
    <m/>
    <m/>
    <m/>
    <m/>
    <m/>
    <m/>
    <m/>
    <m/>
    <m/>
    <m/>
    <m/>
    <m/>
    <n v="1"/>
    <m/>
    <m/>
    <m/>
    <m/>
    <m/>
    <m/>
    <m/>
    <m/>
    <m/>
    <m/>
    <m/>
    <m/>
    <m/>
    <m/>
    <m/>
    <m/>
    <m/>
    <m/>
    <m/>
    <m/>
    <m/>
    <m/>
    <m/>
    <m/>
    <m/>
    <m/>
    <m/>
    <m/>
    <m/>
    <m/>
    <m/>
    <m/>
    <m/>
  </r>
  <r>
    <x v="514"/>
    <n v="2007"/>
    <n v="1"/>
    <x v="38"/>
    <x v="1"/>
    <x v="0"/>
    <n v="1"/>
    <s v="2007_01_039.gif"/>
    <m/>
    <m/>
    <m/>
    <b v="0"/>
    <n v="0"/>
    <x v="1"/>
    <n v="515"/>
    <s v="Newton's 2nd Law (F=MA)"/>
    <n v="4920"/>
    <x v="10"/>
    <m/>
    <m/>
    <m/>
    <m/>
    <m/>
    <m/>
    <m/>
    <m/>
    <m/>
    <m/>
    <m/>
    <m/>
    <m/>
    <m/>
    <m/>
    <m/>
    <m/>
    <m/>
    <m/>
    <m/>
    <m/>
    <m/>
    <m/>
    <m/>
    <m/>
    <m/>
    <n v="1"/>
    <m/>
    <m/>
    <m/>
    <m/>
    <m/>
    <m/>
    <m/>
    <m/>
    <m/>
    <m/>
    <m/>
    <m/>
    <m/>
    <m/>
    <m/>
    <m/>
    <m/>
    <m/>
    <m/>
    <m/>
    <m/>
    <m/>
    <m/>
    <m/>
    <m/>
    <m/>
    <m/>
    <m/>
    <m/>
    <m/>
    <m/>
    <m/>
    <m/>
  </r>
  <r>
    <x v="515"/>
    <n v="2007"/>
    <n v="1"/>
    <x v="39"/>
    <x v="5"/>
    <x v="2"/>
    <n v="1"/>
    <s v="2007_01_040.gif"/>
    <m/>
    <m/>
    <m/>
    <b v="0"/>
    <n v="0"/>
    <x v="1"/>
    <n v="516"/>
    <s v="Gravitational PE,Graph Interpretation"/>
    <n v="4921"/>
    <x v="10"/>
    <m/>
    <m/>
    <m/>
    <m/>
    <m/>
    <m/>
    <m/>
    <m/>
    <m/>
    <m/>
    <m/>
    <m/>
    <m/>
    <m/>
    <m/>
    <m/>
    <m/>
    <m/>
    <m/>
    <m/>
    <m/>
    <m/>
    <m/>
    <m/>
    <m/>
    <m/>
    <m/>
    <m/>
    <m/>
    <m/>
    <m/>
    <m/>
    <n v="1"/>
    <m/>
    <m/>
    <m/>
    <m/>
    <m/>
    <m/>
    <m/>
    <m/>
    <m/>
    <m/>
    <m/>
    <m/>
    <m/>
    <m/>
    <m/>
    <m/>
    <m/>
    <m/>
    <m/>
    <m/>
    <m/>
    <m/>
    <m/>
    <m/>
    <n v="1"/>
    <m/>
    <m/>
  </r>
  <r>
    <x v="516"/>
    <n v="2007"/>
    <n v="1"/>
    <x v="40"/>
    <x v="8"/>
    <x v="0"/>
    <n v="2"/>
    <s v="2007_01_041.gif"/>
    <m/>
    <m/>
    <m/>
    <b v="0"/>
    <n v="0"/>
    <x v="1"/>
    <n v="517"/>
    <s v="Series and Parallel"/>
    <n v="4922"/>
    <x v="10"/>
    <m/>
    <m/>
    <m/>
    <m/>
    <m/>
    <m/>
    <m/>
    <m/>
    <m/>
    <m/>
    <m/>
    <m/>
    <m/>
    <m/>
    <m/>
    <m/>
    <m/>
    <m/>
    <m/>
    <m/>
    <m/>
    <m/>
    <m/>
    <m/>
    <m/>
    <m/>
    <m/>
    <m/>
    <m/>
    <m/>
    <m/>
    <m/>
    <m/>
    <m/>
    <m/>
    <m/>
    <m/>
    <m/>
    <m/>
    <m/>
    <m/>
    <m/>
    <m/>
    <m/>
    <m/>
    <m/>
    <m/>
    <m/>
    <m/>
    <m/>
    <m/>
    <m/>
    <n v="1"/>
    <m/>
    <m/>
    <m/>
    <m/>
    <m/>
    <m/>
    <m/>
  </r>
  <r>
    <x v="517"/>
    <n v="2007"/>
    <n v="1"/>
    <x v="41"/>
    <x v="8"/>
    <x v="0"/>
    <n v="3"/>
    <s v="2007_01_042.gif"/>
    <m/>
    <m/>
    <m/>
    <b v="0"/>
    <n v="0"/>
    <x v="1"/>
    <n v="518"/>
    <s v="Series and Parallel"/>
    <n v="4923"/>
    <x v="10"/>
    <m/>
    <m/>
    <m/>
    <m/>
    <m/>
    <m/>
    <m/>
    <m/>
    <m/>
    <m/>
    <m/>
    <m/>
    <m/>
    <m/>
    <m/>
    <m/>
    <m/>
    <m/>
    <m/>
    <m/>
    <m/>
    <m/>
    <m/>
    <m/>
    <m/>
    <m/>
    <m/>
    <m/>
    <m/>
    <m/>
    <m/>
    <m/>
    <m/>
    <m/>
    <m/>
    <m/>
    <m/>
    <m/>
    <m/>
    <m/>
    <m/>
    <m/>
    <m/>
    <m/>
    <m/>
    <m/>
    <m/>
    <m/>
    <m/>
    <m/>
    <m/>
    <m/>
    <n v="1"/>
    <m/>
    <m/>
    <m/>
    <m/>
    <m/>
    <m/>
    <m/>
  </r>
  <r>
    <x v="518"/>
    <n v="2007"/>
    <n v="1"/>
    <x v="42"/>
    <x v="8"/>
    <x v="0"/>
    <n v="4"/>
    <s v="2007_01_043.gif"/>
    <m/>
    <m/>
    <m/>
    <b v="0"/>
    <n v="0"/>
    <x v="1"/>
    <n v="519"/>
    <s v="Electrical Power,Series and Parallel"/>
    <n v="4924"/>
    <x v="10"/>
    <m/>
    <m/>
    <m/>
    <m/>
    <m/>
    <m/>
    <m/>
    <m/>
    <m/>
    <m/>
    <m/>
    <m/>
    <m/>
    <m/>
    <m/>
    <m/>
    <m/>
    <m/>
    <m/>
    <m/>
    <m/>
    <m/>
    <m/>
    <m/>
    <m/>
    <m/>
    <m/>
    <m/>
    <m/>
    <m/>
    <m/>
    <m/>
    <m/>
    <m/>
    <m/>
    <m/>
    <m/>
    <m/>
    <m/>
    <m/>
    <m/>
    <m/>
    <m/>
    <m/>
    <m/>
    <m/>
    <m/>
    <m/>
    <m/>
    <n v="1"/>
    <m/>
    <m/>
    <n v="1"/>
    <m/>
    <m/>
    <m/>
    <m/>
    <m/>
    <m/>
    <m/>
  </r>
  <r>
    <x v="519"/>
    <n v="2007"/>
    <n v="1"/>
    <x v="43"/>
    <x v="5"/>
    <x v="0"/>
    <n v="3"/>
    <s v="2007_01_044.gif"/>
    <m/>
    <m/>
    <m/>
    <b v="0"/>
    <n v="0"/>
    <x v="1"/>
    <n v="520"/>
    <s v="Gravitational PE"/>
    <n v="4925"/>
    <x v="10"/>
    <m/>
    <m/>
    <m/>
    <m/>
    <m/>
    <m/>
    <m/>
    <m/>
    <m/>
    <m/>
    <m/>
    <m/>
    <m/>
    <m/>
    <m/>
    <m/>
    <m/>
    <m/>
    <m/>
    <m/>
    <m/>
    <m/>
    <m/>
    <m/>
    <m/>
    <m/>
    <m/>
    <m/>
    <m/>
    <m/>
    <m/>
    <m/>
    <n v="1"/>
    <m/>
    <m/>
    <m/>
    <m/>
    <m/>
    <m/>
    <m/>
    <m/>
    <m/>
    <m/>
    <m/>
    <m/>
    <m/>
    <m/>
    <m/>
    <m/>
    <m/>
    <m/>
    <m/>
    <m/>
    <m/>
    <m/>
    <m/>
    <m/>
    <m/>
    <m/>
    <m/>
  </r>
  <r>
    <x v="520"/>
    <n v="2007"/>
    <n v="1"/>
    <x v="44"/>
    <x v="0"/>
    <x v="15"/>
    <n v="3"/>
    <s v="2007_01_045.gif"/>
    <m/>
    <m/>
    <m/>
    <b v="0"/>
    <n v="0"/>
    <x v="1"/>
    <n v="521"/>
    <s v="Vector Components,Work/Power"/>
    <n v="4926"/>
    <x v="10"/>
    <m/>
    <m/>
    <m/>
    <m/>
    <m/>
    <m/>
    <m/>
    <m/>
    <m/>
    <m/>
    <m/>
    <m/>
    <n v="1"/>
    <m/>
    <m/>
    <m/>
    <m/>
    <m/>
    <m/>
    <m/>
    <m/>
    <m/>
    <m/>
    <m/>
    <m/>
    <m/>
    <m/>
    <m/>
    <m/>
    <m/>
    <m/>
    <m/>
    <m/>
    <m/>
    <m/>
    <n v="1"/>
    <m/>
    <m/>
    <m/>
    <m/>
    <m/>
    <m/>
    <m/>
    <m/>
    <m/>
    <m/>
    <m/>
    <m/>
    <m/>
    <m/>
    <m/>
    <m/>
    <m/>
    <m/>
    <m/>
    <m/>
    <m/>
    <m/>
    <m/>
    <m/>
  </r>
  <r>
    <x v="521"/>
    <n v="2007"/>
    <n v="1"/>
    <x v="45"/>
    <x v="5"/>
    <x v="2"/>
    <n v="1"/>
    <s v="2007_01_046.gif"/>
    <m/>
    <m/>
    <m/>
    <b v="0"/>
    <n v="0"/>
    <x v="1"/>
    <n v="522"/>
    <s v="Work/Power,Mathematical Relationships (Numberless Problems)"/>
    <n v="4927"/>
    <x v="10"/>
    <m/>
    <m/>
    <m/>
    <m/>
    <m/>
    <m/>
    <m/>
    <m/>
    <m/>
    <m/>
    <m/>
    <m/>
    <m/>
    <m/>
    <m/>
    <m/>
    <m/>
    <m/>
    <m/>
    <m/>
    <m/>
    <m/>
    <m/>
    <m/>
    <m/>
    <m/>
    <m/>
    <m/>
    <m/>
    <m/>
    <m/>
    <m/>
    <m/>
    <m/>
    <m/>
    <n v="1"/>
    <m/>
    <m/>
    <m/>
    <m/>
    <m/>
    <m/>
    <m/>
    <m/>
    <m/>
    <m/>
    <m/>
    <m/>
    <m/>
    <m/>
    <m/>
    <m/>
    <m/>
    <m/>
    <m/>
    <m/>
    <m/>
    <m/>
    <n v="1"/>
    <m/>
  </r>
  <r>
    <x v="522"/>
    <n v="2007"/>
    <n v="1"/>
    <x v="46"/>
    <x v="11"/>
    <x v="0"/>
    <n v="4"/>
    <s v="2007_01_047.gif"/>
    <m/>
    <m/>
    <m/>
    <b v="0"/>
    <n v="0"/>
    <x v="1"/>
    <n v="523"/>
    <s v="Units"/>
    <n v="4928"/>
    <x v="10"/>
    <m/>
    <m/>
    <m/>
    <n v="1"/>
    <m/>
    <m/>
    <m/>
    <m/>
    <m/>
    <m/>
    <m/>
    <m/>
    <m/>
    <m/>
    <m/>
    <m/>
    <m/>
    <m/>
    <m/>
    <m/>
    <m/>
    <m/>
    <m/>
    <m/>
    <m/>
    <m/>
    <m/>
    <m/>
    <m/>
    <m/>
    <m/>
    <m/>
    <m/>
    <m/>
    <m/>
    <m/>
    <m/>
    <m/>
    <m/>
    <m/>
    <m/>
    <m/>
    <m/>
    <m/>
    <m/>
    <m/>
    <m/>
    <m/>
    <m/>
    <m/>
    <m/>
    <m/>
    <m/>
    <m/>
    <m/>
    <m/>
    <m/>
    <m/>
    <m/>
    <m/>
  </r>
  <r>
    <x v="523"/>
    <n v="2007"/>
    <n v="1"/>
    <x v="47"/>
    <x v="9"/>
    <x v="0"/>
    <n v="4"/>
    <s v="2007_01_048.gif"/>
    <m/>
    <m/>
    <m/>
    <b v="0"/>
    <n v="0"/>
    <x v="1"/>
    <n v="524"/>
    <s v="Light and Sound"/>
    <n v="4929"/>
    <x v="10"/>
    <m/>
    <m/>
    <m/>
    <m/>
    <m/>
    <m/>
    <m/>
    <m/>
    <m/>
    <m/>
    <m/>
    <m/>
    <m/>
    <m/>
    <m/>
    <m/>
    <m/>
    <m/>
    <m/>
    <m/>
    <m/>
    <m/>
    <m/>
    <m/>
    <m/>
    <m/>
    <m/>
    <m/>
    <m/>
    <m/>
    <m/>
    <m/>
    <m/>
    <m/>
    <m/>
    <m/>
    <m/>
    <m/>
    <m/>
    <m/>
    <m/>
    <m/>
    <n v="1"/>
    <m/>
    <m/>
    <m/>
    <m/>
    <m/>
    <m/>
    <m/>
    <m/>
    <m/>
    <m/>
    <m/>
    <m/>
    <m/>
    <m/>
    <m/>
    <m/>
    <m/>
  </r>
  <r>
    <x v="524"/>
    <n v="2007"/>
    <n v="1"/>
    <x v="48"/>
    <x v="7"/>
    <x v="0"/>
    <n v="2"/>
    <s v="2007_01_049.gif"/>
    <m/>
    <m/>
    <m/>
    <b v="0"/>
    <n v="0"/>
    <x v="1"/>
    <n v="525"/>
    <s v="V=FxLamda"/>
    <n v="4930"/>
    <x v="10"/>
    <m/>
    <m/>
    <m/>
    <m/>
    <m/>
    <m/>
    <m/>
    <m/>
    <m/>
    <m/>
    <m/>
    <m/>
    <m/>
    <m/>
    <m/>
    <m/>
    <m/>
    <m/>
    <m/>
    <m/>
    <m/>
    <m/>
    <m/>
    <m/>
    <m/>
    <m/>
    <m/>
    <m/>
    <m/>
    <m/>
    <m/>
    <m/>
    <m/>
    <m/>
    <m/>
    <m/>
    <m/>
    <m/>
    <n v="1"/>
    <m/>
    <m/>
    <m/>
    <m/>
    <m/>
    <m/>
    <m/>
    <m/>
    <m/>
    <m/>
    <m/>
    <m/>
    <m/>
    <m/>
    <m/>
    <m/>
    <m/>
    <m/>
    <m/>
    <m/>
    <m/>
  </r>
  <r>
    <x v="525"/>
    <n v="2007"/>
    <n v="1"/>
    <x v="49"/>
    <x v="7"/>
    <x v="0"/>
    <n v="1"/>
    <s v="2007_01_050.gif"/>
    <m/>
    <m/>
    <m/>
    <b v="0"/>
    <n v="0"/>
    <x v="1"/>
    <n v="526"/>
    <s v="V=FxLamda"/>
    <n v="4931"/>
    <x v="10"/>
    <m/>
    <m/>
    <m/>
    <m/>
    <m/>
    <m/>
    <m/>
    <m/>
    <m/>
    <m/>
    <m/>
    <m/>
    <m/>
    <m/>
    <m/>
    <m/>
    <m/>
    <m/>
    <m/>
    <m/>
    <m/>
    <m/>
    <m/>
    <m/>
    <m/>
    <m/>
    <m/>
    <m/>
    <m/>
    <m/>
    <m/>
    <m/>
    <m/>
    <m/>
    <m/>
    <m/>
    <m/>
    <m/>
    <n v="1"/>
    <m/>
    <m/>
    <m/>
    <m/>
    <m/>
    <m/>
    <m/>
    <m/>
    <m/>
    <m/>
    <m/>
    <m/>
    <m/>
    <m/>
    <m/>
    <m/>
    <m/>
    <m/>
    <m/>
    <m/>
    <m/>
  </r>
  <r>
    <x v="526"/>
    <n v="2007"/>
    <n v="1"/>
    <x v="50"/>
    <x v="10"/>
    <x v="0"/>
    <n v="2"/>
    <s v="2007_01_051.gif"/>
    <m/>
    <m/>
    <m/>
    <b v="0"/>
    <n v="0"/>
    <x v="1"/>
    <n v="527"/>
    <s v="Particle Physics"/>
    <n v="4932"/>
    <x v="10"/>
    <m/>
    <m/>
    <m/>
    <m/>
    <m/>
    <m/>
    <m/>
    <m/>
    <m/>
    <m/>
    <m/>
    <m/>
    <m/>
    <m/>
    <m/>
    <m/>
    <m/>
    <m/>
    <m/>
    <m/>
    <m/>
    <m/>
    <m/>
    <m/>
    <m/>
    <m/>
    <m/>
    <m/>
    <m/>
    <m/>
    <m/>
    <m/>
    <m/>
    <m/>
    <m/>
    <m/>
    <m/>
    <m/>
    <m/>
    <m/>
    <m/>
    <m/>
    <m/>
    <m/>
    <m/>
    <m/>
    <m/>
    <m/>
    <m/>
    <m/>
    <m/>
    <m/>
    <m/>
    <m/>
    <m/>
    <m/>
    <n v="1"/>
    <m/>
    <m/>
    <m/>
  </r>
  <r>
    <x v="527"/>
    <n v="2007"/>
    <n v="6"/>
    <x v="0"/>
    <x v="0"/>
    <x v="0"/>
    <n v="1"/>
    <s v="2007_06_001.gif"/>
    <m/>
    <m/>
    <m/>
    <b v="0"/>
    <n v="0"/>
    <x v="0"/>
    <n v="528"/>
    <s v="Vector vs. Scalar"/>
    <n v="4959"/>
    <x v="11"/>
    <m/>
    <m/>
    <m/>
    <m/>
    <m/>
    <m/>
    <m/>
    <m/>
    <m/>
    <m/>
    <m/>
    <m/>
    <m/>
    <n v="1"/>
    <m/>
    <m/>
    <m/>
    <m/>
    <m/>
    <m/>
    <m/>
    <m/>
    <m/>
    <m/>
    <m/>
    <m/>
    <m/>
    <m/>
    <m/>
    <m/>
    <m/>
    <m/>
    <m/>
    <m/>
    <m/>
    <m/>
    <m/>
    <m/>
    <m/>
    <m/>
    <m/>
    <m/>
    <m/>
    <m/>
    <m/>
    <m/>
    <m/>
    <m/>
    <m/>
    <m/>
    <m/>
    <m/>
    <m/>
    <m/>
    <m/>
    <m/>
    <m/>
    <m/>
    <m/>
    <m/>
  </r>
  <r>
    <x v="528"/>
    <n v="2007"/>
    <n v="6"/>
    <x v="1"/>
    <x v="2"/>
    <x v="0"/>
    <n v="1"/>
    <s v="2007_06_002.gif"/>
    <m/>
    <m/>
    <m/>
    <b v="0"/>
    <n v="0"/>
    <x v="0"/>
    <n v="529"/>
    <s v="Vertical Constant Acceleration Problems"/>
    <n v="4960"/>
    <x v="11"/>
    <m/>
    <m/>
    <m/>
    <m/>
    <m/>
    <m/>
    <m/>
    <m/>
    <m/>
    <m/>
    <n v="1"/>
    <m/>
    <m/>
    <m/>
    <m/>
    <m/>
    <m/>
    <m/>
    <m/>
    <m/>
    <m/>
    <m/>
    <m/>
    <m/>
    <m/>
    <m/>
    <m/>
    <m/>
    <m/>
    <m/>
    <m/>
    <m/>
    <m/>
    <m/>
    <m/>
    <m/>
    <m/>
    <m/>
    <m/>
    <m/>
    <m/>
    <m/>
    <m/>
    <m/>
    <m/>
    <m/>
    <m/>
    <m/>
    <m/>
    <m/>
    <m/>
    <m/>
    <m/>
    <m/>
    <m/>
    <m/>
    <m/>
    <m/>
    <m/>
    <m/>
  </r>
  <r>
    <x v="529"/>
    <n v="2007"/>
    <n v="6"/>
    <x v="2"/>
    <x v="1"/>
    <x v="0"/>
    <n v="2"/>
    <s v="2007_06_003.gif"/>
    <m/>
    <m/>
    <m/>
    <b v="0"/>
    <n v="0"/>
    <x v="0"/>
    <n v="530"/>
    <s v="Weight and Mass"/>
    <n v="4961"/>
    <x v="11"/>
    <m/>
    <m/>
    <m/>
    <m/>
    <m/>
    <m/>
    <m/>
    <m/>
    <m/>
    <m/>
    <m/>
    <m/>
    <m/>
    <m/>
    <m/>
    <m/>
    <m/>
    <m/>
    <m/>
    <m/>
    <m/>
    <m/>
    <m/>
    <m/>
    <m/>
    <m/>
    <m/>
    <n v="1"/>
    <m/>
    <m/>
    <m/>
    <m/>
    <m/>
    <m/>
    <m/>
    <m/>
    <m/>
    <m/>
    <m/>
    <m/>
    <m/>
    <m/>
    <m/>
    <m/>
    <m/>
    <m/>
    <m/>
    <m/>
    <m/>
    <m/>
    <m/>
    <m/>
    <m/>
    <m/>
    <m/>
    <m/>
    <m/>
    <m/>
    <m/>
    <m/>
  </r>
  <r>
    <x v="530"/>
    <n v="2007"/>
    <n v="6"/>
    <x v="3"/>
    <x v="3"/>
    <x v="0"/>
    <n v="4"/>
    <s v="2007_06_004.gif"/>
    <m/>
    <m/>
    <m/>
    <b v="0"/>
    <n v="0"/>
    <x v="0"/>
    <n v="531"/>
    <s v="Centripetal Motion - Direction F,A,V"/>
    <n v="4962"/>
    <x v="11"/>
    <m/>
    <m/>
    <m/>
    <m/>
    <m/>
    <m/>
    <m/>
    <m/>
    <m/>
    <m/>
    <m/>
    <m/>
    <m/>
    <m/>
    <m/>
    <m/>
    <m/>
    <m/>
    <m/>
    <n v="1"/>
    <m/>
    <m/>
    <m/>
    <m/>
    <m/>
    <m/>
    <m/>
    <m/>
    <m/>
    <m/>
    <m/>
    <m/>
    <m/>
    <m/>
    <m/>
    <m/>
    <m/>
    <m/>
    <m/>
    <m/>
    <m/>
    <m/>
    <m/>
    <m/>
    <m/>
    <m/>
    <m/>
    <m/>
    <m/>
    <m/>
    <m/>
    <m/>
    <m/>
    <m/>
    <m/>
    <m/>
    <m/>
    <m/>
    <m/>
    <m/>
  </r>
  <r>
    <x v="531"/>
    <n v="2007"/>
    <n v="6"/>
    <x v="4"/>
    <x v="0"/>
    <x v="0"/>
    <n v="2"/>
    <s v="2007_06_005.gif"/>
    <m/>
    <m/>
    <m/>
    <b v="0"/>
    <n v="0"/>
    <x v="0"/>
    <n v="532"/>
    <s v="Adding Vectors"/>
    <n v="4963"/>
    <x v="11"/>
    <m/>
    <m/>
    <m/>
    <m/>
    <m/>
    <m/>
    <m/>
    <m/>
    <m/>
    <m/>
    <m/>
    <n v="1"/>
    <m/>
    <m/>
    <m/>
    <m/>
    <m/>
    <m/>
    <m/>
    <m/>
    <m/>
    <m/>
    <m/>
    <m/>
    <m/>
    <m/>
    <m/>
    <m/>
    <m/>
    <m/>
    <m/>
    <m/>
    <m/>
    <m/>
    <m/>
    <m/>
    <m/>
    <m/>
    <m/>
    <m/>
    <m/>
    <m/>
    <m/>
    <m/>
    <m/>
    <m/>
    <m/>
    <m/>
    <m/>
    <m/>
    <m/>
    <m/>
    <m/>
    <m/>
    <m/>
    <m/>
    <m/>
    <m/>
    <m/>
    <m/>
  </r>
  <r>
    <x v="532"/>
    <n v="2007"/>
    <n v="6"/>
    <x v="5"/>
    <x v="2"/>
    <x v="0"/>
    <n v="2"/>
    <s v="2007_06_006.gif"/>
    <m/>
    <m/>
    <m/>
    <b v="0"/>
    <n v="0"/>
    <x v="0"/>
    <n v="533"/>
    <s v="Basic Motion Concepts"/>
    <n v="4964"/>
    <x v="11"/>
    <m/>
    <m/>
    <m/>
    <m/>
    <m/>
    <m/>
    <m/>
    <n v="1"/>
    <m/>
    <m/>
    <m/>
    <m/>
    <m/>
    <m/>
    <m/>
    <m/>
    <m/>
    <m/>
    <m/>
    <m/>
    <m/>
    <m/>
    <m/>
    <m/>
    <m/>
    <m/>
    <m/>
    <m/>
    <m/>
    <m/>
    <m/>
    <m/>
    <m/>
    <m/>
    <m/>
    <m/>
    <m/>
    <m/>
    <m/>
    <m/>
    <m/>
    <m/>
    <m/>
    <m/>
    <m/>
    <m/>
    <m/>
    <m/>
    <m/>
    <m/>
    <m/>
    <m/>
    <m/>
    <m/>
    <m/>
    <m/>
    <m/>
    <m/>
    <m/>
    <m/>
  </r>
  <r>
    <x v="533"/>
    <n v="2007"/>
    <n v="6"/>
    <x v="6"/>
    <x v="1"/>
    <x v="0"/>
    <n v="2"/>
    <s v="2007_06_007.gif"/>
    <m/>
    <m/>
    <m/>
    <b v="0"/>
    <n v="0"/>
    <x v="0"/>
    <n v="534"/>
    <s v="Hooke's Law"/>
    <n v="4965"/>
    <x v="11"/>
    <m/>
    <m/>
    <m/>
    <m/>
    <m/>
    <m/>
    <m/>
    <m/>
    <m/>
    <m/>
    <m/>
    <m/>
    <m/>
    <m/>
    <m/>
    <m/>
    <m/>
    <m/>
    <m/>
    <m/>
    <m/>
    <m/>
    <m/>
    <n v="1"/>
    <m/>
    <m/>
    <m/>
    <m/>
    <m/>
    <m/>
    <m/>
    <m/>
    <m/>
    <m/>
    <m/>
    <m/>
    <m/>
    <m/>
    <m/>
    <m/>
    <m/>
    <m/>
    <m/>
    <m/>
    <m/>
    <m/>
    <m/>
    <m/>
    <m/>
    <m/>
    <m/>
    <m/>
    <m/>
    <m/>
    <m/>
    <m/>
    <m/>
    <m/>
    <m/>
    <m/>
  </r>
  <r>
    <x v="534"/>
    <n v="2007"/>
    <n v="6"/>
    <x v="7"/>
    <x v="3"/>
    <x v="0"/>
    <n v="4"/>
    <s v="2007_06_008.gif"/>
    <m/>
    <m/>
    <m/>
    <b v="0"/>
    <n v="0"/>
    <x v="0"/>
    <n v="535"/>
    <s v="Centripetal Motion - Calculation"/>
    <n v="4966"/>
    <x v="11"/>
    <m/>
    <m/>
    <m/>
    <m/>
    <m/>
    <m/>
    <m/>
    <m/>
    <m/>
    <m/>
    <m/>
    <m/>
    <m/>
    <m/>
    <m/>
    <m/>
    <m/>
    <m/>
    <m/>
    <m/>
    <n v="1"/>
    <m/>
    <m/>
    <m/>
    <m/>
    <m/>
    <m/>
    <m/>
    <m/>
    <m/>
    <m/>
    <m/>
    <m/>
    <m/>
    <m/>
    <m/>
    <m/>
    <m/>
    <m/>
    <m/>
    <m/>
    <m/>
    <m/>
    <m/>
    <m/>
    <m/>
    <m/>
    <m/>
    <m/>
    <m/>
    <m/>
    <m/>
    <m/>
    <m/>
    <m/>
    <m/>
    <m/>
    <m/>
    <m/>
    <m/>
  </r>
  <r>
    <x v="535"/>
    <n v="2007"/>
    <n v="6"/>
    <x v="8"/>
    <x v="4"/>
    <x v="0"/>
    <n v="3"/>
    <s v="2007_06_009.gif"/>
    <m/>
    <m/>
    <m/>
    <b v="0"/>
    <n v="0"/>
    <x v="0"/>
    <n v="536"/>
    <s v="Impulse"/>
    <n v="4967"/>
    <x v="11"/>
    <m/>
    <m/>
    <m/>
    <m/>
    <m/>
    <m/>
    <m/>
    <m/>
    <m/>
    <m/>
    <m/>
    <m/>
    <m/>
    <m/>
    <m/>
    <m/>
    <m/>
    <m/>
    <m/>
    <m/>
    <m/>
    <m/>
    <m/>
    <m/>
    <m/>
    <m/>
    <m/>
    <m/>
    <m/>
    <n v="1"/>
    <m/>
    <m/>
    <m/>
    <m/>
    <m/>
    <m/>
    <m/>
    <m/>
    <m/>
    <m/>
    <m/>
    <m/>
    <m/>
    <m/>
    <m/>
    <m/>
    <m/>
    <m/>
    <m/>
    <m/>
    <m/>
    <m/>
    <m/>
    <m/>
    <m/>
    <m/>
    <m/>
    <m/>
    <m/>
    <m/>
  </r>
  <r>
    <x v="536"/>
    <n v="2007"/>
    <n v="6"/>
    <x v="9"/>
    <x v="5"/>
    <x v="2"/>
    <n v="1"/>
    <s v="2007_06_010.gif"/>
    <m/>
    <m/>
    <m/>
    <b v="0"/>
    <n v="0"/>
    <x v="0"/>
    <n v="537"/>
    <s v="Gravitational PE,Mathematical Relationships (Numberless Problems)"/>
    <n v="4968"/>
    <x v="11"/>
    <m/>
    <m/>
    <m/>
    <m/>
    <m/>
    <m/>
    <m/>
    <m/>
    <m/>
    <m/>
    <m/>
    <m/>
    <m/>
    <m/>
    <m/>
    <m/>
    <m/>
    <m/>
    <m/>
    <m/>
    <m/>
    <m/>
    <m/>
    <m/>
    <m/>
    <m/>
    <m/>
    <m/>
    <m/>
    <m/>
    <m/>
    <m/>
    <n v="1"/>
    <m/>
    <m/>
    <m/>
    <m/>
    <m/>
    <m/>
    <m/>
    <m/>
    <m/>
    <m/>
    <m/>
    <m/>
    <m/>
    <m/>
    <m/>
    <m/>
    <m/>
    <m/>
    <m/>
    <m/>
    <m/>
    <m/>
    <m/>
    <m/>
    <m/>
    <n v="1"/>
    <m/>
  </r>
  <r>
    <x v="537"/>
    <n v="2007"/>
    <n v="6"/>
    <x v="10"/>
    <x v="5"/>
    <x v="0"/>
    <n v="4"/>
    <s v="2007_06_011.gif"/>
    <m/>
    <m/>
    <m/>
    <b v="0"/>
    <n v="0"/>
    <x v="0"/>
    <n v="538"/>
    <s v="Kinetic Energy"/>
    <n v="4969"/>
    <x v="11"/>
    <m/>
    <m/>
    <m/>
    <m/>
    <m/>
    <m/>
    <m/>
    <m/>
    <m/>
    <m/>
    <m/>
    <m/>
    <m/>
    <m/>
    <m/>
    <m/>
    <m/>
    <m/>
    <m/>
    <m/>
    <m/>
    <m/>
    <m/>
    <m/>
    <m/>
    <m/>
    <m/>
    <m/>
    <m/>
    <m/>
    <m/>
    <m/>
    <m/>
    <n v="1"/>
    <m/>
    <m/>
    <m/>
    <m/>
    <m/>
    <m/>
    <m/>
    <m/>
    <m/>
    <m/>
    <m/>
    <m/>
    <m/>
    <m/>
    <m/>
    <m/>
    <m/>
    <m/>
    <m/>
    <m/>
    <m/>
    <m/>
    <m/>
    <m/>
    <m/>
    <m/>
  </r>
  <r>
    <x v="538"/>
    <n v="2007"/>
    <n v="6"/>
    <x v="11"/>
    <x v="5"/>
    <x v="0"/>
    <n v="3"/>
    <s v="2007_06_012.gif"/>
    <m/>
    <m/>
    <m/>
    <b v="0"/>
    <n v="0"/>
    <x v="0"/>
    <n v="539"/>
    <s v="Work/Power"/>
    <n v="4970"/>
    <x v="11"/>
    <m/>
    <m/>
    <m/>
    <m/>
    <m/>
    <m/>
    <m/>
    <m/>
    <m/>
    <m/>
    <m/>
    <m/>
    <m/>
    <m/>
    <m/>
    <m/>
    <m/>
    <m/>
    <m/>
    <m/>
    <m/>
    <m/>
    <m/>
    <m/>
    <m/>
    <m/>
    <m/>
    <m/>
    <m/>
    <m/>
    <m/>
    <m/>
    <m/>
    <m/>
    <m/>
    <n v="1"/>
    <m/>
    <m/>
    <m/>
    <m/>
    <m/>
    <m/>
    <m/>
    <m/>
    <m/>
    <m/>
    <m/>
    <m/>
    <m/>
    <m/>
    <m/>
    <m/>
    <m/>
    <m/>
    <m/>
    <m/>
    <m/>
    <m/>
    <m/>
    <m/>
  </r>
  <r>
    <x v="539"/>
    <n v="2007"/>
    <n v="6"/>
    <x v="12"/>
    <x v="5"/>
    <x v="0"/>
    <n v="2"/>
    <s v="2007_06_013.gif"/>
    <m/>
    <m/>
    <m/>
    <b v="0"/>
    <n v="0"/>
    <x v="0"/>
    <n v="540"/>
    <s v="Work/Power"/>
    <n v="4971"/>
    <x v="11"/>
    <m/>
    <m/>
    <m/>
    <m/>
    <m/>
    <m/>
    <m/>
    <m/>
    <m/>
    <m/>
    <m/>
    <m/>
    <m/>
    <m/>
    <m/>
    <m/>
    <m/>
    <m/>
    <m/>
    <m/>
    <m/>
    <m/>
    <m/>
    <m/>
    <m/>
    <m/>
    <m/>
    <m/>
    <m/>
    <m/>
    <m/>
    <m/>
    <m/>
    <m/>
    <m/>
    <n v="1"/>
    <m/>
    <m/>
    <m/>
    <m/>
    <m/>
    <m/>
    <m/>
    <m/>
    <m/>
    <m/>
    <m/>
    <m/>
    <m/>
    <m/>
    <m/>
    <m/>
    <m/>
    <m/>
    <m/>
    <m/>
    <m/>
    <m/>
    <m/>
    <m/>
  </r>
  <r>
    <x v="540"/>
    <n v="2007"/>
    <n v="6"/>
    <x v="13"/>
    <x v="1"/>
    <x v="0"/>
    <n v="3"/>
    <s v="2007_06_014.gif"/>
    <m/>
    <m/>
    <m/>
    <b v="0"/>
    <n v="0"/>
    <x v="0"/>
    <n v="541"/>
    <s v="Law of Gravity"/>
    <n v="4972"/>
    <x v="11"/>
    <m/>
    <m/>
    <m/>
    <m/>
    <m/>
    <m/>
    <m/>
    <m/>
    <m/>
    <m/>
    <m/>
    <m/>
    <m/>
    <m/>
    <m/>
    <m/>
    <m/>
    <m/>
    <m/>
    <m/>
    <m/>
    <m/>
    <m/>
    <m/>
    <n v="1"/>
    <m/>
    <m/>
    <m/>
    <m/>
    <m/>
    <m/>
    <m/>
    <m/>
    <m/>
    <m/>
    <m/>
    <m/>
    <m/>
    <m/>
    <m/>
    <m/>
    <m/>
    <m/>
    <m/>
    <m/>
    <m/>
    <m/>
    <m/>
    <m/>
    <m/>
    <m/>
    <m/>
    <m/>
    <m/>
    <m/>
    <m/>
    <m/>
    <m/>
    <m/>
    <m/>
  </r>
  <r>
    <x v="541"/>
    <n v="2007"/>
    <n v="6"/>
    <x v="14"/>
    <x v="6"/>
    <x v="0"/>
    <n v="1"/>
    <s v="2007_06_015.gif"/>
    <m/>
    <m/>
    <m/>
    <b v="0"/>
    <n v="0"/>
    <x v="0"/>
    <n v="542"/>
    <s v="Electric Fields and Potential"/>
    <n v="4973"/>
    <x v="11"/>
    <m/>
    <m/>
    <m/>
    <m/>
    <m/>
    <m/>
    <m/>
    <m/>
    <m/>
    <m/>
    <m/>
    <m/>
    <m/>
    <m/>
    <m/>
    <m/>
    <m/>
    <m/>
    <m/>
    <m/>
    <m/>
    <m/>
    <m/>
    <m/>
    <m/>
    <m/>
    <m/>
    <m/>
    <m/>
    <m/>
    <m/>
    <m/>
    <m/>
    <m/>
    <m/>
    <m/>
    <m/>
    <m/>
    <m/>
    <m/>
    <m/>
    <m/>
    <m/>
    <m/>
    <m/>
    <m/>
    <m/>
    <n v="1"/>
    <m/>
    <m/>
    <m/>
    <m/>
    <m/>
    <m/>
    <m/>
    <m/>
    <m/>
    <m/>
    <m/>
    <m/>
  </r>
  <r>
    <x v="542"/>
    <n v="2007"/>
    <n v="6"/>
    <x v="15"/>
    <x v="8"/>
    <x v="0"/>
    <n v="2"/>
    <s v="2007_06_016.gif"/>
    <m/>
    <m/>
    <m/>
    <b v="0"/>
    <n v="0"/>
    <x v="0"/>
    <n v="543"/>
    <s v="Ohm's Law"/>
    <n v="4974"/>
    <x v="11"/>
    <m/>
    <m/>
    <m/>
    <m/>
    <m/>
    <m/>
    <m/>
    <m/>
    <m/>
    <m/>
    <m/>
    <m/>
    <m/>
    <m/>
    <m/>
    <m/>
    <m/>
    <m/>
    <m/>
    <m/>
    <m/>
    <m/>
    <m/>
    <m/>
    <m/>
    <m/>
    <m/>
    <m/>
    <m/>
    <m/>
    <m/>
    <m/>
    <m/>
    <m/>
    <m/>
    <m/>
    <m/>
    <m/>
    <m/>
    <m/>
    <m/>
    <m/>
    <m/>
    <m/>
    <m/>
    <m/>
    <m/>
    <m/>
    <m/>
    <m/>
    <n v="1"/>
    <m/>
    <m/>
    <m/>
    <m/>
    <m/>
    <m/>
    <m/>
    <m/>
    <m/>
  </r>
  <r>
    <x v="543"/>
    <n v="2007"/>
    <n v="6"/>
    <x v="16"/>
    <x v="8"/>
    <x v="0"/>
    <n v="4"/>
    <s v="2007_06_017.gif"/>
    <m/>
    <m/>
    <m/>
    <b v="0"/>
    <n v="0"/>
    <x v="0"/>
    <n v="544"/>
    <s v="Resistance of Wire"/>
    <n v="4975"/>
    <x v="11"/>
    <m/>
    <m/>
    <m/>
    <m/>
    <m/>
    <m/>
    <m/>
    <m/>
    <m/>
    <m/>
    <m/>
    <m/>
    <m/>
    <m/>
    <m/>
    <m/>
    <m/>
    <m/>
    <m/>
    <m/>
    <m/>
    <m/>
    <m/>
    <m/>
    <m/>
    <m/>
    <m/>
    <m/>
    <m/>
    <m/>
    <m/>
    <m/>
    <m/>
    <m/>
    <m/>
    <m/>
    <m/>
    <m/>
    <m/>
    <m/>
    <m/>
    <m/>
    <m/>
    <m/>
    <m/>
    <m/>
    <m/>
    <m/>
    <m/>
    <m/>
    <m/>
    <n v="1"/>
    <m/>
    <m/>
    <m/>
    <m/>
    <m/>
    <m/>
    <m/>
    <m/>
  </r>
  <r>
    <x v="544"/>
    <n v="2007"/>
    <n v="6"/>
    <x v="17"/>
    <x v="8"/>
    <x v="0"/>
    <n v="4"/>
    <s v="2007_06_018.gif"/>
    <m/>
    <m/>
    <m/>
    <b v="0"/>
    <n v="0"/>
    <x v="0"/>
    <n v="545"/>
    <s v="Electrical Definitions"/>
    <n v="4976"/>
    <x v="11"/>
    <m/>
    <m/>
    <m/>
    <m/>
    <m/>
    <m/>
    <m/>
    <m/>
    <m/>
    <m/>
    <m/>
    <m/>
    <m/>
    <m/>
    <m/>
    <m/>
    <m/>
    <m/>
    <m/>
    <m/>
    <m/>
    <m/>
    <m/>
    <m/>
    <m/>
    <m/>
    <m/>
    <m/>
    <m/>
    <m/>
    <m/>
    <m/>
    <m/>
    <m/>
    <m/>
    <m/>
    <m/>
    <m/>
    <m/>
    <m/>
    <m/>
    <m/>
    <m/>
    <m/>
    <m/>
    <m/>
    <m/>
    <m/>
    <n v="1"/>
    <m/>
    <m/>
    <m/>
    <m/>
    <m/>
    <m/>
    <m/>
    <m/>
    <m/>
    <m/>
    <m/>
  </r>
  <r>
    <x v="545"/>
    <n v="2007"/>
    <n v="6"/>
    <x v="18"/>
    <x v="8"/>
    <x v="0"/>
    <n v="1"/>
    <s v="2007_06_019.gif"/>
    <m/>
    <m/>
    <m/>
    <b v="0"/>
    <n v="0"/>
    <x v="0"/>
    <n v="546"/>
    <s v="Electrical Power"/>
    <n v="4977"/>
    <x v="11"/>
    <m/>
    <m/>
    <m/>
    <m/>
    <m/>
    <m/>
    <m/>
    <m/>
    <m/>
    <m/>
    <m/>
    <m/>
    <m/>
    <m/>
    <m/>
    <m/>
    <m/>
    <m/>
    <m/>
    <m/>
    <m/>
    <m/>
    <m/>
    <m/>
    <m/>
    <m/>
    <m/>
    <m/>
    <m/>
    <m/>
    <m/>
    <m/>
    <m/>
    <m/>
    <m/>
    <m/>
    <m/>
    <m/>
    <m/>
    <m/>
    <m/>
    <m/>
    <m/>
    <m/>
    <m/>
    <m/>
    <m/>
    <m/>
    <m/>
    <n v="1"/>
    <m/>
    <m/>
    <m/>
    <m/>
    <m/>
    <m/>
    <m/>
    <m/>
    <m/>
    <m/>
  </r>
  <r>
    <x v="546"/>
    <n v="2007"/>
    <n v="6"/>
    <x v="19"/>
    <x v="8"/>
    <x v="0"/>
    <n v="3"/>
    <s v="2007_06_020.gif"/>
    <m/>
    <m/>
    <m/>
    <b v="0"/>
    <n v="0"/>
    <x v="0"/>
    <n v="547"/>
    <s v="Electrical Power"/>
    <n v="4978"/>
    <x v="11"/>
    <m/>
    <m/>
    <m/>
    <m/>
    <m/>
    <m/>
    <m/>
    <m/>
    <m/>
    <m/>
    <m/>
    <m/>
    <m/>
    <m/>
    <m/>
    <m/>
    <m/>
    <m/>
    <m/>
    <m/>
    <m/>
    <m/>
    <m/>
    <m/>
    <m/>
    <m/>
    <m/>
    <m/>
    <m/>
    <m/>
    <m/>
    <m/>
    <m/>
    <m/>
    <m/>
    <m/>
    <m/>
    <m/>
    <m/>
    <m/>
    <m/>
    <m/>
    <m/>
    <m/>
    <m/>
    <m/>
    <m/>
    <m/>
    <m/>
    <n v="1"/>
    <m/>
    <m/>
    <m/>
    <m/>
    <m/>
    <m/>
    <m/>
    <m/>
    <m/>
    <m/>
  </r>
  <r>
    <x v="547"/>
    <n v="2007"/>
    <n v="6"/>
    <x v="20"/>
    <x v="9"/>
    <x v="0"/>
    <n v="1"/>
    <s v="2007_06_021.gif"/>
    <m/>
    <m/>
    <m/>
    <b v="0"/>
    <n v="0"/>
    <x v="0"/>
    <n v="548"/>
    <s v="Refraction and Snell's Law"/>
    <n v="4979"/>
    <x v="11"/>
    <m/>
    <m/>
    <m/>
    <m/>
    <m/>
    <m/>
    <m/>
    <m/>
    <m/>
    <m/>
    <m/>
    <m/>
    <m/>
    <m/>
    <m/>
    <m/>
    <m/>
    <m/>
    <m/>
    <m/>
    <m/>
    <m/>
    <m/>
    <m/>
    <m/>
    <m/>
    <m/>
    <m/>
    <m/>
    <m/>
    <m/>
    <m/>
    <m/>
    <m/>
    <m/>
    <m/>
    <m/>
    <m/>
    <m/>
    <m/>
    <m/>
    <m/>
    <m/>
    <n v="1"/>
    <m/>
    <m/>
    <m/>
    <m/>
    <m/>
    <m/>
    <m/>
    <m/>
    <m/>
    <m/>
    <m/>
    <m/>
    <m/>
    <m/>
    <m/>
    <m/>
  </r>
  <r>
    <x v="548"/>
    <n v="2007"/>
    <n v="6"/>
    <x v="21"/>
    <x v="7"/>
    <x v="0"/>
    <n v="3"/>
    <s v="2007_06_022.gif"/>
    <m/>
    <m/>
    <m/>
    <b v="0"/>
    <n v="0"/>
    <x v="0"/>
    <n v="549"/>
    <s v="Wave Vocabulary"/>
    <n v="4980"/>
    <x v="11"/>
    <m/>
    <m/>
    <m/>
    <m/>
    <m/>
    <m/>
    <m/>
    <m/>
    <m/>
    <m/>
    <m/>
    <m/>
    <m/>
    <m/>
    <m/>
    <m/>
    <m/>
    <m/>
    <m/>
    <m/>
    <m/>
    <m/>
    <m/>
    <m/>
    <m/>
    <m/>
    <m/>
    <m/>
    <m/>
    <m/>
    <m/>
    <m/>
    <m/>
    <m/>
    <m/>
    <m/>
    <m/>
    <m/>
    <m/>
    <n v="1"/>
    <m/>
    <m/>
    <m/>
    <m/>
    <m/>
    <m/>
    <m/>
    <m/>
    <m/>
    <m/>
    <m/>
    <m/>
    <m/>
    <m/>
    <m/>
    <m/>
    <m/>
    <m/>
    <m/>
    <m/>
  </r>
  <r>
    <x v="549"/>
    <n v="2007"/>
    <n v="6"/>
    <x v="22"/>
    <x v="7"/>
    <x v="0"/>
    <n v="3"/>
    <s v="2007_06_023.gif"/>
    <m/>
    <m/>
    <m/>
    <b v="0"/>
    <n v="0"/>
    <x v="0"/>
    <n v="550"/>
    <s v="Wave Vocabulary"/>
    <n v="4981"/>
    <x v="11"/>
    <m/>
    <m/>
    <m/>
    <m/>
    <m/>
    <m/>
    <m/>
    <m/>
    <m/>
    <m/>
    <m/>
    <m/>
    <m/>
    <m/>
    <m/>
    <m/>
    <m/>
    <m/>
    <m/>
    <m/>
    <m/>
    <m/>
    <m/>
    <m/>
    <m/>
    <m/>
    <m/>
    <m/>
    <m/>
    <m/>
    <m/>
    <m/>
    <m/>
    <m/>
    <m/>
    <m/>
    <m/>
    <m/>
    <m/>
    <n v="1"/>
    <m/>
    <m/>
    <m/>
    <m/>
    <m/>
    <m/>
    <m/>
    <m/>
    <m/>
    <m/>
    <m/>
    <m/>
    <m/>
    <m/>
    <m/>
    <m/>
    <m/>
    <m/>
    <m/>
    <m/>
  </r>
  <r>
    <x v="550"/>
    <n v="2007"/>
    <n v="6"/>
    <x v="23"/>
    <x v="7"/>
    <x v="0"/>
    <n v="1"/>
    <s v="2007_06_024.gif"/>
    <m/>
    <m/>
    <m/>
    <b v="0"/>
    <n v="0"/>
    <x v="0"/>
    <n v="551"/>
    <s v="Wave Vocabulary"/>
    <n v="4982"/>
    <x v="11"/>
    <m/>
    <m/>
    <m/>
    <m/>
    <m/>
    <m/>
    <m/>
    <m/>
    <m/>
    <m/>
    <m/>
    <m/>
    <m/>
    <m/>
    <m/>
    <m/>
    <m/>
    <m/>
    <m/>
    <m/>
    <m/>
    <m/>
    <m/>
    <m/>
    <m/>
    <m/>
    <m/>
    <m/>
    <m/>
    <m/>
    <m/>
    <m/>
    <m/>
    <m/>
    <m/>
    <m/>
    <m/>
    <m/>
    <m/>
    <n v="1"/>
    <m/>
    <m/>
    <m/>
    <m/>
    <m/>
    <m/>
    <m/>
    <m/>
    <m/>
    <m/>
    <m/>
    <m/>
    <m/>
    <m/>
    <m/>
    <m/>
    <m/>
    <m/>
    <m/>
    <m/>
  </r>
  <r>
    <x v="551"/>
    <n v="2007"/>
    <n v="6"/>
    <x v="24"/>
    <x v="9"/>
    <x v="11"/>
    <n v="2"/>
    <s v="2007_06_025.gif"/>
    <m/>
    <m/>
    <m/>
    <b v="0"/>
    <n v="0"/>
    <x v="0"/>
    <n v="552"/>
    <s v="Basic Motion Concepts,Light and Sound"/>
    <n v="4983"/>
    <x v="11"/>
    <m/>
    <m/>
    <m/>
    <m/>
    <m/>
    <m/>
    <m/>
    <n v="1"/>
    <m/>
    <m/>
    <m/>
    <m/>
    <m/>
    <m/>
    <m/>
    <m/>
    <m/>
    <m/>
    <m/>
    <m/>
    <m/>
    <m/>
    <m/>
    <m/>
    <m/>
    <m/>
    <m/>
    <m/>
    <m/>
    <m/>
    <m/>
    <m/>
    <m/>
    <m/>
    <m/>
    <m/>
    <m/>
    <m/>
    <m/>
    <m/>
    <m/>
    <m/>
    <n v="1"/>
    <m/>
    <m/>
    <m/>
    <m/>
    <m/>
    <m/>
    <m/>
    <m/>
    <m/>
    <m/>
    <m/>
    <m/>
    <m/>
    <m/>
    <m/>
    <m/>
    <m/>
  </r>
  <r>
    <x v="552"/>
    <n v="2007"/>
    <n v="6"/>
    <x v="25"/>
    <x v="9"/>
    <x v="5"/>
    <n v="4"/>
    <s v="2007_06_026.gif"/>
    <m/>
    <m/>
    <m/>
    <b v="0"/>
    <n v="0"/>
    <x v="0"/>
    <n v="553"/>
    <s v="Light and Sound"/>
    <n v="4984"/>
    <x v="11"/>
    <m/>
    <m/>
    <m/>
    <m/>
    <m/>
    <m/>
    <m/>
    <m/>
    <m/>
    <m/>
    <m/>
    <m/>
    <m/>
    <m/>
    <m/>
    <m/>
    <m/>
    <m/>
    <m/>
    <m/>
    <m/>
    <m/>
    <m/>
    <m/>
    <m/>
    <m/>
    <m/>
    <m/>
    <m/>
    <m/>
    <m/>
    <m/>
    <m/>
    <m/>
    <m/>
    <m/>
    <m/>
    <m/>
    <m/>
    <m/>
    <m/>
    <m/>
    <n v="1"/>
    <m/>
    <m/>
    <m/>
    <m/>
    <m/>
    <m/>
    <m/>
    <m/>
    <m/>
    <m/>
    <m/>
    <m/>
    <m/>
    <m/>
    <m/>
    <m/>
    <m/>
  </r>
  <r>
    <x v="553"/>
    <n v="2007"/>
    <n v="6"/>
    <x v="26"/>
    <x v="7"/>
    <x v="0"/>
    <n v="3"/>
    <s v="2007_06_027.gif"/>
    <m/>
    <m/>
    <m/>
    <b v="0"/>
    <n v="0"/>
    <x v="0"/>
    <n v="554"/>
    <s v="Wave Vocabulary"/>
    <n v="4985"/>
    <x v="11"/>
    <m/>
    <m/>
    <m/>
    <m/>
    <m/>
    <m/>
    <m/>
    <m/>
    <m/>
    <m/>
    <m/>
    <m/>
    <m/>
    <m/>
    <m/>
    <m/>
    <m/>
    <m/>
    <m/>
    <m/>
    <m/>
    <m/>
    <m/>
    <m/>
    <m/>
    <m/>
    <m/>
    <m/>
    <m/>
    <m/>
    <m/>
    <m/>
    <m/>
    <m/>
    <m/>
    <m/>
    <m/>
    <m/>
    <m/>
    <n v="1"/>
    <m/>
    <m/>
    <m/>
    <m/>
    <m/>
    <m/>
    <m/>
    <m/>
    <m/>
    <m/>
    <m/>
    <m/>
    <m/>
    <m/>
    <m/>
    <m/>
    <m/>
    <m/>
    <m/>
    <m/>
  </r>
  <r>
    <x v="554"/>
    <n v="2007"/>
    <n v="6"/>
    <x v="27"/>
    <x v="7"/>
    <x v="0"/>
    <n v="3"/>
    <s v="2007_06_028.gif"/>
    <m/>
    <m/>
    <m/>
    <b v="0"/>
    <n v="0"/>
    <x v="0"/>
    <n v="555"/>
    <s v="Resonance"/>
    <n v="4986"/>
    <x v="11"/>
    <m/>
    <m/>
    <m/>
    <m/>
    <m/>
    <m/>
    <m/>
    <m/>
    <m/>
    <m/>
    <m/>
    <m/>
    <m/>
    <m/>
    <m/>
    <m/>
    <m/>
    <m/>
    <m/>
    <m/>
    <m/>
    <m/>
    <m/>
    <m/>
    <m/>
    <m/>
    <m/>
    <m/>
    <m/>
    <m/>
    <m/>
    <m/>
    <m/>
    <m/>
    <m/>
    <m/>
    <n v="1"/>
    <m/>
    <m/>
    <m/>
    <m/>
    <m/>
    <m/>
    <m/>
    <m/>
    <m/>
    <m/>
    <m/>
    <m/>
    <m/>
    <m/>
    <m/>
    <m/>
    <m/>
    <m/>
    <m/>
    <m/>
    <m/>
    <m/>
    <m/>
  </r>
  <r>
    <x v="555"/>
    <n v="2007"/>
    <n v="6"/>
    <x v="28"/>
    <x v="9"/>
    <x v="0"/>
    <n v="1"/>
    <s v="2007_06_029.gif"/>
    <m/>
    <m/>
    <m/>
    <b v="0"/>
    <n v="0"/>
    <x v="0"/>
    <n v="556"/>
    <s v="Diffraction"/>
    <n v="4987"/>
    <x v="11"/>
    <m/>
    <m/>
    <m/>
    <m/>
    <m/>
    <m/>
    <m/>
    <m/>
    <m/>
    <m/>
    <m/>
    <m/>
    <m/>
    <m/>
    <m/>
    <m/>
    <m/>
    <m/>
    <m/>
    <m/>
    <m/>
    <m/>
    <m/>
    <m/>
    <m/>
    <m/>
    <m/>
    <m/>
    <m/>
    <m/>
    <m/>
    <m/>
    <m/>
    <m/>
    <m/>
    <m/>
    <m/>
    <m/>
    <m/>
    <m/>
    <n v="1"/>
    <m/>
    <m/>
    <m/>
    <m/>
    <m/>
    <m/>
    <m/>
    <m/>
    <m/>
    <m/>
    <m/>
    <m/>
    <m/>
    <m/>
    <m/>
    <m/>
    <m/>
    <m/>
    <m/>
  </r>
  <r>
    <x v="556"/>
    <n v="2007"/>
    <n v="6"/>
    <x v="29"/>
    <x v="7"/>
    <x v="0"/>
    <n v="1"/>
    <s v="2007_06_030.gif"/>
    <m/>
    <m/>
    <m/>
    <b v="0"/>
    <n v="0"/>
    <x v="0"/>
    <n v="557"/>
    <s v="Superposition and Standing Waves"/>
    <n v="4988"/>
    <x v="11"/>
    <m/>
    <m/>
    <m/>
    <m/>
    <m/>
    <m/>
    <m/>
    <m/>
    <m/>
    <m/>
    <m/>
    <m/>
    <m/>
    <m/>
    <m/>
    <m/>
    <m/>
    <m/>
    <m/>
    <m/>
    <m/>
    <m/>
    <m/>
    <m/>
    <m/>
    <m/>
    <m/>
    <m/>
    <m/>
    <m/>
    <m/>
    <m/>
    <m/>
    <m/>
    <m/>
    <m/>
    <m/>
    <n v="1"/>
    <m/>
    <m/>
    <m/>
    <m/>
    <m/>
    <m/>
    <m/>
    <m/>
    <m/>
    <m/>
    <m/>
    <m/>
    <m/>
    <m/>
    <m/>
    <m/>
    <m/>
    <m/>
    <m/>
    <m/>
    <m/>
    <m/>
  </r>
  <r>
    <x v="557"/>
    <n v="2007"/>
    <n v="6"/>
    <x v="30"/>
    <x v="9"/>
    <x v="0"/>
    <n v="4"/>
    <s v="2007_06_031.gif"/>
    <m/>
    <m/>
    <m/>
    <b v="0"/>
    <n v="0"/>
    <x v="0"/>
    <n v="558"/>
    <s v="Doppler Effect"/>
    <n v="4989"/>
    <x v="11"/>
    <m/>
    <m/>
    <m/>
    <m/>
    <m/>
    <m/>
    <m/>
    <m/>
    <m/>
    <m/>
    <m/>
    <m/>
    <m/>
    <m/>
    <m/>
    <m/>
    <m/>
    <m/>
    <m/>
    <m/>
    <m/>
    <m/>
    <m/>
    <m/>
    <m/>
    <m/>
    <m/>
    <m/>
    <m/>
    <m/>
    <m/>
    <m/>
    <m/>
    <m/>
    <m/>
    <m/>
    <m/>
    <m/>
    <m/>
    <m/>
    <m/>
    <n v="1"/>
    <m/>
    <m/>
    <m/>
    <m/>
    <m/>
    <m/>
    <m/>
    <m/>
    <m/>
    <m/>
    <m/>
    <m/>
    <m/>
    <m/>
    <m/>
    <m/>
    <m/>
    <m/>
  </r>
  <r>
    <x v="558"/>
    <n v="2007"/>
    <n v="6"/>
    <x v="31"/>
    <x v="6"/>
    <x v="0"/>
    <n v="2"/>
    <s v="2007_06_032.gif"/>
    <m/>
    <m/>
    <m/>
    <b v="0"/>
    <n v="0"/>
    <x v="0"/>
    <n v="559"/>
    <s v="Conservation of Charge"/>
    <n v="4990"/>
    <x v="11"/>
    <m/>
    <m/>
    <m/>
    <m/>
    <m/>
    <m/>
    <m/>
    <m/>
    <m/>
    <m/>
    <m/>
    <m/>
    <m/>
    <m/>
    <m/>
    <m/>
    <m/>
    <m/>
    <m/>
    <m/>
    <m/>
    <m/>
    <m/>
    <m/>
    <m/>
    <m/>
    <m/>
    <m/>
    <m/>
    <m/>
    <m/>
    <m/>
    <m/>
    <m/>
    <m/>
    <m/>
    <m/>
    <m/>
    <m/>
    <m/>
    <m/>
    <m/>
    <m/>
    <m/>
    <n v="1"/>
    <m/>
    <m/>
    <m/>
    <m/>
    <m/>
    <m/>
    <m/>
    <m/>
    <m/>
    <m/>
    <m/>
    <m/>
    <m/>
    <m/>
    <m/>
  </r>
  <r>
    <x v="559"/>
    <n v="2007"/>
    <n v="6"/>
    <x v="32"/>
    <x v="6"/>
    <x v="0"/>
    <n v="1"/>
    <s v="2007_06_033.gif"/>
    <m/>
    <m/>
    <m/>
    <b v="0"/>
    <n v="0"/>
    <x v="0"/>
    <n v="560"/>
    <s v="Conservation of Charge,Induction, Conduction, Polarization"/>
    <n v="4991"/>
    <x v="11"/>
    <m/>
    <m/>
    <m/>
    <m/>
    <m/>
    <m/>
    <m/>
    <m/>
    <m/>
    <m/>
    <m/>
    <m/>
    <m/>
    <m/>
    <m/>
    <m/>
    <m/>
    <m/>
    <m/>
    <m/>
    <m/>
    <m/>
    <m/>
    <m/>
    <m/>
    <m/>
    <m/>
    <m/>
    <m/>
    <m/>
    <m/>
    <m/>
    <m/>
    <m/>
    <m/>
    <m/>
    <m/>
    <m/>
    <m/>
    <m/>
    <m/>
    <m/>
    <m/>
    <m/>
    <n v="1"/>
    <m/>
    <n v="1"/>
    <m/>
    <m/>
    <m/>
    <m/>
    <m/>
    <m/>
    <m/>
    <m/>
    <m/>
    <m/>
    <m/>
    <m/>
    <m/>
  </r>
  <r>
    <x v="560"/>
    <n v="2007"/>
    <n v="6"/>
    <x v="33"/>
    <x v="10"/>
    <x v="0"/>
    <n v="3"/>
    <s v="2007_06_034.gif"/>
    <m/>
    <m/>
    <m/>
    <b v="0"/>
    <n v="0"/>
    <x v="0"/>
    <n v="561"/>
    <s v="Energy/Frequency of Photon"/>
    <n v="4992"/>
    <x v="11"/>
    <m/>
    <m/>
    <m/>
    <m/>
    <m/>
    <m/>
    <m/>
    <m/>
    <m/>
    <m/>
    <m/>
    <m/>
    <m/>
    <m/>
    <m/>
    <m/>
    <m/>
    <m/>
    <m/>
    <m/>
    <m/>
    <m/>
    <m/>
    <m/>
    <m/>
    <m/>
    <m/>
    <m/>
    <m/>
    <m/>
    <m/>
    <m/>
    <m/>
    <m/>
    <m/>
    <m/>
    <m/>
    <m/>
    <m/>
    <m/>
    <m/>
    <m/>
    <m/>
    <m/>
    <m/>
    <m/>
    <m/>
    <m/>
    <m/>
    <m/>
    <m/>
    <m/>
    <m/>
    <m/>
    <n v="1"/>
    <m/>
    <m/>
    <m/>
    <m/>
    <m/>
  </r>
  <r>
    <x v="561"/>
    <n v="2007"/>
    <n v="6"/>
    <x v="34"/>
    <x v="10"/>
    <x v="0"/>
    <n v="1"/>
    <s v="2007_06_035.gif"/>
    <m/>
    <m/>
    <m/>
    <b v="0"/>
    <n v="0"/>
    <x v="0"/>
    <n v="562"/>
    <s v="Energy/Mass Equivalency"/>
    <n v="4993"/>
    <x v="11"/>
    <m/>
    <m/>
    <m/>
    <m/>
    <m/>
    <m/>
    <m/>
    <m/>
    <m/>
    <m/>
    <m/>
    <m/>
    <m/>
    <m/>
    <m/>
    <m/>
    <m/>
    <m/>
    <m/>
    <m/>
    <m/>
    <m/>
    <m/>
    <m/>
    <m/>
    <m/>
    <m/>
    <m/>
    <m/>
    <m/>
    <m/>
    <m/>
    <m/>
    <m/>
    <m/>
    <m/>
    <m/>
    <m/>
    <m/>
    <m/>
    <m/>
    <m/>
    <m/>
    <m/>
    <m/>
    <m/>
    <m/>
    <m/>
    <m/>
    <m/>
    <m/>
    <m/>
    <m/>
    <m/>
    <m/>
    <n v="1"/>
    <m/>
    <m/>
    <m/>
    <m/>
  </r>
  <r>
    <x v="562"/>
    <n v="2007"/>
    <n v="6"/>
    <x v="35"/>
    <x v="11"/>
    <x v="0"/>
    <n v="2"/>
    <s v="2007_06_036.gif"/>
    <m/>
    <m/>
    <m/>
    <b v="0"/>
    <n v="0"/>
    <x v="1"/>
    <n v="563"/>
    <s v="Estimation"/>
    <n v="4994"/>
    <x v="11"/>
    <m/>
    <m/>
    <n v="1"/>
    <m/>
    <m/>
    <m/>
    <m/>
    <m/>
    <m/>
    <m/>
    <m/>
    <m/>
    <m/>
    <m/>
    <m/>
    <m/>
    <m/>
    <m/>
    <m/>
    <m/>
    <m/>
    <m/>
    <m/>
    <m/>
    <m/>
    <m/>
    <m/>
    <m/>
    <m/>
    <m/>
    <m/>
    <m/>
    <m/>
    <m/>
    <m/>
    <m/>
    <m/>
    <m/>
    <m/>
    <m/>
    <m/>
    <m/>
    <m/>
    <m/>
    <m/>
    <m/>
    <m/>
    <m/>
    <m/>
    <m/>
    <m/>
    <m/>
    <m/>
    <m/>
    <m/>
    <m/>
    <m/>
    <m/>
    <m/>
    <m/>
  </r>
  <r>
    <x v="563"/>
    <n v="2007"/>
    <n v="6"/>
    <x v="36"/>
    <x v="11"/>
    <x v="0"/>
    <n v="1"/>
    <s v="2007_06_037.gif"/>
    <m/>
    <m/>
    <m/>
    <b v="0"/>
    <n v="0"/>
    <x v="1"/>
    <n v="564"/>
    <s v="Units"/>
    <n v="4995"/>
    <x v="11"/>
    <m/>
    <m/>
    <m/>
    <n v="1"/>
    <m/>
    <m/>
    <m/>
    <m/>
    <m/>
    <m/>
    <m/>
    <m/>
    <m/>
    <m/>
    <m/>
    <m/>
    <m/>
    <m/>
    <m/>
    <m/>
    <m/>
    <m/>
    <m/>
    <m/>
    <m/>
    <m/>
    <m/>
    <m/>
    <m/>
    <m/>
    <m/>
    <m/>
    <m/>
    <m/>
    <m/>
    <m/>
    <m/>
    <m/>
    <m/>
    <m/>
    <m/>
    <m/>
    <m/>
    <m/>
    <m/>
    <m/>
    <m/>
    <m/>
    <m/>
    <m/>
    <m/>
    <m/>
    <m/>
    <m/>
    <m/>
    <m/>
    <m/>
    <m/>
    <m/>
    <m/>
  </r>
  <r>
    <x v="564"/>
    <n v="2007"/>
    <n v="6"/>
    <x v="37"/>
    <x v="0"/>
    <x v="0"/>
    <n v="2"/>
    <s v="2007_06_038.gif"/>
    <m/>
    <m/>
    <m/>
    <b v="0"/>
    <n v="0"/>
    <x v="1"/>
    <n v="565"/>
    <s v="Adding Vectors"/>
    <n v="4996"/>
    <x v="11"/>
    <m/>
    <m/>
    <m/>
    <m/>
    <m/>
    <m/>
    <m/>
    <m/>
    <m/>
    <m/>
    <m/>
    <n v="1"/>
    <m/>
    <m/>
    <m/>
    <m/>
    <m/>
    <m/>
    <m/>
    <m/>
    <m/>
    <m/>
    <m/>
    <m/>
    <m/>
    <m/>
    <m/>
    <m/>
    <m/>
    <m/>
    <m/>
    <m/>
    <m/>
    <m/>
    <m/>
    <m/>
    <m/>
    <m/>
    <m/>
    <m/>
    <m/>
    <m/>
    <m/>
    <m/>
    <m/>
    <m/>
    <m/>
    <m/>
    <m/>
    <m/>
    <m/>
    <m/>
    <m/>
    <m/>
    <m/>
    <m/>
    <m/>
    <m/>
    <m/>
    <m/>
  </r>
  <r>
    <x v="565"/>
    <n v="2007"/>
    <n v="6"/>
    <x v="38"/>
    <x v="2"/>
    <x v="0"/>
    <n v="3"/>
    <s v="2007_06_039.gif"/>
    <m/>
    <m/>
    <m/>
    <b v="0"/>
    <n v="0"/>
    <x v="1"/>
    <n v="566"/>
    <s v="Basic Motion Concepts"/>
    <n v="4997"/>
    <x v="11"/>
    <m/>
    <m/>
    <m/>
    <m/>
    <m/>
    <m/>
    <m/>
    <n v="1"/>
    <m/>
    <m/>
    <m/>
    <m/>
    <m/>
    <m/>
    <m/>
    <m/>
    <m/>
    <m/>
    <m/>
    <m/>
    <m/>
    <m/>
    <m/>
    <m/>
    <m/>
    <m/>
    <m/>
    <m/>
    <m/>
    <m/>
    <m/>
    <m/>
    <m/>
    <m/>
    <m/>
    <m/>
    <m/>
    <m/>
    <m/>
    <m/>
    <m/>
    <m/>
    <m/>
    <m/>
    <m/>
    <m/>
    <m/>
    <m/>
    <m/>
    <m/>
    <m/>
    <m/>
    <m/>
    <m/>
    <m/>
    <m/>
    <m/>
    <m/>
    <m/>
    <m/>
  </r>
  <r>
    <x v="566"/>
    <n v="2007"/>
    <n v="6"/>
    <x v="39"/>
    <x v="2"/>
    <x v="0"/>
    <n v="3"/>
    <s v="2007_06_040.gif"/>
    <m/>
    <m/>
    <m/>
    <b v="0"/>
    <n v="0"/>
    <x v="1"/>
    <n v="567"/>
    <s v="Horizontal Constant Acceleration Problems"/>
    <n v="4998"/>
    <x v="11"/>
    <m/>
    <m/>
    <m/>
    <m/>
    <m/>
    <m/>
    <m/>
    <m/>
    <m/>
    <n v="1"/>
    <m/>
    <m/>
    <m/>
    <m/>
    <m/>
    <m/>
    <m/>
    <m/>
    <m/>
    <m/>
    <m/>
    <m/>
    <m/>
    <m/>
    <m/>
    <m/>
    <m/>
    <m/>
    <m/>
    <m/>
    <m/>
    <m/>
    <m/>
    <m/>
    <m/>
    <m/>
    <m/>
    <m/>
    <m/>
    <m/>
    <m/>
    <m/>
    <m/>
    <m/>
    <m/>
    <m/>
    <m/>
    <m/>
    <m/>
    <m/>
    <m/>
    <m/>
    <m/>
    <m/>
    <m/>
    <m/>
    <m/>
    <m/>
    <m/>
    <m/>
  </r>
  <r>
    <x v="567"/>
    <n v="2007"/>
    <n v="6"/>
    <x v="40"/>
    <x v="2"/>
    <x v="0"/>
    <n v="4"/>
    <s v="2007_06_041.gif"/>
    <m/>
    <m/>
    <m/>
    <b v="0"/>
    <n v="0"/>
    <x v="1"/>
    <n v="568"/>
    <s v="DT/VT Graphs"/>
    <n v="4999"/>
    <x v="11"/>
    <m/>
    <m/>
    <m/>
    <m/>
    <n v="1"/>
    <m/>
    <m/>
    <m/>
    <m/>
    <m/>
    <m/>
    <m/>
    <m/>
    <m/>
    <m/>
    <m/>
    <m/>
    <m/>
    <m/>
    <m/>
    <m/>
    <m/>
    <m/>
    <m/>
    <m/>
    <m/>
    <m/>
    <m/>
    <m/>
    <m/>
    <m/>
    <m/>
    <m/>
    <m/>
    <m/>
    <m/>
    <m/>
    <m/>
    <m/>
    <m/>
    <m/>
    <m/>
    <m/>
    <m/>
    <m/>
    <m/>
    <m/>
    <m/>
    <m/>
    <m/>
    <m/>
    <m/>
    <m/>
    <m/>
    <m/>
    <m/>
    <m/>
    <m/>
    <m/>
    <m/>
  </r>
  <r>
    <x v="568"/>
    <n v="2007"/>
    <n v="6"/>
    <x v="41"/>
    <x v="4"/>
    <x v="0"/>
    <n v="2"/>
    <s v="2007_06_042.gif"/>
    <m/>
    <m/>
    <m/>
    <b v="0"/>
    <n v="0"/>
    <x v="1"/>
    <n v="569"/>
    <s v="Conservation of Momentum"/>
    <n v="5000"/>
    <x v="11"/>
    <m/>
    <m/>
    <m/>
    <m/>
    <m/>
    <m/>
    <m/>
    <m/>
    <m/>
    <m/>
    <m/>
    <m/>
    <m/>
    <m/>
    <m/>
    <m/>
    <m/>
    <m/>
    <m/>
    <m/>
    <m/>
    <m/>
    <m/>
    <m/>
    <m/>
    <m/>
    <m/>
    <m/>
    <n v="1"/>
    <m/>
    <m/>
    <m/>
    <m/>
    <m/>
    <m/>
    <m/>
    <m/>
    <m/>
    <m/>
    <m/>
    <m/>
    <m/>
    <m/>
    <m/>
    <m/>
    <m/>
    <m/>
    <m/>
    <m/>
    <m/>
    <m/>
    <m/>
    <m/>
    <m/>
    <m/>
    <m/>
    <m/>
    <m/>
    <m/>
    <m/>
  </r>
  <r>
    <x v="569"/>
    <n v="2007"/>
    <n v="6"/>
    <x v="42"/>
    <x v="5"/>
    <x v="2"/>
    <n v="4"/>
    <s v="2007_06_043.gif"/>
    <m/>
    <m/>
    <m/>
    <b v="0"/>
    <n v="0"/>
    <x v="1"/>
    <n v="570"/>
    <s v="Gravitational PE,Graph Interpretation"/>
    <n v="5001"/>
    <x v="11"/>
    <m/>
    <m/>
    <m/>
    <m/>
    <m/>
    <m/>
    <m/>
    <m/>
    <m/>
    <m/>
    <m/>
    <m/>
    <m/>
    <m/>
    <m/>
    <m/>
    <m/>
    <m/>
    <m/>
    <m/>
    <m/>
    <m/>
    <m/>
    <m/>
    <m/>
    <m/>
    <m/>
    <m/>
    <m/>
    <m/>
    <m/>
    <m/>
    <n v="1"/>
    <m/>
    <m/>
    <m/>
    <m/>
    <m/>
    <m/>
    <m/>
    <m/>
    <m/>
    <m/>
    <m/>
    <m/>
    <m/>
    <m/>
    <m/>
    <m/>
    <m/>
    <m/>
    <m/>
    <m/>
    <m/>
    <m/>
    <m/>
    <m/>
    <n v="1"/>
    <m/>
    <m/>
  </r>
  <r>
    <x v="570"/>
    <n v="2007"/>
    <n v="6"/>
    <x v="43"/>
    <x v="5"/>
    <x v="2"/>
    <n v="1"/>
    <s v="2007_06_044.gif"/>
    <m/>
    <m/>
    <m/>
    <b v="0"/>
    <n v="0"/>
    <x v="1"/>
    <n v="571"/>
    <s v="Work/Power,Graph Interpretation"/>
    <n v="5002"/>
    <x v="11"/>
    <m/>
    <m/>
    <m/>
    <m/>
    <m/>
    <m/>
    <m/>
    <m/>
    <m/>
    <m/>
    <m/>
    <m/>
    <m/>
    <m/>
    <m/>
    <m/>
    <m/>
    <m/>
    <m/>
    <m/>
    <m/>
    <m/>
    <m/>
    <m/>
    <m/>
    <m/>
    <m/>
    <m/>
    <m/>
    <m/>
    <m/>
    <m/>
    <m/>
    <m/>
    <m/>
    <n v="1"/>
    <m/>
    <m/>
    <m/>
    <m/>
    <m/>
    <m/>
    <m/>
    <m/>
    <m/>
    <m/>
    <m/>
    <m/>
    <m/>
    <m/>
    <m/>
    <m/>
    <m/>
    <m/>
    <m/>
    <m/>
    <m/>
    <n v="1"/>
    <m/>
    <m/>
  </r>
  <r>
    <x v="571"/>
    <n v="2007"/>
    <n v="6"/>
    <x v="44"/>
    <x v="10"/>
    <x v="0"/>
    <n v="3"/>
    <s v="2007_06_045.gif"/>
    <m/>
    <m/>
    <m/>
    <b v="0"/>
    <n v="0"/>
    <x v="1"/>
    <n v="572"/>
    <s v="Particle Physics"/>
    <n v="5003"/>
    <x v="11"/>
    <m/>
    <m/>
    <m/>
    <m/>
    <m/>
    <m/>
    <m/>
    <m/>
    <m/>
    <m/>
    <m/>
    <m/>
    <m/>
    <m/>
    <m/>
    <m/>
    <m/>
    <m/>
    <m/>
    <m/>
    <m/>
    <m/>
    <m/>
    <m/>
    <m/>
    <m/>
    <m/>
    <m/>
    <m/>
    <m/>
    <m/>
    <m/>
    <m/>
    <m/>
    <m/>
    <m/>
    <m/>
    <m/>
    <m/>
    <m/>
    <m/>
    <m/>
    <m/>
    <m/>
    <m/>
    <m/>
    <m/>
    <m/>
    <m/>
    <m/>
    <m/>
    <m/>
    <m/>
    <m/>
    <m/>
    <m/>
    <n v="1"/>
    <m/>
    <m/>
    <m/>
  </r>
  <r>
    <x v="572"/>
    <n v="2007"/>
    <n v="6"/>
    <x v="45"/>
    <x v="10"/>
    <x v="0"/>
    <n v="1"/>
    <s v="2007_06_046.gif"/>
    <m/>
    <m/>
    <m/>
    <b v="0"/>
    <n v="0"/>
    <x v="1"/>
    <n v="573"/>
    <s v="Energy/Frequency of Photon"/>
    <n v="5004"/>
    <x v="11"/>
    <m/>
    <m/>
    <m/>
    <m/>
    <m/>
    <m/>
    <m/>
    <m/>
    <m/>
    <m/>
    <m/>
    <m/>
    <m/>
    <m/>
    <m/>
    <m/>
    <m/>
    <m/>
    <m/>
    <m/>
    <m/>
    <m/>
    <m/>
    <m/>
    <m/>
    <m/>
    <m/>
    <m/>
    <m/>
    <m/>
    <m/>
    <m/>
    <m/>
    <m/>
    <m/>
    <m/>
    <m/>
    <m/>
    <m/>
    <m/>
    <m/>
    <m/>
    <m/>
    <m/>
    <m/>
    <m/>
    <m/>
    <m/>
    <m/>
    <m/>
    <m/>
    <m/>
    <m/>
    <m/>
    <n v="1"/>
    <m/>
    <m/>
    <m/>
    <m/>
    <m/>
  </r>
  <r>
    <x v="573"/>
    <n v="2008"/>
    <n v="1"/>
    <x v="0"/>
    <x v="0"/>
    <x v="0"/>
    <n v="4"/>
    <s v="2008_01_001.gif"/>
    <m/>
    <m/>
    <m/>
    <b v="0"/>
    <n v="0"/>
    <x v="0"/>
    <n v="574"/>
    <s v="Vector vs. Scalar"/>
    <n v="5035"/>
    <x v="12"/>
    <m/>
    <m/>
    <m/>
    <m/>
    <m/>
    <m/>
    <m/>
    <m/>
    <m/>
    <m/>
    <m/>
    <m/>
    <m/>
    <n v="1"/>
    <m/>
    <m/>
    <m/>
    <m/>
    <m/>
    <m/>
    <m/>
    <m/>
    <m/>
    <m/>
    <m/>
    <m/>
    <m/>
    <m/>
    <m/>
    <m/>
    <m/>
    <m/>
    <m/>
    <m/>
    <m/>
    <m/>
    <m/>
    <m/>
    <m/>
    <m/>
    <m/>
    <m/>
    <m/>
    <m/>
    <m/>
    <m/>
    <m/>
    <m/>
    <m/>
    <m/>
    <m/>
    <m/>
    <m/>
    <m/>
    <m/>
    <m/>
    <m/>
    <m/>
    <m/>
    <m/>
  </r>
  <r>
    <x v="574"/>
    <n v="2008"/>
    <n v="1"/>
    <x v="1"/>
    <x v="2"/>
    <x v="0"/>
    <n v="3"/>
    <s v="2008_01_002.gif"/>
    <m/>
    <m/>
    <m/>
    <b v="0"/>
    <n v="0"/>
    <x v="0"/>
    <n v="575"/>
    <s v="Horizontal Constant Acceleration Problems"/>
    <n v="5036"/>
    <x v="12"/>
    <m/>
    <m/>
    <m/>
    <m/>
    <m/>
    <m/>
    <m/>
    <m/>
    <m/>
    <n v="1"/>
    <m/>
    <m/>
    <m/>
    <m/>
    <m/>
    <m/>
    <m/>
    <m/>
    <m/>
    <m/>
    <m/>
    <m/>
    <m/>
    <m/>
    <m/>
    <m/>
    <m/>
    <m/>
    <m/>
    <m/>
    <m/>
    <m/>
    <m/>
    <m/>
    <m/>
    <m/>
    <m/>
    <m/>
    <m/>
    <m/>
    <m/>
    <m/>
    <m/>
    <m/>
    <m/>
    <m/>
    <m/>
    <m/>
    <m/>
    <m/>
    <m/>
    <m/>
    <m/>
    <m/>
    <m/>
    <m/>
    <m/>
    <m/>
    <m/>
    <m/>
  </r>
  <r>
    <x v="575"/>
    <n v="2008"/>
    <n v="1"/>
    <x v="2"/>
    <x v="2"/>
    <x v="0"/>
    <n v="2"/>
    <s v="2008_01_003.gif"/>
    <m/>
    <m/>
    <m/>
    <b v="0"/>
    <n v="0"/>
    <x v="0"/>
    <n v="576"/>
    <s v="Vertical Constant Acceleration Problems"/>
    <n v="5037"/>
    <x v="12"/>
    <m/>
    <m/>
    <m/>
    <m/>
    <m/>
    <m/>
    <m/>
    <m/>
    <m/>
    <m/>
    <n v="1"/>
    <m/>
    <m/>
    <m/>
    <m/>
    <m/>
    <m/>
    <m/>
    <m/>
    <m/>
    <m/>
    <m/>
    <m/>
    <m/>
    <m/>
    <m/>
    <m/>
    <m/>
    <m/>
    <m/>
    <m/>
    <m/>
    <m/>
    <m/>
    <m/>
    <m/>
    <m/>
    <m/>
    <m/>
    <m/>
    <m/>
    <m/>
    <m/>
    <m/>
    <m/>
    <m/>
    <m/>
    <m/>
    <m/>
    <m/>
    <m/>
    <m/>
    <m/>
    <m/>
    <m/>
    <m/>
    <m/>
    <m/>
    <m/>
    <m/>
  </r>
  <r>
    <x v="576"/>
    <n v="2008"/>
    <n v="1"/>
    <x v="3"/>
    <x v="0"/>
    <x v="9"/>
    <n v="2"/>
    <s v="2008_01_004.gif"/>
    <m/>
    <m/>
    <m/>
    <b v="0"/>
    <n v="0"/>
    <x v="0"/>
    <n v="577"/>
    <s v="Vector Components,Projectiles at an Angle"/>
    <n v="5038"/>
    <x v="12"/>
    <m/>
    <m/>
    <m/>
    <m/>
    <m/>
    <m/>
    <m/>
    <m/>
    <m/>
    <m/>
    <m/>
    <m/>
    <n v="1"/>
    <m/>
    <m/>
    <n v="1"/>
    <m/>
    <m/>
    <m/>
    <m/>
    <m/>
    <m/>
    <m/>
    <m/>
    <m/>
    <m/>
    <m/>
    <m/>
    <m/>
    <m/>
    <m/>
    <m/>
    <m/>
    <m/>
    <m/>
    <m/>
    <m/>
    <m/>
    <m/>
    <m/>
    <m/>
    <m/>
    <m/>
    <m/>
    <m/>
    <m/>
    <m/>
    <m/>
    <m/>
    <m/>
    <m/>
    <m/>
    <m/>
    <m/>
    <m/>
    <m/>
    <m/>
    <m/>
    <m/>
    <m/>
  </r>
  <r>
    <x v="577"/>
    <n v="2008"/>
    <n v="1"/>
    <x v="4"/>
    <x v="1"/>
    <x v="0"/>
    <n v="4"/>
    <s v="2008_01_005.gif"/>
    <m/>
    <m/>
    <m/>
    <b v="0"/>
    <n v="0"/>
    <x v="0"/>
    <n v="578"/>
    <s v="Newton's 1st Law (Inertia)"/>
    <n v="5039"/>
    <x v="12"/>
    <m/>
    <m/>
    <m/>
    <m/>
    <m/>
    <m/>
    <m/>
    <m/>
    <m/>
    <m/>
    <m/>
    <m/>
    <m/>
    <m/>
    <m/>
    <m/>
    <m/>
    <m/>
    <m/>
    <m/>
    <m/>
    <m/>
    <m/>
    <m/>
    <m/>
    <n v="1"/>
    <m/>
    <m/>
    <m/>
    <m/>
    <m/>
    <m/>
    <m/>
    <m/>
    <m/>
    <m/>
    <m/>
    <m/>
    <m/>
    <m/>
    <m/>
    <m/>
    <m/>
    <m/>
    <m/>
    <m/>
    <m/>
    <m/>
    <m/>
    <m/>
    <m/>
    <m/>
    <m/>
    <m/>
    <m/>
    <m/>
    <m/>
    <m/>
    <m/>
    <m/>
  </r>
  <r>
    <x v="578"/>
    <n v="2008"/>
    <n v="1"/>
    <x v="5"/>
    <x v="1"/>
    <x v="0"/>
    <n v="4"/>
    <s v="2008_01_006.gif"/>
    <m/>
    <m/>
    <m/>
    <b v="0"/>
    <n v="0"/>
    <x v="0"/>
    <n v="579"/>
    <s v="Weight and Mass"/>
    <n v="5040"/>
    <x v="12"/>
    <m/>
    <m/>
    <m/>
    <m/>
    <m/>
    <m/>
    <m/>
    <m/>
    <m/>
    <m/>
    <m/>
    <m/>
    <m/>
    <m/>
    <m/>
    <m/>
    <m/>
    <m/>
    <m/>
    <m/>
    <m/>
    <m/>
    <m/>
    <m/>
    <m/>
    <m/>
    <m/>
    <n v="1"/>
    <m/>
    <m/>
    <m/>
    <m/>
    <m/>
    <m/>
    <m/>
    <m/>
    <m/>
    <m/>
    <m/>
    <m/>
    <m/>
    <m/>
    <m/>
    <m/>
    <m/>
    <m/>
    <m/>
    <m/>
    <m/>
    <m/>
    <m/>
    <m/>
    <m/>
    <m/>
    <m/>
    <m/>
    <m/>
    <m/>
    <m/>
    <m/>
  </r>
  <r>
    <x v="579"/>
    <n v="2008"/>
    <n v="1"/>
    <x v="6"/>
    <x v="3"/>
    <x v="0"/>
    <n v="2"/>
    <s v="2008_01_007.gif"/>
    <m/>
    <m/>
    <m/>
    <b v="0"/>
    <n v="0"/>
    <x v="0"/>
    <n v="580"/>
    <s v="Horizontal Projectile Time of Flight"/>
    <n v="5041"/>
    <x v="12"/>
    <m/>
    <m/>
    <m/>
    <m/>
    <m/>
    <m/>
    <m/>
    <m/>
    <m/>
    <m/>
    <m/>
    <m/>
    <m/>
    <m/>
    <m/>
    <m/>
    <m/>
    <n v="1"/>
    <m/>
    <m/>
    <m/>
    <m/>
    <m/>
    <m/>
    <m/>
    <m/>
    <m/>
    <m/>
    <m/>
    <m/>
    <m/>
    <m/>
    <m/>
    <m/>
    <m/>
    <m/>
    <m/>
    <m/>
    <m/>
    <m/>
    <m/>
    <m/>
    <m/>
    <m/>
    <m/>
    <m/>
    <m/>
    <m/>
    <m/>
    <m/>
    <m/>
    <m/>
    <m/>
    <m/>
    <m/>
    <m/>
    <m/>
    <m/>
    <m/>
    <m/>
  </r>
  <r>
    <x v="580"/>
    <n v="2008"/>
    <n v="1"/>
    <x v="7"/>
    <x v="0"/>
    <x v="0"/>
    <n v="4"/>
    <s v="2008_01_008.gif"/>
    <m/>
    <m/>
    <m/>
    <b v="0"/>
    <n v="0"/>
    <x v="0"/>
    <n v="581"/>
    <s v="Adding Vectors"/>
    <n v="5042"/>
    <x v="12"/>
    <m/>
    <m/>
    <m/>
    <m/>
    <m/>
    <m/>
    <m/>
    <m/>
    <m/>
    <m/>
    <m/>
    <n v="1"/>
    <m/>
    <m/>
    <m/>
    <m/>
    <m/>
    <m/>
    <m/>
    <m/>
    <m/>
    <m/>
    <m/>
    <m/>
    <m/>
    <m/>
    <m/>
    <m/>
    <m/>
    <m/>
    <m/>
    <m/>
    <m/>
    <m/>
    <m/>
    <m/>
    <m/>
    <m/>
    <m/>
    <m/>
    <m/>
    <m/>
    <m/>
    <m/>
    <m/>
    <m/>
    <m/>
    <m/>
    <m/>
    <m/>
    <m/>
    <m/>
    <m/>
    <m/>
    <m/>
    <m/>
    <m/>
    <m/>
    <m/>
    <m/>
  </r>
  <r>
    <x v="581"/>
    <n v="2008"/>
    <n v="1"/>
    <x v="8"/>
    <x v="1"/>
    <x v="0"/>
    <n v="1"/>
    <s v="2008_01_009.gif"/>
    <m/>
    <m/>
    <m/>
    <b v="0"/>
    <n v="0"/>
    <x v="0"/>
    <n v="582"/>
    <s v="Friction"/>
    <n v="5043"/>
    <x v="12"/>
    <m/>
    <m/>
    <m/>
    <m/>
    <m/>
    <m/>
    <m/>
    <m/>
    <m/>
    <m/>
    <m/>
    <m/>
    <m/>
    <m/>
    <m/>
    <m/>
    <m/>
    <m/>
    <m/>
    <m/>
    <m/>
    <n v="1"/>
    <m/>
    <m/>
    <m/>
    <m/>
    <m/>
    <m/>
    <m/>
    <m/>
    <m/>
    <m/>
    <m/>
    <m/>
    <m/>
    <m/>
    <m/>
    <m/>
    <m/>
    <m/>
    <m/>
    <m/>
    <m/>
    <m/>
    <m/>
    <m/>
    <m/>
    <m/>
    <m/>
    <m/>
    <m/>
    <m/>
    <m/>
    <m/>
    <m/>
    <m/>
    <m/>
    <m/>
    <m/>
    <m/>
  </r>
  <r>
    <x v="582"/>
    <n v="2008"/>
    <n v="1"/>
    <x v="9"/>
    <x v="3"/>
    <x v="0"/>
    <n v="3"/>
    <s v="2008_01_010.gif"/>
    <m/>
    <m/>
    <m/>
    <b v="0"/>
    <n v="0"/>
    <x v="0"/>
    <n v="583"/>
    <s v="Centripetal Motion - Direction F,A,V"/>
    <n v="5044"/>
    <x v="12"/>
    <m/>
    <m/>
    <m/>
    <m/>
    <m/>
    <m/>
    <m/>
    <m/>
    <m/>
    <m/>
    <m/>
    <m/>
    <m/>
    <m/>
    <m/>
    <m/>
    <m/>
    <m/>
    <m/>
    <n v="1"/>
    <m/>
    <m/>
    <m/>
    <m/>
    <m/>
    <m/>
    <m/>
    <m/>
    <m/>
    <m/>
    <m/>
    <m/>
    <m/>
    <m/>
    <m/>
    <m/>
    <m/>
    <m/>
    <m/>
    <m/>
    <m/>
    <m/>
    <m/>
    <m/>
    <m/>
    <m/>
    <m/>
    <m/>
    <m/>
    <m/>
    <m/>
    <m/>
    <m/>
    <m/>
    <m/>
    <m/>
    <m/>
    <m/>
    <m/>
    <m/>
  </r>
  <r>
    <x v="583"/>
    <n v="2008"/>
    <n v="1"/>
    <x v="10"/>
    <x v="4"/>
    <x v="0"/>
    <n v="2"/>
    <s v="2008_01_011.gif"/>
    <m/>
    <m/>
    <m/>
    <b v="0"/>
    <n v="0"/>
    <x v="0"/>
    <n v="584"/>
    <s v="Impulse"/>
    <n v="5045"/>
    <x v="12"/>
    <m/>
    <m/>
    <m/>
    <m/>
    <m/>
    <m/>
    <m/>
    <m/>
    <m/>
    <m/>
    <m/>
    <m/>
    <m/>
    <m/>
    <m/>
    <m/>
    <m/>
    <m/>
    <m/>
    <m/>
    <m/>
    <m/>
    <m/>
    <m/>
    <m/>
    <m/>
    <m/>
    <m/>
    <m/>
    <n v="1"/>
    <m/>
    <m/>
    <m/>
    <m/>
    <m/>
    <m/>
    <m/>
    <m/>
    <m/>
    <m/>
    <m/>
    <m/>
    <m/>
    <m/>
    <m/>
    <m/>
    <m/>
    <m/>
    <m/>
    <m/>
    <m/>
    <m/>
    <m/>
    <m/>
    <m/>
    <m/>
    <m/>
    <m/>
    <m/>
    <m/>
  </r>
  <r>
    <x v="584"/>
    <n v="2008"/>
    <n v="1"/>
    <x v="11"/>
    <x v="4"/>
    <x v="0"/>
    <n v="4"/>
    <s v="2008_01_012.gif"/>
    <m/>
    <m/>
    <m/>
    <b v="0"/>
    <n v="0"/>
    <x v="0"/>
    <n v="585"/>
    <s v="Newton's 3rd Law (Equal But Opposite)"/>
    <n v="5046"/>
    <x v="12"/>
    <m/>
    <m/>
    <m/>
    <m/>
    <m/>
    <m/>
    <m/>
    <m/>
    <m/>
    <m/>
    <m/>
    <m/>
    <m/>
    <m/>
    <m/>
    <m/>
    <m/>
    <m/>
    <m/>
    <m/>
    <m/>
    <m/>
    <m/>
    <m/>
    <m/>
    <m/>
    <m/>
    <m/>
    <m/>
    <m/>
    <n v="1"/>
    <m/>
    <m/>
    <m/>
    <m/>
    <m/>
    <m/>
    <m/>
    <m/>
    <m/>
    <m/>
    <m/>
    <m/>
    <m/>
    <m/>
    <m/>
    <m/>
    <m/>
    <m/>
    <m/>
    <m/>
    <m/>
    <m/>
    <m/>
    <m/>
    <m/>
    <m/>
    <m/>
    <m/>
    <m/>
  </r>
  <r>
    <x v="585"/>
    <n v="2008"/>
    <n v="1"/>
    <x v="12"/>
    <x v="4"/>
    <x v="0"/>
    <n v="3"/>
    <s v="2008_01_013.gif"/>
    <m/>
    <m/>
    <m/>
    <b v="0"/>
    <n v="0"/>
    <x v="0"/>
    <n v="586"/>
    <s v="Conservation of Momentum"/>
    <n v="5047"/>
    <x v="12"/>
    <m/>
    <m/>
    <m/>
    <m/>
    <m/>
    <m/>
    <m/>
    <m/>
    <m/>
    <m/>
    <m/>
    <m/>
    <m/>
    <m/>
    <m/>
    <m/>
    <m/>
    <m/>
    <m/>
    <m/>
    <m/>
    <m/>
    <m/>
    <m/>
    <m/>
    <m/>
    <m/>
    <m/>
    <n v="1"/>
    <m/>
    <m/>
    <m/>
    <m/>
    <m/>
    <m/>
    <m/>
    <m/>
    <m/>
    <m/>
    <m/>
    <m/>
    <m/>
    <m/>
    <m/>
    <m/>
    <m/>
    <m/>
    <m/>
    <m/>
    <m/>
    <m/>
    <m/>
    <m/>
    <m/>
    <m/>
    <m/>
    <m/>
    <m/>
    <m/>
    <m/>
  </r>
  <r>
    <x v="586"/>
    <n v="2008"/>
    <n v="1"/>
    <x v="13"/>
    <x v="8"/>
    <x v="0"/>
    <n v="1"/>
    <s v="2008_01_014.gif"/>
    <m/>
    <m/>
    <m/>
    <b v="0"/>
    <n v="0"/>
    <x v="0"/>
    <n v="587"/>
    <s v="Electrical Power"/>
    <n v="5048"/>
    <x v="12"/>
    <m/>
    <m/>
    <m/>
    <m/>
    <m/>
    <m/>
    <m/>
    <m/>
    <m/>
    <m/>
    <m/>
    <m/>
    <m/>
    <m/>
    <m/>
    <m/>
    <m/>
    <m/>
    <m/>
    <m/>
    <m/>
    <m/>
    <m/>
    <m/>
    <m/>
    <m/>
    <m/>
    <m/>
    <m/>
    <m/>
    <m/>
    <m/>
    <m/>
    <m/>
    <m/>
    <m/>
    <m/>
    <m/>
    <m/>
    <m/>
    <m/>
    <m/>
    <m/>
    <m/>
    <m/>
    <m/>
    <m/>
    <m/>
    <m/>
    <n v="1"/>
    <m/>
    <m/>
    <m/>
    <m/>
    <m/>
    <m/>
    <m/>
    <m/>
    <m/>
    <m/>
  </r>
  <r>
    <x v="587"/>
    <n v="2008"/>
    <n v="1"/>
    <x v="14"/>
    <x v="5"/>
    <x v="0"/>
    <n v="4"/>
    <s v="2008_01_015.gif"/>
    <m/>
    <m/>
    <m/>
    <b v="0"/>
    <n v="0"/>
    <x v="0"/>
    <n v="588"/>
    <s v="Gravitational PE,Work/Power"/>
    <n v="5049"/>
    <x v="12"/>
    <m/>
    <m/>
    <m/>
    <m/>
    <m/>
    <m/>
    <m/>
    <m/>
    <m/>
    <m/>
    <m/>
    <m/>
    <m/>
    <m/>
    <m/>
    <m/>
    <m/>
    <m/>
    <m/>
    <m/>
    <m/>
    <m/>
    <m/>
    <m/>
    <m/>
    <m/>
    <m/>
    <m/>
    <m/>
    <m/>
    <m/>
    <m/>
    <n v="1"/>
    <m/>
    <m/>
    <n v="1"/>
    <m/>
    <m/>
    <m/>
    <m/>
    <m/>
    <m/>
    <m/>
    <m/>
    <m/>
    <m/>
    <m/>
    <m/>
    <m/>
    <m/>
    <m/>
    <m/>
    <m/>
    <m/>
    <m/>
    <m/>
    <m/>
    <m/>
    <m/>
    <m/>
  </r>
  <r>
    <x v="588"/>
    <n v="2008"/>
    <n v="1"/>
    <x v="15"/>
    <x v="5"/>
    <x v="0"/>
    <n v="2"/>
    <s v="2008_01_016.gif"/>
    <m/>
    <m/>
    <m/>
    <b v="0"/>
    <n v="0"/>
    <x v="0"/>
    <n v="589"/>
    <s v="Conservation of Energy"/>
    <n v="5050"/>
    <x v="12"/>
    <m/>
    <m/>
    <m/>
    <m/>
    <m/>
    <m/>
    <m/>
    <m/>
    <m/>
    <m/>
    <m/>
    <m/>
    <m/>
    <m/>
    <m/>
    <m/>
    <m/>
    <m/>
    <m/>
    <m/>
    <m/>
    <m/>
    <m/>
    <m/>
    <m/>
    <m/>
    <m/>
    <m/>
    <m/>
    <m/>
    <m/>
    <n v="1"/>
    <m/>
    <m/>
    <m/>
    <m/>
    <m/>
    <m/>
    <m/>
    <m/>
    <m/>
    <m/>
    <m/>
    <m/>
    <m/>
    <m/>
    <m/>
    <m/>
    <m/>
    <m/>
    <m/>
    <m/>
    <m/>
    <m/>
    <m/>
    <m/>
    <m/>
    <m/>
    <m/>
    <m/>
  </r>
  <r>
    <x v="589"/>
    <n v="2008"/>
    <n v="1"/>
    <x v="16"/>
    <x v="8"/>
    <x v="0"/>
    <n v="3"/>
    <s v="2008_01_017.gif"/>
    <m/>
    <m/>
    <m/>
    <b v="0"/>
    <n v="0"/>
    <x v="0"/>
    <n v="590"/>
    <s v="Resistance of Wire"/>
    <n v="5051"/>
    <x v="12"/>
    <m/>
    <m/>
    <m/>
    <m/>
    <m/>
    <m/>
    <m/>
    <m/>
    <m/>
    <m/>
    <m/>
    <m/>
    <m/>
    <m/>
    <m/>
    <m/>
    <m/>
    <m/>
    <m/>
    <m/>
    <m/>
    <m/>
    <m/>
    <m/>
    <m/>
    <m/>
    <m/>
    <m/>
    <m/>
    <m/>
    <m/>
    <m/>
    <m/>
    <m/>
    <m/>
    <m/>
    <m/>
    <m/>
    <m/>
    <m/>
    <m/>
    <m/>
    <m/>
    <m/>
    <m/>
    <m/>
    <m/>
    <m/>
    <m/>
    <m/>
    <m/>
    <n v="1"/>
    <m/>
    <m/>
    <m/>
    <m/>
    <m/>
    <m/>
    <m/>
    <m/>
  </r>
  <r>
    <x v="590"/>
    <n v="2008"/>
    <n v="1"/>
    <x v="17"/>
    <x v="5"/>
    <x v="0"/>
    <n v="2"/>
    <s v="2008_01_018.gif"/>
    <m/>
    <m/>
    <m/>
    <b v="0"/>
    <n v="0"/>
    <x v="0"/>
    <n v="591"/>
    <s v="Conservation of Energy"/>
    <n v="5052"/>
    <x v="12"/>
    <m/>
    <m/>
    <m/>
    <m/>
    <m/>
    <m/>
    <m/>
    <m/>
    <m/>
    <m/>
    <m/>
    <m/>
    <m/>
    <m/>
    <m/>
    <m/>
    <m/>
    <m/>
    <m/>
    <m/>
    <m/>
    <m/>
    <m/>
    <m/>
    <m/>
    <m/>
    <m/>
    <m/>
    <m/>
    <m/>
    <m/>
    <n v="1"/>
    <m/>
    <m/>
    <m/>
    <m/>
    <m/>
    <m/>
    <m/>
    <m/>
    <m/>
    <m/>
    <m/>
    <m/>
    <m/>
    <m/>
    <m/>
    <m/>
    <m/>
    <m/>
    <m/>
    <m/>
    <m/>
    <m/>
    <m/>
    <m/>
    <m/>
    <m/>
    <m/>
    <m/>
  </r>
  <r>
    <x v="591"/>
    <n v="2008"/>
    <n v="1"/>
    <x v="18"/>
    <x v="12"/>
    <x v="13"/>
    <n v="3"/>
    <s v="2008_01_019.gif"/>
    <m/>
    <m/>
    <m/>
    <b v="0"/>
    <n v="0"/>
    <x v="0"/>
    <n v="592"/>
    <s v="Electric Fields and Potential"/>
    <n v="5053"/>
    <x v="12"/>
    <m/>
    <m/>
    <m/>
    <m/>
    <m/>
    <m/>
    <m/>
    <m/>
    <m/>
    <m/>
    <m/>
    <m/>
    <m/>
    <m/>
    <m/>
    <m/>
    <m/>
    <m/>
    <m/>
    <m/>
    <m/>
    <m/>
    <m/>
    <m/>
    <m/>
    <m/>
    <m/>
    <m/>
    <m/>
    <m/>
    <m/>
    <m/>
    <m/>
    <m/>
    <m/>
    <m/>
    <m/>
    <m/>
    <m/>
    <m/>
    <m/>
    <m/>
    <m/>
    <m/>
    <m/>
    <m/>
    <m/>
    <n v="1"/>
    <m/>
    <m/>
    <m/>
    <m/>
    <m/>
    <m/>
    <m/>
    <m/>
    <m/>
    <m/>
    <m/>
    <m/>
  </r>
  <r>
    <x v="592"/>
    <n v="2008"/>
    <n v="1"/>
    <x v="19"/>
    <x v="8"/>
    <x v="0"/>
    <n v="3"/>
    <s v="2008_01_020.gif"/>
    <m/>
    <m/>
    <m/>
    <b v="0"/>
    <n v="0"/>
    <x v="0"/>
    <n v="593"/>
    <s v="Series and Parallel"/>
    <n v="5054"/>
    <x v="12"/>
    <m/>
    <m/>
    <m/>
    <m/>
    <m/>
    <m/>
    <m/>
    <m/>
    <m/>
    <m/>
    <m/>
    <m/>
    <m/>
    <m/>
    <m/>
    <m/>
    <m/>
    <m/>
    <m/>
    <m/>
    <m/>
    <m/>
    <m/>
    <m/>
    <m/>
    <m/>
    <m/>
    <m/>
    <m/>
    <m/>
    <m/>
    <m/>
    <m/>
    <m/>
    <m/>
    <m/>
    <m/>
    <m/>
    <m/>
    <m/>
    <m/>
    <m/>
    <m/>
    <m/>
    <m/>
    <m/>
    <m/>
    <m/>
    <m/>
    <m/>
    <m/>
    <m/>
    <n v="1"/>
    <m/>
    <m/>
    <m/>
    <m/>
    <m/>
    <m/>
    <m/>
  </r>
  <r>
    <x v="593"/>
    <n v="2008"/>
    <n v="1"/>
    <x v="20"/>
    <x v="8"/>
    <x v="2"/>
    <n v="1"/>
    <s v="2008_01_021.gif"/>
    <m/>
    <m/>
    <m/>
    <b v="0"/>
    <n v="0"/>
    <x v="0"/>
    <n v="594"/>
    <s v="Ohm's Law,Graph Interpretation"/>
    <n v="5055"/>
    <x v="12"/>
    <m/>
    <m/>
    <m/>
    <m/>
    <m/>
    <m/>
    <m/>
    <m/>
    <m/>
    <m/>
    <m/>
    <m/>
    <m/>
    <m/>
    <m/>
    <m/>
    <m/>
    <m/>
    <m/>
    <m/>
    <m/>
    <m/>
    <m/>
    <m/>
    <m/>
    <m/>
    <m/>
    <m/>
    <m/>
    <m/>
    <m/>
    <m/>
    <m/>
    <m/>
    <m/>
    <m/>
    <m/>
    <m/>
    <m/>
    <m/>
    <m/>
    <m/>
    <m/>
    <m/>
    <m/>
    <m/>
    <m/>
    <m/>
    <m/>
    <m/>
    <n v="1"/>
    <m/>
    <m/>
    <m/>
    <m/>
    <m/>
    <m/>
    <n v="1"/>
    <m/>
    <m/>
  </r>
  <r>
    <x v="594"/>
    <n v="2008"/>
    <n v="1"/>
    <x v="21"/>
    <x v="8"/>
    <x v="0"/>
    <n v="3"/>
    <s v="2008_01_022.gif"/>
    <m/>
    <m/>
    <m/>
    <b v="0"/>
    <n v="0"/>
    <x v="0"/>
    <n v="595"/>
    <s v="Electrical Power"/>
    <n v="5056"/>
    <x v="12"/>
    <m/>
    <m/>
    <m/>
    <m/>
    <m/>
    <m/>
    <m/>
    <m/>
    <m/>
    <m/>
    <m/>
    <m/>
    <m/>
    <m/>
    <m/>
    <m/>
    <m/>
    <m/>
    <m/>
    <m/>
    <m/>
    <m/>
    <m/>
    <m/>
    <m/>
    <m/>
    <m/>
    <m/>
    <m/>
    <m/>
    <m/>
    <m/>
    <m/>
    <m/>
    <m/>
    <m/>
    <m/>
    <m/>
    <m/>
    <m/>
    <m/>
    <m/>
    <m/>
    <m/>
    <m/>
    <m/>
    <m/>
    <m/>
    <m/>
    <n v="1"/>
    <m/>
    <m/>
    <m/>
    <m/>
    <m/>
    <m/>
    <m/>
    <m/>
    <m/>
    <m/>
  </r>
  <r>
    <x v="595"/>
    <n v="2008"/>
    <n v="1"/>
    <x v="22"/>
    <x v="9"/>
    <x v="0"/>
    <n v="4"/>
    <s v="2008_01_023.gif"/>
    <m/>
    <m/>
    <m/>
    <b v="0"/>
    <n v="0"/>
    <x v="0"/>
    <n v="596"/>
    <s v="Doppler Effect"/>
    <n v="5057"/>
    <x v="12"/>
    <m/>
    <m/>
    <m/>
    <m/>
    <m/>
    <m/>
    <m/>
    <m/>
    <m/>
    <m/>
    <m/>
    <m/>
    <m/>
    <m/>
    <m/>
    <m/>
    <m/>
    <m/>
    <m/>
    <m/>
    <m/>
    <m/>
    <m/>
    <m/>
    <m/>
    <m/>
    <m/>
    <m/>
    <m/>
    <m/>
    <m/>
    <m/>
    <m/>
    <m/>
    <m/>
    <m/>
    <m/>
    <m/>
    <m/>
    <m/>
    <m/>
    <n v="1"/>
    <m/>
    <m/>
    <m/>
    <m/>
    <m/>
    <m/>
    <m/>
    <m/>
    <m/>
    <m/>
    <m/>
    <m/>
    <m/>
    <m/>
    <m/>
    <m/>
    <m/>
    <m/>
  </r>
  <r>
    <x v="596"/>
    <n v="2008"/>
    <n v="1"/>
    <x v="23"/>
    <x v="7"/>
    <x v="0"/>
    <n v="1"/>
    <s v="2008_01_024.gif"/>
    <m/>
    <m/>
    <m/>
    <b v="0"/>
    <n v="0"/>
    <x v="0"/>
    <n v="597"/>
    <s v="V=FxLamda"/>
    <n v="5058"/>
    <x v="12"/>
    <m/>
    <m/>
    <m/>
    <m/>
    <m/>
    <m/>
    <m/>
    <m/>
    <m/>
    <m/>
    <m/>
    <m/>
    <m/>
    <m/>
    <m/>
    <m/>
    <m/>
    <m/>
    <m/>
    <m/>
    <m/>
    <m/>
    <m/>
    <m/>
    <m/>
    <m/>
    <m/>
    <m/>
    <m/>
    <m/>
    <m/>
    <m/>
    <m/>
    <m/>
    <m/>
    <m/>
    <m/>
    <m/>
    <n v="1"/>
    <m/>
    <m/>
    <m/>
    <m/>
    <m/>
    <m/>
    <m/>
    <m/>
    <m/>
    <m/>
    <m/>
    <m/>
    <m/>
    <m/>
    <m/>
    <m/>
    <m/>
    <m/>
    <m/>
    <m/>
    <m/>
  </r>
  <r>
    <x v="597"/>
    <n v="2008"/>
    <n v="1"/>
    <x v="24"/>
    <x v="7"/>
    <x v="0"/>
    <n v="2"/>
    <s v="2008_01_025.gif"/>
    <m/>
    <m/>
    <m/>
    <b v="0"/>
    <n v="0"/>
    <x v="0"/>
    <n v="598"/>
    <s v="V=FxLamda"/>
    <n v="5059"/>
    <x v="12"/>
    <m/>
    <m/>
    <m/>
    <m/>
    <m/>
    <m/>
    <m/>
    <m/>
    <m/>
    <m/>
    <m/>
    <m/>
    <m/>
    <m/>
    <m/>
    <m/>
    <m/>
    <m/>
    <m/>
    <m/>
    <m/>
    <m/>
    <m/>
    <m/>
    <m/>
    <m/>
    <m/>
    <m/>
    <m/>
    <m/>
    <m/>
    <m/>
    <m/>
    <m/>
    <m/>
    <m/>
    <m/>
    <m/>
    <n v="1"/>
    <m/>
    <m/>
    <m/>
    <m/>
    <m/>
    <m/>
    <m/>
    <m/>
    <m/>
    <m/>
    <m/>
    <m/>
    <m/>
    <m/>
    <m/>
    <m/>
    <m/>
    <m/>
    <m/>
    <m/>
    <m/>
  </r>
  <r>
    <x v="598"/>
    <n v="2008"/>
    <n v="1"/>
    <x v="25"/>
    <x v="7"/>
    <x v="0"/>
    <n v="1"/>
    <s v="2008_01_026.gif"/>
    <m/>
    <m/>
    <m/>
    <b v="0"/>
    <n v="0"/>
    <x v="0"/>
    <n v="599"/>
    <s v="Wave Vocabulary"/>
    <n v="5060"/>
    <x v="12"/>
    <m/>
    <m/>
    <m/>
    <m/>
    <m/>
    <m/>
    <m/>
    <m/>
    <m/>
    <m/>
    <m/>
    <m/>
    <m/>
    <m/>
    <m/>
    <m/>
    <m/>
    <m/>
    <m/>
    <m/>
    <m/>
    <m/>
    <m/>
    <m/>
    <m/>
    <m/>
    <m/>
    <m/>
    <m/>
    <m/>
    <m/>
    <m/>
    <m/>
    <m/>
    <m/>
    <m/>
    <m/>
    <m/>
    <m/>
    <n v="1"/>
    <m/>
    <m/>
    <m/>
    <m/>
    <m/>
    <m/>
    <m/>
    <m/>
    <m/>
    <m/>
    <m/>
    <m/>
    <m/>
    <m/>
    <m/>
    <m/>
    <m/>
    <m/>
    <m/>
    <m/>
  </r>
  <r>
    <x v="599"/>
    <n v="2008"/>
    <n v="1"/>
    <x v="26"/>
    <x v="9"/>
    <x v="0"/>
    <n v="1"/>
    <s v="2008_01_027.gif"/>
    <m/>
    <m/>
    <m/>
    <b v="0"/>
    <n v="0"/>
    <x v="0"/>
    <n v="600"/>
    <s v="Refraction and Snell's Law"/>
    <n v="5061"/>
    <x v="12"/>
    <m/>
    <m/>
    <m/>
    <m/>
    <m/>
    <m/>
    <m/>
    <m/>
    <m/>
    <m/>
    <m/>
    <m/>
    <m/>
    <m/>
    <m/>
    <m/>
    <m/>
    <m/>
    <m/>
    <m/>
    <m/>
    <m/>
    <m/>
    <m/>
    <m/>
    <m/>
    <m/>
    <m/>
    <m/>
    <m/>
    <m/>
    <m/>
    <m/>
    <m/>
    <m/>
    <m/>
    <m/>
    <m/>
    <m/>
    <m/>
    <m/>
    <m/>
    <m/>
    <n v="1"/>
    <m/>
    <m/>
    <m/>
    <m/>
    <m/>
    <m/>
    <m/>
    <m/>
    <m/>
    <m/>
    <m/>
    <m/>
    <m/>
    <m/>
    <m/>
    <m/>
  </r>
  <r>
    <x v="600"/>
    <n v="2008"/>
    <n v="1"/>
    <x v="27"/>
    <x v="9"/>
    <x v="0"/>
    <n v="2"/>
    <s v="2008_01_028.gif"/>
    <m/>
    <m/>
    <m/>
    <b v="0"/>
    <n v="0"/>
    <x v="0"/>
    <n v="601"/>
    <s v="Refraction and Snell's Law"/>
    <n v="5062"/>
    <x v="12"/>
    <m/>
    <m/>
    <m/>
    <m/>
    <m/>
    <m/>
    <m/>
    <m/>
    <m/>
    <m/>
    <m/>
    <m/>
    <m/>
    <m/>
    <m/>
    <m/>
    <m/>
    <m/>
    <m/>
    <m/>
    <m/>
    <m/>
    <m/>
    <m/>
    <m/>
    <m/>
    <m/>
    <m/>
    <m/>
    <m/>
    <m/>
    <m/>
    <m/>
    <m/>
    <m/>
    <m/>
    <m/>
    <m/>
    <m/>
    <m/>
    <m/>
    <m/>
    <m/>
    <n v="1"/>
    <m/>
    <m/>
    <m/>
    <m/>
    <m/>
    <m/>
    <m/>
    <m/>
    <m/>
    <m/>
    <m/>
    <m/>
    <m/>
    <m/>
    <m/>
    <m/>
  </r>
  <r>
    <x v="601"/>
    <n v="2008"/>
    <n v="1"/>
    <x v="28"/>
    <x v="7"/>
    <x v="0"/>
    <n v="1"/>
    <s v="2008_01_029.gif"/>
    <m/>
    <m/>
    <m/>
    <b v="0"/>
    <n v="0"/>
    <x v="0"/>
    <n v="602"/>
    <s v="Resonance"/>
    <n v="5063"/>
    <x v="12"/>
    <m/>
    <m/>
    <m/>
    <m/>
    <m/>
    <m/>
    <m/>
    <m/>
    <m/>
    <m/>
    <m/>
    <m/>
    <m/>
    <m/>
    <m/>
    <m/>
    <m/>
    <m/>
    <m/>
    <m/>
    <m/>
    <m/>
    <m/>
    <m/>
    <m/>
    <m/>
    <m/>
    <m/>
    <m/>
    <m/>
    <m/>
    <m/>
    <m/>
    <m/>
    <m/>
    <m/>
    <n v="1"/>
    <m/>
    <m/>
    <m/>
    <m/>
    <m/>
    <m/>
    <m/>
    <m/>
    <m/>
    <m/>
    <m/>
    <m/>
    <m/>
    <m/>
    <m/>
    <m/>
    <m/>
    <m/>
    <m/>
    <m/>
    <m/>
    <m/>
    <m/>
  </r>
  <r>
    <x v="602"/>
    <n v="2008"/>
    <n v="1"/>
    <x v="29"/>
    <x v="10"/>
    <x v="0"/>
    <n v="3"/>
    <s v="2008_01_030.gif"/>
    <m/>
    <m/>
    <m/>
    <b v="0"/>
    <n v="0"/>
    <x v="0"/>
    <n v="603"/>
    <s v="Particle Physics"/>
    <n v="5064"/>
    <x v="12"/>
    <m/>
    <m/>
    <m/>
    <m/>
    <m/>
    <m/>
    <m/>
    <m/>
    <m/>
    <m/>
    <m/>
    <m/>
    <m/>
    <m/>
    <m/>
    <m/>
    <m/>
    <m/>
    <m/>
    <m/>
    <m/>
    <m/>
    <m/>
    <m/>
    <m/>
    <m/>
    <m/>
    <m/>
    <m/>
    <m/>
    <m/>
    <m/>
    <m/>
    <m/>
    <m/>
    <m/>
    <m/>
    <m/>
    <m/>
    <m/>
    <m/>
    <m/>
    <m/>
    <m/>
    <m/>
    <m/>
    <m/>
    <m/>
    <m/>
    <m/>
    <m/>
    <m/>
    <m/>
    <m/>
    <m/>
    <m/>
    <n v="1"/>
    <m/>
    <m/>
    <m/>
  </r>
  <r>
    <x v="603"/>
    <n v="2008"/>
    <n v="1"/>
    <x v="30"/>
    <x v="7"/>
    <x v="0"/>
    <n v="3"/>
    <s v="2008_01_031.gif"/>
    <m/>
    <m/>
    <m/>
    <b v="0"/>
    <n v="0"/>
    <x v="0"/>
    <n v="604"/>
    <s v="Superposition and Standing Waves"/>
    <n v="5065"/>
    <x v="12"/>
    <m/>
    <m/>
    <m/>
    <m/>
    <m/>
    <m/>
    <m/>
    <m/>
    <m/>
    <m/>
    <m/>
    <m/>
    <m/>
    <m/>
    <m/>
    <m/>
    <m/>
    <m/>
    <m/>
    <m/>
    <m/>
    <m/>
    <m/>
    <m/>
    <m/>
    <m/>
    <m/>
    <m/>
    <m/>
    <m/>
    <m/>
    <m/>
    <m/>
    <m/>
    <m/>
    <m/>
    <m/>
    <n v="1"/>
    <m/>
    <m/>
    <m/>
    <m/>
    <m/>
    <m/>
    <m/>
    <m/>
    <m/>
    <m/>
    <m/>
    <m/>
    <m/>
    <m/>
    <m/>
    <m/>
    <m/>
    <m/>
    <m/>
    <m/>
    <m/>
    <m/>
  </r>
  <r>
    <x v="604"/>
    <n v="2008"/>
    <n v="1"/>
    <x v="31"/>
    <x v="9"/>
    <x v="0"/>
    <n v="4"/>
    <s v="2008_01_032.gif"/>
    <m/>
    <m/>
    <m/>
    <b v="0"/>
    <n v="0"/>
    <x v="0"/>
    <n v="605"/>
    <s v="Doppler Effect"/>
    <n v="5066"/>
    <x v="12"/>
    <m/>
    <m/>
    <m/>
    <m/>
    <m/>
    <m/>
    <m/>
    <m/>
    <m/>
    <m/>
    <m/>
    <m/>
    <m/>
    <m/>
    <m/>
    <m/>
    <m/>
    <m/>
    <m/>
    <m/>
    <m/>
    <m/>
    <m/>
    <m/>
    <m/>
    <m/>
    <m/>
    <m/>
    <m/>
    <m/>
    <m/>
    <m/>
    <m/>
    <m/>
    <m/>
    <m/>
    <m/>
    <m/>
    <m/>
    <m/>
    <m/>
    <n v="1"/>
    <m/>
    <m/>
    <m/>
    <m/>
    <m/>
    <m/>
    <m/>
    <m/>
    <m/>
    <m/>
    <m/>
    <m/>
    <m/>
    <m/>
    <m/>
    <m/>
    <m/>
    <m/>
  </r>
  <r>
    <x v="605"/>
    <n v="2008"/>
    <n v="1"/>
    <x v="32"/>
    <x v="10"/>
    <x v="0"/>
    <n v="3"/>
    <s v="2008_01_033.gif"/>
    <m/>
    <m/>
    <m/>
    <b v="0"/>
    <n v="0"/>
    <x v="0"/>
    <n v="606"/>
    <s v="Energy/Frequency of Photon"/>
    <n v="5067"/>
    <x v="12"/>
    <m/>
    <m/>
    <m/>
    <m/>
    <m/>
    <m/>
    <m/>
    <m/>
    <m/>
    <m/>
    <m/>
    <m/>
    <m/>
    <m/>
    <m/>
    <m/>
    <m/>
    <m/>
    <m/>
    <m/>
    <m/>
    <m/>
    <m/>
    <m/>
    <m/>
    <m/>
    <m/>
    <m/>
    <m/>
    <m/>
    <m/>
    <m/>
    <m/>
    <m/>
    <m/>
    <m/>
    <m/>
    <m/>
    <m/>
    <m/>
    <m/>
    <m/>
    <m/>
    <m/>
    <m/>
    <m/>
    <m/>
    <m/>
    <m/>
    <m/>
    <m/>
    <m/>
    <m/>
    <m/>
    <n v="1"/>
    <m/>
    <m/>
    <m/>
    <m/>
    <m/>
  </r>
  <r>
    <x v="606"/>
    <n v="2008"/>
    <n v="1"/>
    <x v="33"/>
    <x v="9"/>
    <x v="0"/>
    <n v="4"/>
    <s v="2008_01_034.gif"/>
    <m/>
    <m/>
    <m/>
    <b v="0"/>
    <n v="0"/>
    <x v="0"/>
    <n v="607"/>
    <s v="Diffraction"/>
    <n v="5068"/>
    <x v="12"/>
    <m/>
    <m/>
    <m/>
    <m/>
    <m/>
    <m/>
    <m/>
    <m/>
    <m/>
    <m/>
    <m/>
    <m/>
    <m/>
    <m/>
    <m/>
    <m/>
    <m/>
    <m/>
    <m/>
    <m/>
    <m/>
    <m/>
    <m/>
    <m/>
    <m/>
    <m/>
    <m/>
    <m/>
    <m/>
    <m/>
    <m/>
    <m/>
    <m/>
    <m/>
    <m/>
    <m/>
    <m/>
    <m/>
    <m/>
    <m/>
    <n v="1"/>
    <m/>
    <m/>
    <m/>
    <m/>
    <m/>
    <m/>
    <m/>
    <m/>
    <m/>
    <m/>
    <m/>
    <m/>
    <m/>
    <m/>
    <m/>
    <m/>
    <m/>
    <m/>
    <m/>
  </r>
  <r>
    <x v="607"/>
    <n v="2008"/>
    <n v="1"/>
    <x v="34"/>
    <x v="10"/>
    <x v="0"/>
    <n v="2"/>
    <s v="2008_01_035.gif"/>
    <m/>
    <m/>
    <m/>
    <b v="0"/>
    <n v="0"/>
    <x v="0"/>
    <n v="608"/>
    <s v="Particle Physics"/>
    <n v="5069"/>
    <x v="12"/>
    <m/>
    <m/>
    <m/>
    <m/>
    <m/>
    <m/>
    <m/>
    <m/>
    <m/>
    <m/>
    <m/>
    <m/>
    <m/>
    <m/>
    <m/>
    <m/>
    <m/>
    <m/>
    <m/>
    <m/>
    <m/>
    <m/>
    <m/>
    <m/>
    <m/>
    <m/>
    <m/>
    <m/>
    <m/>
    <m/>
    <m/>
    <m/>
    <m/>
    <m/>
    <m/>
    <m/>
    <m/>
    <m/>
    <m/>
    <m/>
    <m/>
    <m/>
    <m/>
    <m/>
    <m/>
    <m/>
    <m/>
    <m/>
    <m/>
    <m/>
    <m/>
    <m/>
    <m/>
    <m/>
    <m/>
    <m/>
    <n v="1"/>
    <m/>
    <m/>
    <m/>
  </r>
  <r>
    <x v="608"/>
    <n v="2008"/>
    <n v="1"/>
    <x v="35"/>
    <x v="11"/>
    <x v="0"/>
    <n v="1"/>
    <s v="2008_01_036.gif"/>
    <m/>
    <m/>
    <m/>
    <b v="0"/>
    <n v="0"/>
    <x v="1"/>
    <n v="609"/>
    <s v="Units"/>
    <n v="5070"/>
    <x v="12"/>
    <m/>
    <m/>
    <m/>
    <n v="1"/>
    <m/>
    <m/>
    <m/>
    <m/>
    <m/>
    <m/>
    <m/>
    <m/>
    <m/>
    <m/>
    <m/>
    <m/>
    <m/>
    <m/>
    <m/>
    <m/>
    <m/>
    <m/>
    <m/>
    <m/>
    <m/>
    <m/>
    <m/>
    <m/>
    <m/>
    <m/>
    <m/>
    <m/>
    <m/>
    <m/>
    <m/>
    <m/>
    <m/>
    <m/>
    <m/>
    <m/>
    <m/>
    <m/>
    <m/>
    <m/>
    <m/>
    <m/>
    <m/>
    <m/>
    <m/>
    <m/>
    <m/>
    <m/>
    <m/>
    <m/>
    <m/>
    <m/>
    <m/>
    <m/>
    <m/>
    <m/>
  </r>
  <r>
    <x v="609"/>
    <n v="2008"/>
    <n v="1"/>
    <x v="36"/>
    <x v="11"/>
    <x v="0"/>
    <n v="3"/>
    <s v="2008_01_037.gif"/>
    <m/>
    <m/>
    <m/>
    <b v="0"/>
    <n v="0"/>
    <x v="1"/>
    <n v="610"/>
    <s v="Units"/>
    <n v="5071"/>
    <x v="12"/>
    <m/>
    <m/>
    <m/>
    <n v="1"/>
    <m/>
    <m/>
    <m/>
    <m/>
    <m/>
    <m/>
    <m/>
    <m/>
    <m/>
    <m/>
    <m/>
    <m/>
    <m/>
    <m/>
    <m/>
    <m/>
    <m/>
    <m/>
    <m/>
    <m/>
    <m/>
    <m/>
    <m/>
    <m/>
    <m/>
    <m/>
    <m/>
    <m/>
    <m/>
    <m/>
    <m/>
    <m/>
    <m/>
    <m/>
    <m/>
    <m/>
    <m/>
    <m/>
    <m/>
    <m/>
    <m/>
    <m/>
    <m/>
    <m/>
    <m/>
    <m/>
    <m/>
    <m/>
    <m/>
    <m/>
    <m/>
    <m/>
    <m/>
    <m/>
    <m/>
    <m/>
  </r>
  <r>
    <x v="610"/>
    <n v="2008"/>
    <n v="1"/>
    <x v="37"/>
    <x v="0"/>
    <x v="0"/>
    <n v="1"/>
    <s v="2008_01_038.gif"/>
    <m/>
    <m/>
    <m/>
    <b v="0"/>
    <n v="0"/>
    <x v="1"/>
    <n v="611"/>
    <s v="Adding Vectors"/>
    <n v="5072"/>
    <x v="12"/>
    <m/>
    <m/>
    <m/>
    <m/>
    <m/>
    <m/>
    <m/>
    <m/>
    <m/>
    <m/>
    <m/>
    <n v="1"/>
    <m/>
    <m/>
    <m/>
    <m/>
    <m/>
    <m/>
    <m/>
    <m/>
    <m/>
    <m/>
    <m/>
    <m/>
    <m/>
    <m/>
    <m/>
    <m/>
    <m/>
    <m/>
    <m/>
    <m/>
    <m/>
    <m/>
    <m/>
    <m/>
    <m/>
    <m/>
    <m/>
    <m/>
    <m/>
    <m/>
    <m/>
    <m/>
    <m/>
    <m/>
    <m/>
    <m/>
    <m/>
    <m/>
    <m/>
    <m/>
    <m/>
    <m/>
    <m/>
    <m/>
    <m/>
    <m/>
    <m/>
    <m/>
  </r>
  <r>
    <x v="611"/>
    <n v="2008"/>
    <n v="1"/>
    <x v="38"/>
    <x v="4"/>
    <x v="0"/>
    <n v="1"/>
    <s v="2008_01_039.gif"/>
    <m/>
    <m/>
    <m/>
    <b v="0"/>
    <n v="0"/>
    <x v="1"/>
    <n v="612"/>
    <s v="Impulse"/>
    <n v="5073"/>
    <x v="12"/>
    <m/>
    <m/>
    <m/>
    <m/>
    <m/>
    <m/>
    <m/>
    <m/>
    <m/>
    <m/>
    <m/>
    <m/>
    <m/>
    <m/>
    <m/>
    <m/>
    <m/>
    <m/>
    <m/>
    <m/>
    <m/>
    <m/>
    <m/>
    <m/>
    <m/>
    <m/>
    <m/>
    <m/>
    <m/>
    <n v="1"/>
    <m/>
    <m/>
    <m/>
    <m/>
    <m/>
    <m/>
    <m/>
    <m/>
    <m/>
    <m/>
    <m/>
    <m/>
    <m/>
    <m/>
    <m/>
    <m/>
    <m/>
    <m/>
    <m/>
    <m/>
    <m/>
    <m/>
    <m/>
    <m/>
    <m/>
    <m/>
    <m/>
    <m/>
    <m/>
    <m/>
  </r>
  <r>
    <x v="612"/>
    <n v="2008"/>
    <n v="1"/>
    <x v="39"/>
    <x v="1"/>
    <x v="13"/>
    <n v="1"/>
    <s v="2008_01_040.gif"/>
    <m/>
    <m/>
    <m/>
    <b v="0"/>
    <n v="0"/>
    <x v="1"/>
    <n v="613"/>
    <s v="Law of Gravity,Coulomb's Law"/>
    <n v="5074"/>
    <x v="12"/>
    <m/>
    <m/>
    <m/>
    <m/>
    <m/>
    <m/>
    <m/>
    <m/>
    <m/>
    <m/>
    <m/>
    <m/>
    <m/>
    <m/>
    <m/>
    <m/>
    <m/>
    <m/>
    <m/>
    <m/>
    <m/>
    <m/>
    <m/>
    <m/>
    <n v="1"/>
    <m/>
    <m/>
    <m/>
    <m/>
    <m/>
    <m/>
    <m/>
    <m/>
    <m/>
    <m/>
    <m/>
    <m/>
    <m/>
    <m/>
    <m/>
    <m/>
    <m/>
    <m/>
    <m/>
    <m/>
    <n v="1"/>
    <m/>
    <m/>
    <m/>
    <m/>
    <m/>
    <m/>
    <m/>
    <m/>
    <m/>
    <m/>
    <m/>
    <m/>
    <m/>
    <m/>
  </r>
  <r>
    <x v="613"/>
    <n v="2008"/>
    <n v="1"/>
    <x v="40"/>
    <x v="5"/>
    <x v="2"/>
    <n v="2"/>
    <s v="2008_01_041.gif"/>
    <m/>
    <m/>
    <m/>
    <b v="0"/>
    <n v="0"/>
    <x v="1"/>
    <n v="614"/>
    <s v="PE of Spring,Graph Interpretation"/>
    <n v="5075"/>
    <x v="12"/>
    <m/>
    <m/>
    <m/>
    <m/>
    <m/>
    <m/>
    <m/>
    <m/>
    <m/>
    <m/>
    <m/>
    <m/>
    <m/>
    <m/>
    <m/>
    <m/>
    <m/>
    <m/>
    <m/>
    <m/>
    <m/>
    <m/>
    <m/>
    <m/>
    <m/>
    <m/>
    <m/>
    <m/>
    <m/>
    <m/>
    <m/>
    <m/>
    <m/>
    <m/>
    <n v="1"/>
    <m/>
    <m/>
    <m/>
    <m/>
    <m/>
    <m/>
    <m/>
    <m/>
    <m/>
    <m/>
    <m/>
    <m/>
    <m/>
    <m/>
    <m/>
    <m/>
    <m/>
    <m/>
    <m/>
    <m/>
    <m/>
    <m/>
    <n v="1"/>
    <m/>
    <m/>
  </r>
  <r>
    <x v="614"/>
    <n v="2008"/>
    <n v="1"/>
    <x v="41"/>
    <x v="4"/>
    <x v="15"/>
    <n v="4"/>
    <s v="2008_01_042.gif"/>
    <m/>
    <m/>
    <m/>
    <b v="0"/>
    <n v="0"/>
    <x v="1"/>
    <n v="615"/>
    <s v="Conservation of Momentum,Kinetic Energy,Mathematical Relationships (Numberless Problems)"/>
    <n v="5076"/>
    <x v="12"/>
    <m/>
    <m/>
    <m/>
    <m/>
    <m/>
    <m/>
    <m/>
    <m/>
    <m/>
    <m/>
    <m/>
    <m/>
    <m/>
    <m/>
    <m/>
    <m/>
    <m/>
    <m/>
    <m/>
    <m/>
    <m/>
    <m/>
    <m/>
    <m/>
    <m/>
    <m/>
    <m/>
    <m/>
    <n v="1"/>
    <m/>
    <m/>
    <m/>
    <m/>
    <n v="1"/>
    <m/>
    <m/>
    <m/>
    <m/>
    <m/>
    <m/>
    <m/>
    <m/>
    <m/>
    <m/>
    <m/>
    <m/>
    <m/>
    <m/>
    <m/>
    <m/>
    <m/>
    <m/>
    <m/>
    <m/>
    <m/>
    <m/>
    <m/>
    <m/>
    <n v="1"/>
    <m/>
  </r>
  <r>
    <x v="615"/>
    <n v="2008"/>
    <n v="1"/>
    <x v="42"/>
    <x v="6"/>
    <x v="0"/>
    <n v="2"/>
    <s v="2008_01_043.gif"/>
    <m/>
    <m/>
    <m/>
    <b v="0"/>
    <n v="0"/>
    <x v="1"/>
    <n v="616"/>
    <s v="Coulomb's Law"/>
    <n v="5077"/>
    <x v="12"/>
    <m/>
    <m/>
    <m/>
    <m/>
    <m/>
    <m/>
    <m/>
    <m/>
    <m/>
    <m/>
    <m/>
    <m/>
    <m/>
    <m/>
    <m/>
    <m/>
    <m/>
    <m/>
    <m/>
    <m/>
    <m/>
    <m/>
    <m/>
    <m/>
    <m/>
    <m/>
    <m/>
    <m/>
    <m/>
    <m/>
    <m/>
    <m/>
    <m/>
    <m/>
    <m/>
    <m/>
    <m/>
    <m/>
    <m/>
    <m/>
    <m/>
    <m/>
    <m/>
    <m/>
    <m/>
    <n v="1"/>
    <m/>
    <m/>
    <m/>
    <m/>
    <m/>
    <m/>
    <m/>
    <m/>
    <m/>
    <m/>
    <m/>
    <m/>
    <m/>
    <m/>
  </r>
  <r>
    <x v="616"/>
    <n v="2008"/>
    <n v="1"/>
    <x v="43"/>
    <x v="6"/>
    <x v="0"/>
    <n v="3"/>
    <s v="2008_01_044.gif"/>
    <m/>
    <m/>
    <m/>
    <b v="0"/>
    <n v="0"/>
    <x v="1"/>
    <n v="617"/>
    <s v="Electric Fields and Potential"/>
    <n v="5078"/>
    <x v="12"/>
    <m/>
    <m/>
    <m/>
    <m/>
    <m/>
    <m/>
    <m/>
    <m/>
    <m/>
    <m/>
    <m/>
    <m/>
    <m/>
    <m/>
    <m/>
    <m/>
    <m/>
    <m/>
    <m/>
    <m/>
    <m/>
    <m/>
    <m/>
    <m/>
    <m/>
    <m/>
    <m/>
    <m/>
    <m/>
    <m/>
    <m/>
    <m/>
    <m/>
    <m/>
    <m/>
    <m/>
    <m/>
    <m/>
    <m/>
    <m/>
    <m/>
    <m/>
    <m/>
    <m/>
    <m/>
    <m/>
    <m/>
    <n v="1"/>
    <m/>
    <m/>
    <m/>
    <m/>
    <m/>
    <m/>
    <m/>
    <m/>
    <m/>
    <m/>
    <m/>
    <m/>
  </r>
  <r>
    <x v="617"/>
    <n v="2008"/>
    <n v="1"/>
    <x v="44"/>
    <x v="10"/>
    <x v="0"/>
    <n v="1"/>
    <s v="2008_01_045.gif"/>
    <m/>
    <m/>
    <m/>
    <b v="0"/>
    <n v="0"/>
    <x v="1"/>
    <n v="618"/>
    <s v="Particle Physics"/>
    <n v="5079"/>
    <x v="12"/>
    <m/>
    <m/>
    <m/>
    <m/>
    <m/>
    <m/>
    <m/>
    <m/>
    <m/>
    <m/>
    <m/>
    <m/>
    <m/>
    <m/>
    <m/>
    <m/>
    <m/>
    <m/>
    <m/>
    <m/>
    <m/>
    <m/>
    <m/>
    <m/>
    <m/>
    <m/>
    <m/>
    <m/>
    <m/>
    <m/>
    <m/>
    <m/>
    <m/>
    <m/>
    <m/>
    <m/>
    <m/>
    <m/>
    <m/>
    <m/>
    <m/>
    <m/>
    <m/>
    <m/>
    <m/>
    <m/>
    <m/>
    <m/>
    <m/>
    <m/>
    <m/>
    <m/>
    <m/>
    <m/>
    <m/>
    <m/>
    <n v="1"/>
    <m/>
    <m/>
    <m/>
  </r>
  <r>
    <x v="618"/>
    <n v="2008"/>
    <n v="1"/>
    <x v="45"/>
    <x v="8"/>
    <x v="0"/>
    <n v="4"/>
    <s v="2008_01_046.gif"/>
    <m/>
    <m/>
    <m/>
    <b v="0"/>
    <n v="0"/>
    <x v="1"/>
    <n v="619"/>
    <s v="Electrical Power"/>
    <n v="5080"/>
    <x v="12"/>
    <m/>
    <m/>
    <m/>
    <m/>
    <m/>
    <m/>
    <m/>
    <m/>
    <m/>
    <m/>
    <m/>
    <m/>
    <m/>
    <m/>
    <m/>
    <m/>
    <m/>
    <m/>
    <m/>
    <m/>
    <m/>
    <m/>
    <m/>
    <m/>
    <m/>
    <m/>
    <m/>
    <m/>
    <m/>
    <m/>
    <m/>
    <m/>
    <m/>
    <m/>
    <m/>
    <m/>
    <m/>
    <m/>
    <m/>
    <m/>
    <m/>
    <m/>
    <m/>
    <m/>
    <m/>
    <m/>
    <m/>
    <m/>
    <m/>
    <n v="1"/>
    <m/>
    <m/>
    <m/>
    <m/>
    <m/>
    <m/>
    <m/>
    <m/>
    <m/>
    <m/>
  </r>
  <r>
    <x v="619"/>
    <n v="2008"/>
    <n v="1"/>
    <x v="46"/>
    <x v="7"/>
    <x v="12"/>
    <n v="4"/>
    <s v="2008_01_047.gif"/>
    <m/>
    <m/>
    <m/>
    <b v="0"/>
    <n v="0"/>
    <x v="1"/>
    <n v="620"/>
    <s v="V=FxLamda,Light and Sound"/>
    <n v="5081"/>
    <x v="12"/>
    <m/>
    <m/>
    <m/>
    <m/>
    <m/>
    <m/>
    <m/>
    <m/>
    <m/>
    <m/>
    <m/>
    <m/>
    <m/>
    <m/>
    <m/>
    <m/>
    <m/>
    <m/>
    <m/>
    <m/>
    <m/>
    <m/>
    <m/>
    <m/>
    <m/>
    <m/>
    <m/>
    <m/>
    <m/>
    <m/>
    <m/>
    <m/>
    <m/>
    <m/>
    <m/>
    <m/>
    <m/>
    <m/>
    <n v="1"/>
    <m/>
    <m/>
    <m/>
    <n v="1"/>
    <m/>
    <m/>
    <m/>
    <m/>
    <m/>
    <m/>
    <m/>
    <m/>
    <m/>
    <m/>
    <m/>
    <m/>
    <m/>
    <m/>
    <m/>
    <m/>
    <m/>
  </r>
  <r>
    <x v="620"/>
    <n v="2008"/>
    <n v="1"/>
    <x v="47"/>
    <x v="10"/>
    <x v="2"/>
    <n v="1"/>
    <s v="2008_01_048.gif"/>
    <m/>
    <m/>
    <m/>
    <b v="0"/>
    <n v="0"/>
    <x v="1"/>
    <n v="621"/>
    <s v="Energy/Mass Equivalency,Graph Interpretation"/>
    <n v="5082"/>
    <x v="12"/>
    <m/>
    <m/>
    <m/>
    <m/>
    <m/>
    <m/>
    <m/>
    <m/>
    <m/>
    <m/>
    <m/>
    <m/>
    <m/>
    <m/>
    <m/>
    <m/>
    <m/>
    <m/>
    <m/>
    <m/>
    <m/>
    <m/>
    <m/>
    <m/>
    <m/>
    <m/>
    <m/>
    <m/>
    <m/>
    <m/>
    <m/>
    <m/>
    <m/>
    <m/>
    <m/>
    <m/>
    <m/>
    <m/>
    <m/>
    <m/>
    <m/>
    <m/>
    <m/>
    <m/>
    <m/>
    <m/>
    <m/>
    <m/>
    <m/>
    <m/>
    <m/>
    <m/>
    <m/>
    <m/>
    <m/>
    <n v="1"/>
    <m/>
    <n v="1"/>
    <m/>
    <m/>
  </r>
  <r>
    <x v="621"/>
    <n v="2008"/>
    <n v="1"/>
    <x v="48"/>
    <x v="9"/>
    <x v="0"/>
    <n v="4"/>
    <s v="2008_01_049.gif"/>
    <m/>
    <m/>
    <m/>
    <b v="0"/>
    <n v="0"/>
    <x v="1"/>
    <n v="622"/>
    <s v="Refraction and Snell's Law"/>
    <n v="5083"/>
    <x v="12"/>
    <m/>
    <m/>
    <m/>
    <m/>
    <m/>
    <m/>
    <m/>
    <m/>
    <m/>
    <m/>
    <m/>
    <m/>
    <m/>
    <m/>
    <m/>
    <m/>
    <m/>
    <m/>
    <m/>
    <m/>
    <m/>
    <m/>
    <m/>
    <m/>
    <m/>
    <m/>
    <m/>
    <m/>
    <m/>
    <m/>
    <m/>
    <m/>
    <m/>
    <m/>
    <m/>
    <m/>
    <m/>
    <m/>
    <m/>
    <m/>
    <m/>
    <m/>
    <m/>
    <n v="1"/>
    <m/>
    <m/>
    <m/>
    <m/>
    <m/>
    <m/>
    <m/>
    <m/>
    <m/>
    <m/>
    <m/>
    <m/>
    <m/>
    <m/>
    <m/>
    <m/>
  </r>
  <r>
    <x v="622"/>
    <n v="2008"/>
    <n v="6"/>
    <x v="0"/>
    <x v="0"/>
    <x v="11"/>
    <n v="1"/>
    <s v="2008_06_001.gif"/>
    <m/>
    <m/>
    <m/>
    <b v="0"/>
    <n v="0"/>
    <x v="0"/>
    <n v="623"/>
    <s v="Basic Motion Concepts,Vector vs. Scalar"/>
    <n v="5111"/>
    <x v="13"/>
    <m/>
    <m/>
    <m/>
    <m/>
    <m/>
    <m/>
    <m/>
    <n v="1"/>
    <m/>
    <m/>
    <m/>
    <m/>
    <m/>
    <n v="1"/>
    <m/>
    <m/>
    <m/>
    <m/>
    <m/>
    <m/>
    <m/>
    <m/>
    <m/>
    <m/>
    <m/>
    <m/>
    <m/>
    <m/>
    <m/>
    <m/>
    <m/>
    <m/>
    <m/>
    <m/>
    <m/>
    <m/>
    <m/>
    <m/>
    <m/>
    <m/>
    <m/>
    <m/>
    <m/>
    <m/>
    <m/>
    <m/>
    <m/>
    <m/>
    <m/>
    <m/>
    <m/>
    <m/>
    <m/>
    <m/>
    <m/>
    <m/>
    <m/>
    <m/>
    <m/>
    <m/>
  </r>
  <r>
    <x v="623"/>
    <n v="2008"/>
    <n v="6"/>
    <x v="1"/>
    <x v="3"/>
    <x v="0"/>
    <n v="1"/>
    <s v="2008_06_002.gif"/>
    <m/>
    <m/>
    <m/>
    <b v="0"/>
    <n v="0"/>
    <x v="0"/>
    <n v="624"/>
    <s v="Projectiles at an Angle"/>
    <n v="5112"/>
    <x v="13"/>
    <m/>
    <m/>
    <m/>
    <m/>
    <m/>
    <m/>
    <m/>
    <m/>
    <m/>
    <m/>
    <m/>
    <m/>
    <m/>
    <m/>
    <m/>
    <n v="1"/>
    <m/>
    <m/>
    <m/>
    <m/>
    <m/>
    <m/>
    <m/>
    <m/>
    <m/>
    <m/>
    <m/>
    <m/>
    <m/>
    <m/>
    <m/>
    <m/>
    <m/>
    <m/>
    <m/>
    <m/>
    <m/>
    <m/>
    <m/>
    <m/>
    <m/>
    <m/>
    <m/>
    <m/>
    <m/>
    <m/>
    <m/>
    <m/>
    <m/>
    <m/>
    <m/>
    <m/>
    <m/>
    <m/>
    <m/>
    <m/>
    <m/>
    <m/>
    <m/>
    <m/>
  </r>
  <r>
    <x v="624"/>
    <n v="2008"/>
    <n v="6"/>
    <x v="2"/>
    <x v="1"/>
    <x v="0"/>
    <n v="4"/>
    <s v="2008_06_003.gif"/>
    <m/>
    <m/>
    <m/>
    <b v="0"/>
    <n v="0"/>
    <x v="0"/>
    <n v="625"/>
    <s v="Newton's 1st Law (Inertia)"/>
    <n v="5113"/>
    <x v="13"/>
    <m/>
    <m/>
    <m/>
    <m/>
    <m/>
    <m/>
    <m/>
    <m/>
    <m/>
    <m/>
    <m/>
    <m/>
    <m/>
    <m/>
    <m/>
    <m/>
    <m/>
    <m/>
    <m/>
    <m/>
    <m/>
    <m/>
    <m/>
    <m/>
    <m/>
    <n v="1"/>
    <m/>
    <m/>
    <m/>
    <m/>
    <m/>
    <m/>
    <m/>
    <m/>
    <m/>
    <m/>
    <m/>
    <m/>
    <m/>
    <m/>
    <m/>
    <m/>
    <m/>
    <m/>
    <m/>
    <m/>
    <m/>
    <m/>
    <m/>
    <m/>
    <m/>
    <m/>
    <m/>
    <m/>
    <m/>
    <m/>
    <m/>
    <m/>
    <m/>
    <m/>
  </r>
  <r>
    <x v="625"/>
    <n v="2008"/>
    <n v="6"/>
    <x v="3"/>
    <x v="2"/>
    <x v="0"/>
    <n v="3"/>
    <s v="2008_06_004.gif"/>
    <m/>
    <m/>
    <m/>
    <b v="0"/>
    <n v="0"/>
    <x v="0"/>
    <n v="626"/>
    <s v="Basic Motion Concepts"/>
    <n v="5114"/>
    <x v="13"/>
    <m/>
    <m/>
    <m/>
    <m/>
    <m/>
    <m/>
    <m/>
    <n v="1"/>
    <m/>
    <m/>
    <m/>
    <m/>
    <m/>
    <m/>
    <m/>
    <m/>
    <m/>
    <m/>
    <m/>
    <m/>
    <m/>
    <m/>
    <m/>
    <m/>
    <m/>
    <m/>
    <m/>
    <m/>
    <m/>
    <m/>
    <m/>
    <m/>
    <m/>
    <m/>
    <m/>
    <m/>
    <m/>
    <m/>
    <m/>
    <m/>
    <m/>
    <m/>
    <m/>
    <m/>
    <m/>
    <m/>
    <m/>
    <m/>
    <m/>
    <m/>
    <m/>
    <m/>
    <m/>
    <m/>
    <m/>
    <m/>
    <m/>
    <m/>
    <m/>
    <m/>
  </r>
  <r>
    <x v="626"/>
    <n v="2008"/>
    <n v="6"/>
    <x v="4"/>
    <x v="2"/>
    <x v="0"/>
    <n v="3"/>
    <s v="2008_06_005.gif"/>
    <m/>
    <m/>
    <m/>
    <b v="0"/>
    <n v="0"/>
    <x v="0"/>
    <n v="627"/>
    <s v="Vertical Constant Acceleration Problems"/>
    <n v="5115"/>
    <x v="13"/>
    <m/>
    <m/>
    <m/>
    <m/>
    <m/>
    <m/>
    <m/>
    <m/>
    <m/>
    <m/>
    <n v="1"/>
    <m/>
    <m/>
    <m/>
    <m/>
    <m/>
    <m/>
    <m/>
    <m/>
    <m/>
    <m/>
    <m/>
    <m/>
    <m/>
    <m/>
    <m/>
    <m/>
    <m/>
    <m/>
    <m/>
    <m/>
    <m/>
    <m/>
    <m/>
    <m/>
    <m/>
    <m/>
    <m/>
    <m/>
    <m/>
    <m/>
    <m/>
    <m/>
    <m/>
    <m/>
    <m/>
    <m/>
    <m/>
    <m/>
    <m/>
    <m/>
    <m/>
    <m/>
    <m/>
    <m/>
    <m/>
    <m/>
    <m/>
    <m/>
    <m/>
  </r>
  <r>
    <x v="627"/>
    <n v="2008"/>
    <n v="6"/>
    <x v="5"/>
    <x v="3"/>
    <x v="0"/>
    <n v="1"/>
    <s v="2008_06_006.gif"/>
    <m/>
    <m/>
    <m/>
    <b v="0"/>
    <n v="0"/>
    <x v="0"/>
    <n v="628"/>
    <s v="Horizontal Projectile Time of Flight"/>
    <n v="5116"/>
    <x v="13"/>
    <m/>
    <m/>
    <m/>
    <m/>
    <m/>
    <m/>
    <m/>
    <m/>
    <m/>
    <m/>
    <m/>
    <m/>
    <m/>
    <m/>
    <m/>
    <m/>
    <m/>
    <n v="1"/>
    <m/>
    <m/>
    <m/>
    <m/>
    <m/>
    <m/>
    <m/>
    <m/>
    <m/>
    <m/>
    <m/>
    <m/>
    <m/>
    <m/>
    <m/>
    <m/>
    <m/>
    <m/>
    <m/>
    <m/>
    <m/>
    <m/>
    <m/>
    <m/>
    <m/>
    <m/>
    <m/>
    <m/>
    <m/>
    <m/>
    <m/>
    <m/>
    <m/>
    <m/>
    <m/>
    <m/>
    <m/>
    <m/>
    <m/>
    <m/>
    <m/>
    <m/>
  </r>
  <r>
    <x v="628"/>
    <n v="2008"/>
    <n v="6"/>
    <x v="6"/>
    <x v="2"/>
    <x v="0"/>
    <n v="3"/>
    <s v="2008_06_007.gif"/>
    <m/>
    <m/>
    <m/>
    <b v="0"/>
    <n v="0"/>
    <x v="0"/>
    <n v="629"/>
    <s v="Horizontal Constant Acceleration Problems"/>
    <n v="5117"/>
    <x v="13"/>
    <m/>
    <m/>
    <m/>
    <m/>
    <m/>
    <m/>
    <m/>
    <m/>
    <m/>
    <n v="1"/>
    <m/>
    <m/>
    <m/>
    <m/>
    <m/>
    <m/>
    <m/>
    <m/>
    <m/>
    <m/>
    <m/>
    <m/>
    <m/>
    <m/>
    <m/>
    <m/>
    <m/>
    <m/>
    <m/>
    <m/>
    <m/>
    <m/>
    <m/>
    <m/>
    <m/>
    <m/>
    <m/>
    <m/>
    <m/>
    <m/>
    <m/>
    <m/>
    <m/>
    <m/>
    <m/>
    <m/>
    <m/>
    <m/>
    <m/>
    <m/>
    <m/>
    <m/>
    <m/>
    <m/>
    <m/>
    <m/>
    <m/>
    <m/>
    <m/>
    <m/>
  </r>
  <r>
    <x v="629"/>
    <n v="2008"/>
    <n v="6"/>
    <x v="7"/>
    <x v="1"/>
    <x v="0"/>
    <n v="3"/>
    <s v="2008_06_008.gif"/>
    <m/>
    <m/>
    <m/>
    <b v="0"/>
    <n v="0"/>
    <x v="0"/>
    <n v="630"/>
    <s v="Weight and Mass"/>
    <n v="5118"/>
    <x v="13"/>
    <m/>
    <m/>
    <m/>
    <m/>
    <m/>
    <m/>
    <m/>
    <m/>
    <m/>
    <m/>
    <m/>
    <m/>
    <m/>
    <m/>
    <m/>
    <m/>
    <m/>
    <m/>
    <m/>
    <m/>
    <m/>
    <m/>
    <m/>
    <m/>
    <m/>
    <m/>
    <m/>
    <n v="1"/>
    <m/>
    <m/>
    <m/>
    <m/>
    <m/>
    <m/>
    <m/>
    <m/>
    <m/>
    <m/>
    <m/>
    <m/>
    <m/>
    <m/>
    <m/>
    <m/>
    <m/>
    <m/>
    <m/>
    <m/>
    <m/>
    <m/>
    <m/>
    <m/>
    <m/>
    <m/>
    <m/>
    <m/>
    <m/>
    <m/>
    <m/>
    <m/>
  </r>
  <r>
    <x v="630"/>
    <n v="2008"/>
    <n v="6"/>
    <x v="8"/>
    <x v="1"/>
    <x v="0"/>
    <n v="2"/>
    <s v="2008_06_009.gif"/>
    <m/>
    <m/>
    <m/>
    <b v="0"/>
    <n v="0"/>
    <x v="0"/>
    <n v="631"/>
    <s v="Newton's 1st Law (Inertia),Newton's 2nd Law (F=MA)"/>
    <n v="5119"/>
    <x v="13"/>
    <m/>
    <m/>
    <m/>
    <m/>
    <m/>
    <m/>
    <m/>
    <m/>
    <m/>
    <m/>
    <m/>
    <m/>
    <m/>
    <m/>
    <m/>
    <m/>
    <m/>
    <m/>
    <m/>
    <m/>
    <m/>
    <m/>
    <m/>
    <m/>
    <m/>
    <n v="1"/>
    <n v="1"/>
    <m/>
    <m/>
    <m/>
    <m/>
    <m/>
    <m/>
    <m/>
    <m/>
    <m/>
    <m/>
    <m/>
    <m/>
    <m/>
    <m/>
    <m/>
    <m/>
    <m/>
    <m/>
    <m/>
    <m/>
    <m/>
    <m/>
    <m/>
    <m/>
    <m/>
    <m/>
    <m/>
    <m/>
    <m/>
    <m/>
    <m/>
    <m/>
    <m/>
  </r>
  <r>
    <x v="631"/>
    <n v="2008"/>
    <n v="6"/>
    <x v="9"/>
    <x v="3"/>
    <x v="0"/>
    <n v="2"/>
    <s v="2008_06_010.gif"/>
    <m/>
    <m/>
    <m/>
    <b v="0"/>
    <n v="0"/>
    <x v="0"/>
    <n v="632"/>
    <s v="Centripetal Motion - Direction F,A,V"/>
    <n v="5120"/>
    <x v="13"/>
    <m/>
    <m/>
    <m/>
    <m/>
    <m/>
    <m/>
    <m/>
    <m/>
    <m/>
    <m/>
    <m/>
    <m/>
    <m/>
    <m/>
    <m/>
    <m/>
    <m/>
    <m/>
    <m/>
    <n v="1"/>
    <m/>
    <m/>
    <m/>
    <m/>
    <m/>
    <m/>
    <m/>
    <m/>
    <m/>
    <m/>
    <m/>
    <m/>
    <m/>
    <m/>
    <m/>
    <m/>
    <m/>
    <m/>
    <m/>
    <m/>
    <m/>
    <m/>
    <m/>
    <m/>
    <m/>
    <m/>
    <m/>
    <m/>
    <m/>
    <m/>
    <m/>
    <m/>
    <m/>
    <m/>
    <m/>
    <m/>
    <m/>
    <m/>
    <m/>
    <m/>
  </r>
  <r>
    <x v="632"/>
    <n v="2008"/>
    <n v="6"/>
    <x v="10"/>
    <x v="0"/>
    <x v="0"/>
    <n v="2"/>
    <s v="2008_06_011.gif"/>
    <m/>
    <m/>
    <m/>
    <b v="0"/>
    <n v="0"/>
    <x v="0"/>
    <n v="633"/>
    <s v="Vector Components"/>
    <n v="5121"/>
    <x v="13"/>
    <m/>
    <m/>
    <m/>
    <m/>
    <m/>
    <m/>
    <m/>
    <m/>
    <m/>
    <m/>
    <m/>
    <m/>
    <n v="1"/>
    <m/>
    <m/>
    <m/>
    <m/>
    <m/>
    <m/>
    <m/>
    <m/>
    <m/>
    <m/>
    <m/>
    <m/>
    <m/>
    <m/>
    <m/>
    <m/>
    <m/>
    <m/>
    <m/>
    <m/>
    <m/>
    <m/>
    <m/>
    <m/>
    <m/>
    <m/>
    <m/>
    <m/>
    <m/>
    <m/>
    <m/>
    <m/>
    <m/>
    <m/>
    <m/>
    <m/>
    <m/>
    <m/>
    <m/>
    <m/>
    <m/>
    <m/>
    <m/>
    <m/>
    <m/>
    <m/>
    <m/>
  </r>
  <r>
    <x v="633"/>
    <n v="2008"/>
    <n v="6"/>
    <x v="11"/>
    <x v="1"/>
    <x v="0"/>
    <n v="3"/>
    <s v="2008_06_012.gif"/>
    <m/>
    <m/>
    <m/>
    <b v="0"/>
    <n v="0"/>
    <x v="0"/>
    <n v="634"/>
    <s v="Friction,Newton's 2nd Law (F=MA)"/>
    <n v="5122"/>
    <x v="13"/>
    <m/>
    <m/>
    <m/>
    <m/>
    <m/>
    <m/>
    <m/>
    <m/>
    <m/>
    <m/>
    <m/>
    <m/>
    <m/>
    <m/>
    <m/>
    <m/>
    <m/>
    <m/>
    <m/>
    <m/>
    <m/>
    <n v="1"/>
    <m/>
    <m/>
    <m/>
    <m/>
    <n v="1"/>
    <m/>
    <m/>
    <m/>
    <m/>
    <m/>
    <m/>
    <m/>
    <m/>
    <m/>
    <m/>
    <m/>
    <m/>
    <m/>
    <m/>
    <m/>
    <m/>
    <m/>
    <m/>
    <m/>
    <m/>
    <m/>
    <m/>
    <m/>
    <m/>
    <m/>
    <m/>
    <m/>
    <m/>
    <m/>
    <m/>
    <m/>
    <m/>
    <m/>
  </r>
  <r>
    <x v="634"/>
    <n v="2008"/>
    <n v="6"/>
    <x v="12"/>
    <x v="3"/>
    <x v="0"/>
    <n v="3"/>
    <s v="2008_06_013.gif"/>
    <m/>
    <m/>
    <m/>
    <b v="0"/>
    <n v="0"/>
    <x v="0"/>
    <n v="635"/>
    <s v="Centripetal Motion - Calculation"/>
    <n v="5123"/>
    <x v="13"/>
    <m/>
    <m/>
    <m/>
    <m/>
    <m/>
    <m/>
    <m/>
    <m/>
    <m/>
    <m/>
    <m/>
    <m/>
    <m/>
    <m/>
    <m/>
    <m/>
    <m/>
    <m/>
    <m/>
    <m/>
    <n v="1"/>
    <m/>
    <m/>
    <m/>
    <m/>
    <m/>
    <m/>
    <m/>
    <m/>
    <m/>
    <m/>
    <m/>
    <m/>
    <m/>
    <m/>
    <m/>
    <m/>
    <m/>
    <m/>
    <m/>
    <m/>
    <m/>
    <m/>
    <m/>
    <m/>
    <m/>
    <m/>
    <m/>
    <m/>
    <m/>
    <m/>
    <m/>
    <m/>
    <m/>
    <m/>
    <m/>
    <m/>
    <m/>
    <m/>
    <m/>
  </r>
  <r>
    <x v="635"/>
    <n v="2008"/>
    <n v="6"/>
    <x v="13"/>
    <x v="4"/>
    <x v="0"/>
    <n v="2"/>
    <s v="2008_06_014.gif"/>
    <m/>
    <m/>
    <m/>
    <b v="0"/>
    <n v="0"/>
    <x v="0"/>
    <n v="636"/>
    <s v="Impulse"/>
    <n v="5124"/>
    <x v="13"/>
    <m/>
    <m/>
    <m/>
    <m/>
    <m/>
    <m/>
    <m/>
    <m/>
    <m/>
    <m/>
    <m/>
    <m/>
    <m/>
    <m/>
    <m/>
    <m/>
    <m/>
    <m/>
    <m/>
    <m/>
    <m/>
    <m/>
    <m/>
    <m/>
    <m/>
    <m/>
    <m/>
    <m/>
    <m/>
    <n v="1"/>
    <m/>
    <m/>
    <m/>
    <m/>
    <m/>
    <m/>
    <m/>
    <m/>
    <m/>
    <m/>
    <m/>
    <m/>
    <m/>
    <m/>
    <m/>
    <m/>
    <m/>
    <m/>
    <m/>
    <m/>
    <m/>
    <m/>
    <m/>
    <m/>
    <m/>
    <m/>
    <m/>
    <m/>
    <m/>
    <m/>
  </r>
  <r>
    <x v="636"/>
    <n v="2008"/>
    <n v="6"/>
    <x v="14"/>
    <x v="4"/>
    <x v="0"/>
    <n v="3"/>
    <s v="2008_06_015.gif"/>
    <m/>
    <m/>
    <m/>
    <b v="0"/>
    <n v="0"/>
    <x v="0"/>
    <n v="637"/>
    <s v="Newton's 3rd Law (Equal But Opposite)"/>
    <n v="5125"/>
    <x v="13"/>
    <m/>
    <m/>
    <m/>
    <m/>
    <m/>
    <m/>
    <m/>
    <m/>
    <m/>
    <m/>
    <m/>
    <m/>
    <m/>
    <m/>
    <m/>
    <m/>
    <m/>
    <m/>
    <m/>
    <m/>
    <m/>
    <m/>
    <m/>
    <m/>
    <m/>
    <m/>
    <m/>
    <m/>
    <m/>
    <m/>
    <n v="1"/>
    <m/>
    <m/>
    <m/>
    <m/>
    <m/>
    <m/>
    <m/>
    <m/>
    <m/>
    <m/>
    <m/>
    <m/>
    <m/>
    <m/>
    <m/>
    <m/>
    <m/>
    <m/>
    <m/>
    <m/>
    <m/>
    <m/>
    <m/>
    <m/>
    <m/>
    <m/>
    <m/>
    <m/>
    <m/>
  </r>
  <r>
    <x v="637"/>
    <n v="2008"/>
    <n v="6"/>
    <x v="15"/>
    <x v="1"/>
    <x v="2"/>
    <n v="3"/>
    <s v="2008_06_016.gif"/>
    <m/>
    <m/>
    <m/>
    <b v="0"/>
    <n v="0"/>
    <x v="0"/>
    <n v="638"/>
    <s v="Law of Gravity,Mathematical Relationships (Numberless Problems)"/>
    <n v="5126"/>
    <x v="13"/>
    <m/>
    <m/>
    <m/>
    <m/>
    <m/>
    <m/>
    <m/>
    <m/>
    <m/>
    <m/>
    <m/>
    <m/>
    <m/>
    <m/>
    <m/>
    <m/>
    <m/>
    <m/>
    <m/>
    <m/>
    <m/>
    <m/>
    <m/>
    <m/>
    <n v="1"/>
    <m/>
    <m/>
    <m/>
    <m/>
    <m/>
    <m/>
    <m/>
    <m/>
    <m/>
    <m/>
    <m/>
    <m/>
    <m/>
    <m/>
    <m/>
    <m/>
    <m/>
    <m/>
    <m/>
    <m/>
    <m/>
    <m/>
    <m/>
    <m/>
    <m/>
    <m/>
    <m/>
    <m/>
    <m/>
    <m/>
    <m/>
    <m/>
    <m/>
    <n v="1"/>
    <m/>
  </r>
  <r>
    <x v="638"/>
    <n v="2008"/>
    <n v="6"/>
    <x v="16"/>
    <x v="5"/>
    <x v="0"/>
    <n v="1"/>
    <s v="2008_06_017.gif"/>
    <m/>
    <m/>
    <m/>
    <b v="0"/>
    <n v="0"/>
    <x v="0"/>
    <n v="639"/>
    <s v="Work/Power"/>
    <n v="5127"/>
    <x v="13"/>
    <m/>
    <m/>
    <m/>
    <m/>
    <m/>
    <m/>
    <m/>
    <m/>
    <m/>
    <m/>
    <m/>
    <m/>
    <m/>
    <m/>
    <m/>
    <m/>
    <m/>
    <m/>
    <m/>
    <m/>
    <m/>
    <m/>
    <m/>
    <m/>
    <m/>
    <m/>
    <m/>
    <m/>
    <m/>
    <m/>
    <m/>
    <m/>
    <m/>
    <m/>
    <m/>
    <n v="1"/>
    <m/>
    <m/>
    <m/>
    <m/>
    <m/>
    <m/>
    <m/>
    <m/>
    <m/>
    <m/>
    <m/>
    <m/>
    <m/>
    <m/>
    <m/>
    <m/>
    <m/>
    <m/>
    <m/>
    <m/>
    <m/>
    <m/>
    <m/>
    <m/>
  </r>
  <r>
    <x v="639"/>
    <n v="2008"/>
    <n v="6"/>
    <x v="17"/>
    <x v="5"/>
    <x v="0"/>
    <n v="2"/>
    <s v="2008_06_018.gif"/>
    <m/>
    <m/>
    <m/>
    <b v="0"/>
    <n v="0"/>
    <x v="0"/>
    <n v="640"/>
    <s v="Conservation of Energy"/>
    <n v="5128"/>
    <x v="13"/>
    <m/>
    <m/>
    <m/>
    <m/>
    <m/>
    <m/>
    <m/>
    <m/>
    <m/>
    <m/>
    <m/>
    <m/>
    <m/>
    <m/>
    <m/>
    <m/>
    <m/>
    <m/>
    <m/>
    <m/>
    <m/>
    <m/>
    <m/>
    <m/>
    <m/>
    <m/>
    <m/>
    <m/>
    <m/>
    <m/>
    <m/>
    <n v="1"/>
    <m/>
    <m/>
    <m/>
    <m/>
    <m/>
    <m/>
    <m/>
    <m/>
    <m/>
    <m/>
    <m/>
    <m/>
    <m/>
    <m/>
    <m/>
    <m/>
    <m/>
    <m/>
    <m/>
    <m/>
    <m/>
    <m/>
    <m/>
    <m/>
    <m/>
    <m/>
    <m/>
    <m/>
  </r>
  <r>
    <x v="640"/>
    <n v="2008"/>
    <n v="6"/>
    <x v="18"/>
    <x v="5"/>
    <x v="0"/>
    <n v="4"/>
    <s v="2008_06_019.gif"/>
    <m/>
    <m/>
    <m/>
    <b v="0"/>
    <n v="0"/>
    <x v="0"/>
    <n v="641"/>
    <s v="Work/Power"/>
    <n v="5129"/>
    <x v="13"/>
    <m/>
    <m/>
    <m/>
    <m/>
    <m/>
    <m/>
    <m/>
    <m/>
    <m/>
    <m/>
    <m/>
    <m/>
    <m/>
    <m/>
    <m/>
    <m/>
    <m/>
    <m/>
    <m/>
    <m/>
    <m/>
    <m/>
    <m/>
    <m/>
    <m/>
    <m/>
    <m/>
    <m/>
    <m/>
    <m/>
    <m/>
    <m/>
    <m/>
    <m/>
    <m/>
    <n v="1"/>
    <m/>
    <m/>
    <m/>
    <m/>
    <m/>
    <m/>
    <m/>
    <m/>
    <m/>
    <m/>
    <m/>
    <m/>
    <m/>
    <m/>
    <m/>
    <m/>
    <m/>
    <m/>
    <m/>
    <m/>
    <m/>
    <m/>
    <m/>
    <m/>
  </r>
  <r>
    <x v="641"/>
    <n v="2008"/>
    <n v="6"/>
    <x v="19"/>
    <x v="8"/>
    <x v="0"/>
    <n v="1"/>
    <s v="2008_06_020.gif"/>
    <m/>
    <m/>
    <m/>
    <b v="0"/>
    <n v="0"/>
    <x v="0"/>
    <n v="642"/>
    <s v="Series and Parallel"/>
    <n v="5130"/>
    <x v="13"/>
    <m/>
    <m/>
    <m/>
    <m/>
    <m/>
    <m/>
    <m/>
    <m/>
    <m/>
    <m/>
    <m/>
    <m/>
    <m/>
    <m/>
    <m/>
    <m/>
    <m/>
    <m/>
    <m/>
    <m/>
    <m/>
    <m/>
    <m/>
    <m/>
    <m/>
    <m/>
    <m/>
    <m/>
    <m/>
    <m/>
    <m/>
    <m/>
    <m/>
    <m/>
    <m/>
    <m/>
    <m/>
    <m/>
    <m/>
    <m/>
    <m/>
    <m/>
    <m/>
    <m/>
    <m/>
    <m/>
    <m/>
    <m/>
    <m/>
    <m/>
    <m/>
    <m/>
    <n v="1"/>
    <m/>
    <m/>
    <m/>
    <m/>
    <m/>
    <m/>
    <m/>
  </r>
  <r>
    <x v="642"/>
    <n v="2008"/>
    <n v="6"/>
    <x v="20"/>
    <x v="8"/>
    <x v="0"/>
    <n v="1"/>
    <s v="2008_06_021.gif"/>
    <m/>
    <m/>
    <m/>
    <b v="0"/>
    <n v="0"/>
    <x v="0"/>
    <n v="643"/>
    <s v="Electrical Power"/>
    <n v="5131"/>
    <x v="13"/>
    <m/>
    <m/>
    <m/>
    <m/>
    <m/>
    <m/>
    <m/>
    <m/>
    <m/>
    <m/>
    <m/>
    <m/>
    <m/>
    <m/>
    <m/>
    <m/>
    <m/>
    <m/>
    <m/>
    <m/>
    <m/>
    <m/>
    <m/>
    <m/>
    <m/>
    <m/>
    <m/>
    <m/>
    <m/>
    <m/>
    <m/>
    <m/>
    <m/>
    <m/>
    <m/>
    <m/>
    <m/>
    <m/>
    <m/>
    <m/>
    <m/>
    <m/>
    <m/>
    <m/>
    <m/>
    <m/>
    <m/>
    <m/>
    <m/>
    <n v="1"/>
    <m/>
    <m/>
    <m/>
    <m/>
    <m/>
    <m/>
    <m/>
    <m/>
    <m/>
    <m/>
  </r>
  <r>
    <x v="643"/>
    <n v="2008"/>
    <n v="6"/>
    <x v="21"/>
    <x v="12"/>
    <x v="13"/>
    <n v="1"/>
    <s v="2008_06_022.gif"/>
    <m/>
    <m/>
    <m/>
    <b v="0"/>
    <n v="0"/>
    <x v="0"/>
    <n v="644"/>
    <s v="Electric Fields and Potential"/>
    <n v="5132"/>
    <x v="13"/>
    <m/>
    <m/>
    <m/>
    <m/>
    <m/>
    <m/>
    <m/>
    <m/>
    <m/>
    <m/>
    <m/>
    <m/>
    <m/>
    <m/>
    <m/>
    <m/>
    <m/>
    <m/>
    <m/>
    <m/>
    <m/>
    <m/>
    <m/>
    <m/>
    <m/>
    <m/>
    <m/>
    <m/>
    <m/>
    <m/>
    <m/>
    <m/>
    <m/>
    <m/>
    <m/>
    <m/>
    <m/>
    <m/>
    <m/>
    <m/>
    <m/>
    <m/>
    <m/>
    <m/>
    <m/>
    <m/>
    <m/>
    <n v="1"/>
    <m/>
    <m/>
    <m/>
    <m/>
    <m/>
    <m/>
    <m/>
    <m/>
    <m/>
    <m/>
    <m/>
    <m/>
  </r>
  <r>
    <x v="644"/>
    <n v="2008"/>
    <n v="6"/>
    <x v="22"/>
    <x v="6"/>
    <x v="0"/>
    <n v="4"/>
    <s v="2008_06_023.gif"/>
    <m/>
    <m/>
    <m/>
    <b v="0"/>
    <n v="0"/>
    <x v="0"/>
    <n v="645"/>
    <s v="Electric Fields and Potential"/>
    <n v="5133"/>
    <x v="13"/>
    <m/>
    <m/>
    <m/>
    <m/>
    <m/>
    <m/>
    <m/>
    <m/>
    <m/>
    <m/>
    <m/>
    <m/>
    <m/>
    <m/>
    <m/>
    <m/>
    <m/>
    <m/>
    <m/>
    <m/>
    <m/>
    <m/>
    <m/>
    <m/>
    <m/>
    <m/>
    <m/>
    <m/>
    <m/>
    <m/>
    <m/>
    <m/>
    <m/>
    <m/>
    <m/>
    <m/>
    <m/>
    <m/>
    <m/>
    <m/>
    <m/>
    <m/>
    <m/>
    <m/>
    <m/>
    <m/>
    <m/>
    <n v="1"/>
    <m/>
    <m/>
    <m/>
    <m/>
    <m/>
    <m/>
    <m/>
    <m/>
    <m/>
    <m/>
    <m/>
    <m/>
  </r>
  <r>
    <x v="645"/>
    <n v="2008"/>
    <n v="6"/>
    <x v="23"/>
    <x v="8"/>
    <x v="0"/>
    <n v="1"/>
    <s v="2008_06_024.gif"/>
    <m/>
    <m/>
    <m/>
    <b v="0"/>
    <n v="0"/>
    <x v="0"/>
    <n v="646"/>
    <s v="Ohm's Law"/>
    <n v="5134"/>
    <x v="13"/>
    <m/>
    <m/>
    <m/>
    <m/>
    <m/>
    <m/>
    <m/>
    <m/>
    <m/>
    <m/>
    <m/>
    <m/>
    <m/>
    <m/>
    <m/>
    <m/>
    <m/>
    <m/>
    <m/>
    <m/>
    <m/>
    <m/>
    <m/>
    <m/>
    <m/>
    <m/>
    <m/>
    <m/>
    <m/>
    <m/>
    <m/>
    <m/>
    <m/>
    <m/>
    <m/>
    <m/>
    <m/>
    <m/>
    <m/>
    <m/>
    <m/>
    <m/>
    <m/>
    <m/>
    <m/>
    <m/>
    <m/>
    <m/>
    <m/>
    <m/>
    <n v="1"/>
    <m/>
    <m/>
    <m/>
    <m/>
    <m/>
    <m/>
    <m/>
    <m/>
    <m/>
  </r>
  <r>
    <x v="646"/>
    <n v="2008"/>
    <n v="6"/>
    <x v="24"/>
    <x v="7"/>
    <x v="0"/>
    <n v="2"/>
    <s v="2008_06_025.gif"/>
    <m/>
    <m/>
    <m/>
    <b v="0"/>
    <n v="0"/>
    <x v="0"/>
    <n v="647"/>
    <s v="Wave Vocabulary"/>
    <n v="5135"/>
    <x v="13"/>
    <m/>
    <m/>
    <m/>
    <m/>
    <m/>
    <m/>
    <m/>
    <m/>
    <m/>
    <m/>
    <m/>
    <m/>
    <m/>
    <m/>
    <m/>
    <m/>
    <m/>
    <m/>
    <m/>
    <m/>
    <m/>
    <m/>
    <m/>
    <m/>
    <m/>
    <m/>
    <m/>
    <m/>
    <m/>
    <m/>
    <m/>
    <m/>
    <m/>
    <m/>
    <m/>
    <m/>
    <m/>
    <m/>
    <m/>
    <n v="1"/>
    <m/>
    <m/>
    <m/>
    <m/>
    <m/>
    <m/>
    <m/>
    <m/>
    <m/>
    <m/>
    <m/>
    <m/>
    <m/>
    <m/>
    <m/>
    <m/>
    <m/>
    <m/>
    <m/>
    <m/>
  </r>
  <r>
    <x v="647"/>
    <n v="2008"/>
    <n v="6"/>
    <x v="25"/>
    <x v="9"/>
    <x v="0"/>
    <n v="3"/>
    <s v="2008_06_026.gif"/>
    <m/>
    <m/>
    <m/>
    <b v="0"/>
    <n v="0"/>
    <x v="0"/>
    <n v="648"/>
    <s v="Light and Sound"/>
    <n v="5136"/>
    <x v="13"/>
    <m/>
    <m/>
    <m/>
    <m/>
    <m/>
    <m/>
    <m/>
    <m/>
    <m/>
    <m/>
    <m/>
    <m/>
    <m/>
    <m/>
    <m/>
    <m/>
    <m/>
    <m/>
    <m/>
    <m/>
    <m/>
    <m/>
    <m/>
    <m/>
    <m/>
    <m/>
    <m/>
    <m/>
    <m/>
    <m/>
    <m/>
    <m/>
    <m/>
    <m/>
    <m/>
    <m/>
    <m/>
    <m/>
    <m/>
    <m/>
    <m/>
    <m/>
    <n v="1"/>
    <m/>
    <m/>
    <m/>
    <m/>
    <m/>
    <m/>
    <m/>
    <m/>
    <m/>
    <m/>
    <m/>
    <m/>
    <m/>
    <m/>
    <m/>
    <m/>
    <m/>
  </r>
  <r>
    <x v="648"/>
    <n v="2008"/>
    <n v="6"/>
    <x v="26"/>
    <x v="7"/>
    <x v="0"/>
    <n v="2"/>
    <s v="2008_06_027.gif"/>
    <m/>
    <m/>
    <m/>
    <b v="0"/>
    <n v="0"/>
    <x v="0"/>
    <n v="649"/>
    <s v="Wave Vocabulary"/>
    <n v="5137"/>
    <x v="13"/>
    <m/>
    <m/>
    <m/>
    <m/>
    <m/>
    <m/>
    <m/>
    <m/>
    <m/>
    <m/>
    <m/>
    <m/>
    <m/>
    <m/>
    <m/>
    <m/>
    <m/>
    <m/>
    <m/>
    <m/>
    <m/>
    <m/>
    <m/>
    <m/>
    <m/>
    <m/>
    <m/>
    <m/>
    <m/>
    <m/>
    <m/>
    <m/>
    <m/>
    <m/>
    <m/>
    <m/>
    <m/>
    <m/>
    <m/>
    <n v="1"/>
    <m/>
    <m/>
    <m/>
    <m/>
    <m/>
    <m/>
    <m/>
    <m/>
    <m/>
    <m/>
    <m/>
    <m/>
    <m/>
    <m/>
    <m/>
    <m/>
    <m/>
    <m/>
    <m/>
    <m/>
  </r>
  <r>
    <x v="649"/>
    <n v="2008"/>
    <n v="6"/>
    <x v="27"/>
    <x v="9"/>
    <x v="0"/>
    <n v="4"/>
    <s v="2008_06_028.gif"/>
    <m/>
    <m/>
    <m/>
    <b v="0"/>
    <n v="0"/>
    <x v="0"/>
    <n v="650"/>
    <s v="Refraction and Snell's Law"/>
    <n v="5138"/>
    <x v="13"/>
    <m/>
    <m/>
    <m/>
    <m/>
    <m/>
    <m/>
    <m/>
    <m/>
    <m/>
    <m/>
    <m/>
    <m/>
    <m/>
    <m/>
    <m/>
    <m/>
    <m/>
    <m/>
    <m/>
    <m/>
    <m/>
    <m/>
    <m/>
    <m/>
    <m/>
    <m/>
    <m/>
    <m/>
    <m/>
    <m/>
    <m/>
    <m/>
    <m/>
    <m/>
    <m/>
    <m/>
    <m/>
    <m/>
    <m/>
    <m/>
    <m/>
    <m/>
    <m/>
    <n v="1"/>
    <m/>
    <m/>
    <m/>
    <m/>
    <m/>
    <m/>
    <m/>
    <m/>
    <m/>
    <m/>
    <m/>
    <m/>
    <m/>
    <m/>
    <m/>
    <m/>
  </r>
  <r>
    <x v="650"/>
    <n v="2008"/>
    <n v="6"/>
    <x v="28"/>
    <x v="9"/>
    <x v="0"/>
    <n v="4"/>
    <s v="2008_06_029.gif"/>
    <m/>
    <m/>
    <m/>
    <b v="0"/>
    <n v="0"/>
    <x v="0"/>
    <n v="651"/>
    <s v="Refraction and Snell's Law"/>
    <n v="5139"/>
    <x v="13"/>
    <m/>
    <m/>
    <m/>
    <m/>
    <m/>
    <m/>
    <m/>
    <m/>
    <m/>
    <m/>
    <m/>
    <m/>
    <m/>
    <m/>
    <m/>
    <m/>
    <m/>
    <m/>
    <m/>
    <m/>
    <m/>
    <m/>
    <m/>
    <m/>
    <m/>
    <m/>
    <m/>
    <m/>
    <m/>
    <m/>
    <m/>
    <m/>
    <m/>
    <m/>
    <m/>
    <m/>
    <m/>
    <m/>
    <m/>
    <m/>
    <m/>
    <m/>
    <m/>
    <n v="1"/>
    <m/>
    <m/>
    <m/>
    <m/>
    <m/>
    <m/>
    <m/>
    <m/>
    <m/>
    <m/>
    <m/>
    <m/>
    <m/>
    <m/>
    <m/>
    <m/>
  </r>
  <r>
    <x v="651"/>
    <n v="2008"/>
    <n v="6"/>
    <x v="29"/>
    <x v="7"/>
    <x v="0"/>
    <n v="4"/>
    <s v="2008_06_030.gif"/>
    <m/>
    <m/>
    <m/>
    <b v="0"/>
    <n v="0"/>
    <x v="0"/>
    <n v="652"/>
    <s v="Superposition and Standing Waves"/>
    <n v="5140"/>
    <x v="13"/>
    <m/>
    <m/>
    <m/>
    <m/>
    <m/>
    <m/>
    <m/>
    <m/>
    <m/>
    <m/>
    <m/>
    <m/>
    <m/>
    <m/>
    <m/>
    <m/>
    <m/>
    <m/>
    <m/>
    <m/>
    <m/>
    <m/>
    <m/>
    <m/>
    <m/>
    <m/>
    <m/>
    <m/>
    <m/>
    <m/>
    <m/>
    <m/>
    <m/>
    <m/>
    <m/>
    <m/>
    <m/>
    <n v="1"/>
    <m/>
    <m/>
    <m/>
    <m/>
    <m/>
    <m/>
    <m/>
    <m/>
    <m/>
    <m/>
    <m/>
    <m/>
    <m/>
    <m/>
    <m/>
    <m/>
    <m/>
    <m/>
    <m/>
    <m/>
    <m/>
    <m/>
  </r>
  <r>
    <x v="652"/>
    <n v="2008"/>
    <n v="6"/>
    <x v="30"/>
    <x v="7"/>
    <x v="0"/>
    <n v="2"/>
    <s v="2008_06_031.gif"/>
    <m/>
    <m/>
    <m/>
    <b v="0"/>
    <n v="0"/>
    <x v="0"/>
    <n v="653"/>
    <s v="Superposition and Standing Waves"/>
    <n v="5141"/>
    <x v="13"/>
    <m/>
    <m/>
    <m/>
    <m/>
    <m/>
    <m/>
    <m/>
    <m/>
    <m/>
    <m/>
    <m/>
    <m/>
    <m/>
    <m/>
    <m/>
    <m/>
    <m/>
    <m/>
    <m/>
    <m/>
    <m/>
    <m/>
    <m/>
    <m/>
    <m/>
    <m/>
    <m/>
    <m/>
    <m/>
    <m/>
    <m/>
    <m/>
    <m/>
    <m/>
    <m/>
    <m/>
    <m/>
    <n v="1"/>
    <m/>
    <m/>
    <m/>
    <m/>
    <m/>
    <m/>
    <m/>
    <m/>
    <m/>
    <m/>
    <m/>
    <m/>
    <m/>
    <m/>
    <m/>
    <m/>
    <m/>
    <m/>
    <m/>
    <m/>
    <m/>
    <m/>
  </r>
  <r>
    <x v="653"/>
    <n v="2008"/>
    <n v="6"/>
    <x v="31"/>
    <x v="9"/>
    <x v="0"/>
    <n v="4"/>
    <s v="2008_06_032.gif"/>
    <m/>
    <m/>
    <m/>
    <b v="0"/>
    <n v="0"/>
    <x v="0"/>
    <n v="654"/>
    <s v="Doppler Effect"/>
    <n v="5142"/>
    <x v="13"/>
    <m/>
    <m/>
    <m/>
    <m/>
    <m/>
    <m/>
    <m/>
    <m/>
    <m/>
    <m/>
    <m/>
    <m/>
    <m/>
    <m/>
    <m/>
    <m/>
    <m/>
    <m/>
    <m/>
    <m/>
    <m/>
    <m/>
    <m/>
    <m/>
    <m/>
    <m/>
    <m/>
    <m/>
    <m/>
    <m/>
    <m/>
    <m/>
    <m/>
    <m/>
    <m/>
    <m/>
    <m/>
    <m/>
    <m/>
    <m/>
    <m/>
    <n v="1"/>
    <m/>
    <m/>
    <m/>
    <m/>
    <m/>
    <m/>
    <m/>
    <m/>
    <m/>
    <m/>
    <m/>
    <m/>
    <m/>
    <m/>
    <m/>
    <m/>
    <m/>
    <m/>
  </r>
  <r>
    <x v="654"/>
    <n v="2008"/>
    <n v="6"/>
    <x v="32"/>
    <x v="10"/>
    <x v="0"/>
    <n v="2"/>
    <s v="2008_06_033.gif"/>
    <m/>
    <m/>
    <m/>
    <b v="0"/>
    <n v="0"/>
    <x v="0"/>
    <n v="655"/>
    <s v="Energy/Mass Equivalency"/>
    <n v="5143"/>
    <x v="13"/>
    <m/>
    <m/>
    <m/>
    <m/>
    <m/>
    <m/>
    <m/>
    <m/>
    <m/>
    <m/>
    <m/>
    <m/>
    <m/>
    <m/>
    <m/>
    <m/>
    <m/>
    <m/>
    <m/>
    <m/>
    <m/>
    <m/>
    <m/>
    <m/>
    <m/>
    <m/>
    <m/>
    <m/>
    <m/>
    <m/>
    <m/>
    <m/>
    <m/>
    <m/>
    <m/>
    <m/>
    <m/>
    <m/>
    <m/>
    <m/>
    <m/>
    <m/>
    <m/>
    <m/>
    <m/>
    <m/>
    <m/>
    <m/>
    <m/>
    <m/>
    <m/>
    <m/>
    <m/>
    <m/>
    <m/>
    <n v="1"/>
    <m/>
    <m/>
    <m/>
    <m/>
  </r>
  <r>
    <x v="655"/>
    <n v="2008"/>
    <n v="6"/>
    <x v="33"/>
    <x v="10"/>
    <x v="0"/>
    <n v="4"/>
    <s v="2008_06_034.gif"/>
    <m/>
    <m/>
    <m/>
    <b v="0"/>
    <n v="0"/>
    <x v="0"/>
    <n v="656"/>
    <s v="Particle Physics"/>
    <n v="5144"/>
    <x v="13"/>
    <m/>
    <m/>
    <m/>
    <m/>
    <m/>
    <m/>
    <m/>
    <m/>
    <m/>
    <m/>
    <m/>
    <m/>
    <m/>
    <m/>
    <m/>
    <m/>
    <m/>
    <m/>
    <m/>
    <m/>
    <m/>
    <m/>
    <m/>
    <m/>
    <m/>
    <m/>
    <m/>
    <m/>
    <m/>
    <m/>
    <m/>
    <m/>
    <m/>
    <m/>
    <m/>
    <m/>
    <m/>
    <m/>
    <m/>
    <m/>
    <m/>
    <m/>
    <m/>
    <m/>
    <m/>
    <m/>
    <m/>
    <m/>
    <m/>
    <m/>
    <m/>
    <m/>
    <m/>
    <m/>
    <m/>
    <m/>
    <n v="1"/>
    <m/>
    <m/>
    <m/>
  </r>
  <r>
    <x v="656"/>
    <n v="2008"/>
    <n v="6"/>
    <x v="34"/>
    <x v="10"/>
    <x v="0"/>
    <n v="4"/>
    <s v="2008_06_035.gif"/>
    <m/>
    <m/>
    <m/>
    <b v="0"/>
    <n v="0"/>
    <x v="0"/>
    <n v="657"/>
    <s v="Energy/Mass Equivalency"/>
    <n v="5145"/>
    <x v="13"/>
    <m/>
    <m/>
    <m/>
    <m/>
    <m/>
    <m/>
    <m/>
    <m/>
    <m/>
    <m/>
    <m/>
    <m/>
    <m/>
    <m/>
    <m/>
    <m/>
    <m/>
    <m/>
    <m/>
    <m/>
    <m/>
    <m/>
    <m/>
    <m/>
    <m/>
    <m/>
    <m/>
    <m/>
    <m/>
    <m/>
    <m/>
    <m/>
    <m/>
    <m/>
    <m/>
    <m/>
    <m/>
    <m/>
    <m/>
    <m/>
    <m/>
    <m/>
    <m/>
    <m/>
    <m/>
    <m/>
    <m/>
    <m/>
    <m/>
    <m/>
    <m/>
    <m/>
    <m/>
    <m/>
    <m/>
    <n v="1"/>
    <m/>
    <m/>
    <m/>
    <m/>
  </r>
  <r>
    <x v="657"/>
    <n v="2008"/>
    <n v="6"/>
    <x v="35"/>
    <x v="11"/>
    <x v="0"/>
    <n v="3"/>
    <s v="2008_06_036.gif"/>
    <m/>
    <m/>
    <m/>
    <b v="0"/>
    <n v="0"/>
    <x v="1"/>
    <n v="658"/>
    <s v="Estimation"/>
    <n v="5146"/>
    <x v="13"/>
    <m/>
    <m/>
    <n v="1"/>
    <m/>
    <m/>
    <m/>
    <m/>
    <m/>
    <m/>
    <m/>
    <m/>
    <m/>
    <m/>
    <m/>
    <m/>
    <m/>
    <m/>
    <m/>
    <m/>
    <m/>
    <m/>
    <m/>
    <m/>
    <m/>
    <m/>
    <m/>
    <m/>
    <m/>
    <m/>
    <m/>
    <m/>
    <m/>
    <m/>
    <m/>
    <m/>
    <m/>
    <m/>
    <m/>
    <m/>
    <m/>
    <m/>
    <m/>
    <m/>
    <m/>
    <m/>
    <m/>
    <m/>
    <m/>
    <m/>
    <m/>
    <m/>
    <m/>
    <m/>
    <m/>
    <m/>
    <m/>
    <m/>
    <m/>
    <m/>
    <m/>
  </r>
  <r>
    <x v="658"/>
    <n v="2008"/>
    <n v="6"/>
    <x v="36"/>
    <x v="2"/>
    <x v="0"/>
    <n v="4"/>
    <s v="2008_06_037.gif"/>
    <m/>
    <m/>
    <m/>
    <b v="0"/>
    <n v="0"/>
    <x v="1"/>
    <n v="659"/>
    <s v="DT/VT Graphs"/>
    <n v="5147"/>
    <x v="13"/>
    <m/>
    <m/>
    <m/>
    <m/>
    <n v="1"/>
    <m/>
    <m/>
    <m/>
    <m/>
    <m/>
    <m/>
    <m/>
    <m/>
    <m/>
    <m/>
    <m/>
    <m/>
    <m/>
    <m/>
    <m/>
    <m/>
    <m/>
    <m/>
    <m/>
    <m/>
    <m/>
    <m/>
    <m/>
    <m/>
    <m/>
    <m/>
    <m/>
    <m/>
    <m/>
    <m/>
    <m/>
    <m/>
    <m/>
    <m/>
    <m/>
    <m/>
    <m/>
    <m/>
    <m/>
    <m/>
    <m/>
    <m/>
    <m/>
    <m/>
    <m/>
    <m/>
    <m/>
    <m/>
    <m/>
    <m/>
    <m/>
    <m/>
    <m/>
    <m/>
    <m/>
  </r>
  <r>
    <x v="659"/>
    <n v="2008"/>
    <n v="6"/>
    <x v="37"/>
    <x v="1"/>
    <x v="0"/>
    <n v="3"/>
    <s v="2008_06_038.gif"/>
    <m/>
    <m/>
    <m/>
    <b v="0"/>
    <n v="0"/>
    <x v="1"/>
    <n v="660"/>
    <s v="Law of Gravity"/>
    <n v="5148"/>
    <x v="13"/>
    <m/>
    <m/>
    <m/>
    <m/>
    <m/>
    <m/>
    <m/>
    <m/>
    <m/>
    <m/>
    <m/>
    <m/>
    <m/>
    <m/>
    <m/>
    <m/>
    <m/>
    <m/>
    <m/>
    <m/>
    <m/>
    <m/>
    <m/>
    <m/>
    <n v="1"/>
    <m/>
    <m/>
    <m/>
    <m/>
    <m/>
    <m/>
    <m/>
    <m/>
    <m/>
    <m/>
    <m/>
    <m/>
    <m/>
    <m/>
    <m/>
    <m/>
    <m/>
    <m/>
    <m/>
    <m/>
    <m/>
    <m/>
    <m/>
    <m/>
    <m/>
    <m/>
    <m/>
    <m/>
    <m/>
    <m/>
    <m/>
    <m/>
    <m/>
    <m/>
    <m/>
  </r>
  <r>
    <x v="660"/>
    <n v="2008"/>
    <n v="6"/>
    <x v="38"/>
    <x v="1"/>
    <x v="0"/>
    <n v="2"/>
    <s v="2008_06_039.gif"/>
    <m/>
    <m/>
    <m/>
    <b v="0"/>
    <n v="0"/>
    <x v="1"/>
    <n v="661"/>
    <s v="Inclined Plane,Newton's 2nd Law (F=MA)"/>
    <n v="5149"/>
    <x v="13"/>
    <m/>
    <m/>
    <m/>
    <m/>
    <m/>
    <m/>
    <m/>
    <m/>
    <m/>
    <m/>
    <m/>
    <m/>
    <m/>
    <m/>
    <m/>
    <m/>
    <m/>
    <m/>
    <m/>
    <m/>
    <m/>
    <m/>
    <n v="1"/>
    <m/>
    <m/>
    <m/>
    <n v="1"/>
    <m/>
    <m/>
    <m/>
    <m/>
    <m/>
    <m/>
    <m/>
    <m/>
    <m/>
    <m/>
    <m/>
    <m/>
    <m/>
    <m/>
    <m/>
    <m/>
    <m/>
    <m/>
    <m/>
    <m/>
    <m/>
    <m/>
    <m/>
    <m/>
    <m/>
    <m/>
    <m/>
    <m/>
    <m/>
    <m/>
    <m/>
    <m/>
    <m/>
  </r>
  <r>
    <x v="661"/>
    <n v="2008"/>
    <n v="6"/>
    <x v="39"/>
    <x v="1"/>
    <x v="0"/>
    <n v="1"/>
    <s v="2008_06_040.gif"/>
    <m/>
    <m/>
    <m/>
    <b v="0"/>
    <n v="0"/>
    <x v="1"/>
    <n v="662"/>
    <s v="Newton's 2nd Law (F=MA)"/>
    <n v="5150"/>
    <x v="13"/>
    <m/>
    <m/>
    <m/>
    <m/>
    <m/>
    <m/>
    <m/>
    <m/>
    <m/>
    <m/>
    <m/>
    <m/>
    <m/>
    <m/>
    <m/>
    <m/>
    <m/>
    <m/>
    <m/>
    <m/>
    <m/>
    <m/>
    <m/>
    <m/>
    <m/>
    <m/>
    <n v="1"/>
    <m/>
    <m/>
    <m/>
    <m/>
    <m/>
    <m/>
    <m/>
    <m/>
    <m/>
    <m/>
    <m/>
    <m/>
    <m/>
    <m/>
    <m/>
    <m/>
    <m/>
    <m/>
    <m/>
    <m/>
    <m/>
    <m/>
    <m/>
    <m/>
    <m/>
    <m/>
    <m/>
    <m/>
    <m/>
    <m/>
    <m/>
    <m/>
    <m/>
  </r>
  <r>
    <x v="662"/>
    <n v="2008"/>
    <n v="6"/>
    <x v="40"/>
    <x v="0"/>
    <x v="0"/>
    <n v="3"/>
    <s v="2008_06_041.gif"/>
    <m/>
    <m/>
    <m/>
    <b v="0"/>
    <n v="0"/>
    <x v="1"/>
    <n v="663"/>
    <s v="Adding Vectors"/>
    <n v="5151"/>
    <x v="13"/>
    <m/>
    <m/>
    <m/>
    <m/>
    <m/>
    <m/>
    <m/>
    <m/>
    <m/>
    <m/>
    <m/>
    <n v="1"/>
    <m/>
    <m/>
    <m/>
    <m/>
    <m/>
    <m/>
    <m/>
    <m/>
    <m/>
    <m/>
    <m/>
    <m/>
    <m/>
    <m/>
    <m/>
    <m/>
    <m/>
    <m/>
    <m/>
    <m/>
    <m/>
    <m/>
    <m/>
    <m/>
    <m/>
    <m/>
    <m/>
    <m/>
    <m/>
    <m/>
    <m/>
    <m/>
    <m/>
    <m/>
    <m/>
    <m/>
    <m/>
    <m/>
    <m/>
    <m/>
    <m/>
    <m/>
    <m/>
    <m/>
    <m/>
    <m/>
    <m/>
    <m/>
  </r>
  <r>
    <x v="663"/>
    <n v="2008"/>
    <n v="6"/>
    <x v="41"/>
    <x v="3"/>
    <x v="2"/>
    <n v="2"/>
    <s v="2008_06_042.gif"/>
    <m/>
    <m/>
    <m/>
    <b v="0"/>
    <n v="0"/>
    <x v="1"/>
    <n v="664"/>
    <s v="Centripetal Motion - Calculation,Graph Interpretation"/>
    <n v="5152"/>
    <x v="13"/>
    <m/>
    <m/>
    <m/>
    <m/>
    <m/>
    <m/>
    <m/>
    <m/>
    <m/>
    <m/>
    <m/>
    <m/>
    <m/>
    <m/>
    <m/>
    <m/>
    <m/>
    <m/>
    <m/>
    <m/>
    <n v="1"/>
    <m/>
    <m/>
    <m/>
    <m/>
    <m/>
    <m/>
    <m/>
    <m/>
    <m/>
    <m/>
    <m/>
    <m/>
    <m/>
    <m/>
    <m/>
    <m/>
    <m/>
    <m/>
    <m/>
    <m/>
    <m/>
    <m/>
    <m/>
    <m/>
    <m/>
    <m/>
    <m/>
    <m/>
    <m/>
    <m/>
    <m/>
    <m/>
    <m/>
    <m/>
    <m/>
    <m/>
    <n v="1"/>
    <m/>
    <m/>
  </r>
  <r>
    <x v="664"/>
    <n v="2008"/>
    <n v="6"/>
    <x v="42"/>
    <x v="4"/>
    <x v="2"/>
    <n v="4"/>
    <s v="2008_06_043.gif"/>
    <m/>
    <m/>
    <m/>
    <b v="0"/>
    <n v="0"/>
    <x v="1"/>
    <n v="665"/>
    <s v="Conservation of Momentum,Mathematical Relationships (Numberless Problems)"/>
    <n v="5153"/>
    <x v="13"/>
    <m/>
    <m/>
    <m/>
    <m/>
    <m/>
    <m/>
    <m/>
    <m/>
    <m/>
    <m/>
    <m/>
    <m/>
    <m/>
    <m/>
    <m/>
    <m/>
    <m/>
    <m/>
    <m/>
    <m/>
    <m/>
    <m/>
    <m/>
    <m/>
    <m/>
    <m/>
    <m/>
    <m/>
    <n v="1"/>
    <m/>
    <m/>
    <m/>
    <m/>
    <m/>
    <m/>
    <m/>
    <m/>
    <m/>
    <m/>
    <m/>
    <m/>
    <m/>
    <m/>
    <m/>
    <m/>
    <m/>
    <m/>
    <m/>
    <m/>
    <m/>
    <m/>
    <m/>
    <m/>
    <m/>
    <m/>
    <m/>
    <m/>
    <m/>
    <n v="1"/>
    <m/>
  </r>
  <r>
    <x v="665"/>
    <n v="2008"/>
    <n v="6"/>
    <x v="43"/>
    <x v="11"/>
    <x v="0"/>
    <n v="4"/>
    <s v="2008_06_044.gif"/>
    <m/>
    <m/>
    <m/>
    <b v="0"/>
    <n v="0"/>
    <x v="1"/>
    <n v="666"/>
    <s v="Units"/>
    <n v="5154"/>
    <x v="13"/>
    <m/>
    <m/>
    <m/>
    <n v="1"/>
    <m/>
    <m/>
    <m/>
    <m/>
    <m/>
    <m/>
    <m/>
    <m/>
    <m/>
    <m/>
    <m/>
    <m/>
    <m/>
    <m/>
    <m/>
    <m/>
    <m/>
    <m/>
    <m/>
    <m/>
    <m/>
    <m/>
    <m/>
    <m/>
    <m/>
    <m/>
    <m/>
    <m/>
    <m/>
    <m/>
    <m/>
    <m/>
    <m/>
    <m/>
    <m/>
    <m/>
    <m/>
    <m/>
    <m/>
    <m/>
    <m/>
    <m/>
    <m/>
    <m/>
    <m/>
    <m/>
    <m/>
    <m/>
    <m/>
    <m/>
    <m/>
    <m/>
    <m/>
    <m/>
    <m/>
    <m/>
  </r>
  <r>
    <x v="666"/>
    <n v="2008"/>
    <n v="6"/>
    <x v="44"/>
    <x v="5"/>
    <x v="2"/>
    <n v="1"/>
    <s v="2008_06_045.gif"/>
    <m/>
    <m/>
    <m/>
    <b v="0"/>
    <n v="0"/>
    <x v="1"/>
    <n v="667"/>
    <s v="Gravitational PE,Graph Interpretation"/>
    <n v="5155"/>
    <x v="13"/>
    <m/>
    <m/>
    <m/>
    <m/>
    <m/>
    <m/>
    <m/>
    <m/>
    <m/>
    <m/>
    <m/>
    <m/>
    <m/>
    <m/>
    <m/>
    <m/>
    <m/>
    <m/>
    <m/>
    <m/>
    <m/>
    <m/>
    <m/>
    <m/>
    <m/>
    <m/>
    <m/>
    <m/>
    <m/>
    <m/>
    <m/>
    <m/>
    <n v="1"/>
    <m/>
    <m/>
    <m/>
    <m/>
    <m/>
    <m/>
    <m/>
    <m/>
    <m/>
    <m/>
    <m/>
    <m/>
    <m/>
    <m/>
    <m/>
    <m/>
    <m/>
    <m/>
    <m/>
    <m/>
    <m/>
    <m/>
    <m/>
    <m/>
    <n v="1"/>
    <m/>
    <m/>
  </r>
  <r>
    <x v="667"/>
    <n v="2008"/>
    <n v="6"/>
    <x v="45"/>
    <x v="8"/>
    <x v="0"/>
    <n v="3"/>
    <s v="2008_06_046.gif"/>
    <m/>
    <m/>
    <m/>
    <b v="0"/>
    <n v="0"/>
    <x v="1"/>
    <n v="668"/>
    <s v="Electrical Definitions"/>
    <n v="5156"/>
    <x v="13"/>
    <m/>
    <m/>
    <m/>
    <m/>
    <m/>
    <m/>
    <m/>
    <m/>
    <m/>
    <m/>
    <m/>
    <m/>
    <m/>
    <m/>
    <m/>
    <m/>
    <m/>
    <m/>
    <m/>
    <m/>
    <m/>
    <m/>
    <m/>
    <m/>
    <m/>
    <m/>
    <m/>
    <m/>
    <m/>
    <m/>
    <m/>
    <m/>
    <m/>
    <m/>
    <m/>
    <m/>
    <m/>
    <m/>
    <m/>
    <m/>
    <m/>
    <m/>
    <m/>
    <m/>
    <m/>
    <m/>
    <m/>
    <m/>
    <n v="1"/>
    <m/>
    <m/>
    <m/>
    <m/>
    <m/>
    <m/>
    <m/>
    <m/>
    <m/>
    <m/>
    <m/>
  </r>
  <r>
    <x v="668"/>
    <n v="2008"/>
    <n v="6"/>
    <x v="46"/>
    <x v="8"/>
    <x v="0"/>
    <n v="1"/>
    <s v="2008_06_047.gif"/>
    <m/>
    <m/>
    <m/>
    <b v="0"/>
    <n v="0"/>
    <x v="1"/>
    <n v="669"/>
    <s v="Electrical Power"/>
    <n v="5157"/>
    <x v="13"/>
    <m/>
    <m/>
    <m/>
    <m/>
    <m/>
    <m/>
    <m/>
    <m/>
    <m/>
    <m/>
    <m/>
    <m/>
    <m/>
    <m/>
    <m/>
    <m/>
    <m/>
    <m/>
    <m/>
    <m/>
    <m/>
    <m/>
    <m/>
    <m/>
    <m/>
    <m/>
    <m/>
    <m/>
    <m/>
    <m/>
    <m/>
    <m/>
    <m/>
    <m/>
    <m/>
    <m/>
    <m/>
    <m/>
    <m/>
    <m/>
    <m/>
    <m/>
    <m/>
    <m/>
    <m/>
    <m/>
    <m/>
    <m/>
    <m/>
    <n v="1"/>
    <m/>
    <m/>
    <m/>
    <m/>
    <m/>
    <m/>
    <m/>
    <m/>
    <m/>
    <m/>
  </r>
  <r>
    <x v="669"/>
    <n v="2008"/>
    <n v="6"/>
    <x v="47"/>
    <x v="7"/>
    <x v="0"/>
    <n v="2"/>
    <s v="2008_06_048.gif"/>
    <m/>
    <m/>
    <m/>
    <b v="0"/>
    <n v="0"/>
    <x v="1"/>
    <n v="670"/>
    <s v="Wave Vocabulary"/>
    <n v="5158"/>
    <x v="13"/>
    <m/>
    <m/>
    <m/>
    <m/>
    <m/>
    <m/>
    <m/>
    <m/>
    <m/>
    <m/>
    <m/>
    <m/>
    <m/>
    <m/>
    <m/>
    <m/>
    <m/>
    <m/>
    <m/>
    <m/>
    <m/>
    <m/>
    <m/>
    <m/>
    <m/>
    <m/>
    <m/>
    <m/>
    <m/>
    <m/>
    <m/>
    <m/>
    <m/>
    <m/>
    <m/>
    <m/>
    <m/>
    <m/>
    <m/>
    <n v="1"/>
    <m/>
    <m/>
    <m/>
    <m/>
    <m/>
    <m/>
    <m/>
    <m/>
    <m/>
    <m/>
    <m/>
    <m/>
    <m/>
    <m/>
    <m/>
    <m/>
    <m/>
    <m/>
    <m/>
    <m/>
  </r>
  <r>
    <x v="670"/>
    <n v="2008"/>
    <n v="6"/>
    <x v="48"/>
    <x v="10"/>
    <x v="0"/>
    <n v="3"/>
    <s v="2008_06_049.gif"/>
    <m/>
    <m/>
    <m/>
    <b v="0"/>
    <n v="0"/>
    <x v="1"/>
    <n v="671"/>
    <s v="Energy/Frequency of Photon"/>
    <n v="5159"/>
    <x v="13"/>
    <m/>
    <m/>
    <m/>
    <m/>
    <m/>
    <m/>
    <m/>
    <m/>
    <m/>
    <m/>
    <m/>
    <m/>
    <m/>
    <m/>
    <m/>
    <m/>
    <m/>
    <m/>
    <m/>
    <m/>
    <m/>
    <m/>
    <m/>
    <m/>
    <m/>
    <m/>
    <m/>
    <m/>
    <m/>
    <m/>
    <m/>
    <m/>
    <m/>
    <m/>
    <m/>
    <m/>
    <m/>
    <m/>
    <m/>
    <m/>
    <m/>
    <m/>
    <m/>
    <m/>
    <m/>
    <m/>
    <m/>
    <m/>
    <m/>
    <m/>
    <m/>
    <m/>
    <m/>
    <m/>
    <n v="1"/>
    <m/>
    <m/>
    <m/>
    <m/>
    <m/>
  </r>
  <r>
    <x v="671"/>
    <n v="2008"/>
    <n v="6"/>
    <x v="49"/>
    <x v="10"/>
    <x v="0"/>
    <n v="4"/>
    <s v="2008_06_050.gif"/>
    <m/>
    <m/>
    <m/>
    <b v="0"/>
    <n v="0"/>
    <x v="1"/>
    <n v="672"/>
    <s v="Particle Physics"/>
    <n v="5160"/>
    <x v="13"/>
    <m/>
    <m/>
    <m/>
    <m/>
    <m/>
    <m/>
    <m/>
    <m/>
    <m/>
    <m/>
    <m/>
    <m/>
    <m/>
    <m/>
    <m/>
    <m/>
    <m/>
    <m/>
    <m/>
    <m/>
    <m/>
    <m/>
    <m/>
    <m/>
    <m/>
    <m/>
    <m/>
    <m/>
    <m/>
    <m/>
    <m/>
    <m/>
    <m/>
    <m/>
    <m/>
    <m/>
    <m/>
    <m/>
    <m/>
    <m/>
    <m/>
    <m/>
    <m/>
    <m/>
    <m/>
    <m/>
    <m/>
    <m/>
    <m/>
    <m/>
    <m/>
    <m/>
    <m/>
    <m/>
    <m/>
    <m/>
    <n v="1"/>
    <m/>
    <m/>
    <m/>
  </r>
  <r>
    <x v="672"/>
    <n v="2008"/>
    <n v="6"/>
    <x v="50"/>
    <x v="10"/>
    <x v="0"/>
    <n v="2"/>
    <s v="2008_06_051.gif"/>
    <m/>
    <m/>
    <m/>
    <b v="0"/>
    <n v="0"/>
    <x v="1"/>
    <n v="673"/>
    <s v="Particle Physics"/>
    <n v="5161"/>
    <x v="13"/>
    <m/>
    <m/>
    <m/>
    <m/>
    <m/>
    <m/>
    <m/>
    <m/>
    <m/>
    <m/>
    <m/>
    <m/>
    <m/>
    <m/>
    <m/>
    <m/>
    <m/>
    <m/>
    <m/>
    <m/>
    <m/>
    <m/>
    <m/>
    <m/>
    <m/>
    <m/>
    <m/>
    <m/>
    <m/>
    <m/>
    <m/>
    <m/>
    <m/>
    <m/>
    <m/>
    <m/>
    <m/>
    <m/>
    <m/>
    <m/>
    <m/>
    <m/>
    <m/>
    <m/>
    <m/>
    <m/>
    <m/>
    <m/>
    <m/>
    <m/>
    <m/>
    <m/>
    <m/>
    <m/>
    <m/>
    <m/>
    <n v="1"/>
    <m/>
    <m/>
    <m/>
  </r>
  <r>
    <x v="673"/>
    <n v="2009"/>
    <n v="1"/>
    <x v="0"/>
    <x v="1"/>
    <x v="0"/>
    <n v="4"/>
    <s v="2009_01_001.gif"/>
    <m/>
    <m/>
    <m/>
    <b v="0"/>
    <n v="0"/>
    <x v="0"/>
    <n v="674"/>
    <s v="Newton's 2nd Law (F=MA)"/>
    <n v="5187"/>
    <x v="14"/>
    <m/>
    <m/>
    <m/>
    <m/>
    <m/>
    <m/>
    <m/>
    <m/>
    <m/>
    <m/>
    <m/>
    <m/>
    <m/>
    <m/>
    <m/>
    <m/>
    <m/>
    <m/>
    <m/>
    <m/>
    <m/>
    <m/>
    <m/>
    <m/>
    <m/>
    <m/>
    <n v="1"/>
    <m/>
    <m/>
    <m/>
    <m/>
    <m/>
    <m/>
    <m/>
    <m/>
    <m/>
    <m/>
    <m/>
    <m/>
    <m/>
    <m/>
    <m/>
    <m/>
    <m/>
    <m/>
    <m/>
    <m/>
    <m/>
    <m/>
    <m/>
    <m/>
    <m/>
    <m/>
    <m/>
    <m/>
    <m/>
    <m/>
    <m/>
    <m/>
    <m/>
  </r>
  <r>
    <x v="674"/>
    <n v="2009"/>
    <n v="1"/>
    <x v="1"/>
    <x v="1"/>
    <x v="0"/>
    <n v="2"/>
    <s v="2009_01_002.gif"/>
    <m/>
    <m/>
    <m/>
    <b v="0"/>
    <n v="0"/>
    <x v="0"/>
    <n v="675"/>
    <s v="Hooke's Law"/>
    <n v="5188"/>
    <x v="14"/>
    <m/>
    <m/>
    <m/>
    <m/>
    <m/>
    <m/>
    <m/>
    <m/>
    <m/>
    <m/>
    <m/>
    <m/>
    <m/>
    <m/>
    <m/>
    <m/>
    <m/>
    <m/>
    <m/>
    <m/>
    <m/>
    <m/>
    <m/>
    <n v="1"/>
    <m/>
    <m/>
    <m/>
    <m/>
    <m/>
    <m/>
    <m/>
    <m/>
    <m/>
    <m/>
    <m/>
    <m/>
    <m/>
    <m/>
    <m/>
    <m/>
    <m/>
    <m/>
    <m/>
    <m/>
    <m/>
    <m/>
    <m/>
    <m/>
    <m/>
    <m/>
    <m/>
    <m/>
    <m/>
    <m/>
    <m/>
    <m/>
    <m/>
    <m/>
    <m/>
    <m/>
  </r>
  <r>
    <x v="675"/>
    <n v="2009"/>
    <n v="1"/>
    <x v="2"/>
    <x v="1"/>
    <x v="0"/>
    <n v="3"/>
    <s v="2009_01_003.gif"/>
    <m/>
    <m/>
    <m/>
    <b v="0"/>
    <n v="0"/>
    <x v="0"/>
    <n v="676"/>
    <s v="Weight and Mass"/>
    <n v="5189"/>
    <x v="14"/>
    <m/>
    <m/>
    <m/>
    <m/>
    <m/>
    <m/>
    <m/>
    <m/>
    <m/>
    <m/>
    <m/>
    <m/>
    <m/>
    <m/>
    <m/>
    <m/>
    <m/>
    <m/>
    <m/>
    <m/>
    <m/>
    <m/>
    <m/>
    <m/>
    <m/>
    <m/>
    <m/>
    <n v="1"/>
    <m/>
    <m/>
    <m/>
    <m/>
    <m/>
    <m/>
    <m/>
    <m/>
    <m/>
    <m/>
    <m/>
    <m/>
    <m/>
    <m/>
    <m/>
    <m/>
    <m/>
    <m/>
    <m/>
    <m/>
    <m/>
    <m/>
    <m/>
    <m/>
    <m/>
    <m/>
    <m/>
    <m/>
    <m/>
    <m/>
    <m/>
    <m/>
  </r>
  <r>
    <x v="676"/>
    <n v="2009"/>
    <n v="1"/>
    <x v="3"/>
    <x v="2"/>
    <x v="0"/>
    <n v="1"/>
    <s v="2009_01_004.gif"/>
    <m/>
    <m/>
    <m/>
    <b v="0"/>
    <n v="0"/>
    <x v="0"/>
    <n v="677"/>
    <s v="Basic Motion Concepts"/>
    <n v="5190"/>
    <x v="14"/>
    <m/>
    <m/>
    <m/>
    <m/>
    <m/>
    <m/>
    <m/>
    <n v="1"/>
    <m/>
    <m/>
    <m/>
    <m/>
    <m/>
    <m/>
    <m/>
    <m/>
    <m/>
    <m/>
    <m/>
    <m/>
    <m/>
    <m/>
    <m/>
    <m/>
    <m/>
    <m/>
    <m/>
    <m/>
    <m/>
    <m/>
    <m/>
    <m/>
    <m/>
    <m/>
    <m/>
    <m/>
    <m/>
    <m/>
    <m/>
    <m/>
    <m/>
    <m/>
    <m/>
    <m/>
    <m/>
    <m/>
    <m/>
    <m/>
    <m/>
    <m/>
    <m/>
    <m/>
    <m/>
    <m/>
    <m/>
    <m/>
    <m/>
    <m/>
    <m/>
    <m/>
  </r>
  <r>
    <x v="677"/>
    <n v="2009"/>
    <n v="1"/>
    <x v="4"/>
    <x v="2"/>
    <x v="0"/>
    <n v="3"/>
    <s v="2009_01_005.gif"/>
    <m/>
    <m/>
    <m/>
    <b v="0"/>
    <n v="0"/>
    <x v="0"/>
    <n v="678"/>
    <s v="Vertical Constant Acceleration Problems"/>
    <n v="5191"/>
    <x v="14"/>
    <m/>
    <m/>
    <m/>
    <m/>
    <m/>
    <m/>
    <m/>
    <m/>
    <m/>
    <m/>
    <n v="1"/>
    <m/>
    <m/>
    <m/>
    <m/>
    <m/>
    <m/>
    <m/>
    <m/>
    <m/>
    <m/>
    <m/>
    <m/>
    <m/>
    <m/>
    <m/>
    <m/>
    <m/>
    <m/>
    <m/>
    <m/>
    <m/>
    <m/>
    <m/>
    <m/>
    <m/>
    <m/>
    <m/>
    <m/>
    <m/>
    <m/>
    <m/>
    <m/>
    <m/>
    <m/>
    <m/>
    <m/>
    <m/>
    <m/>
    <m/>
    <m/>
    <m/>
    <m/>
    <m/>
    <m/>
    <m/>
    <m/>
    <m/>
    <m/>
    <m/>
  </r>
  <r>
    <x v="678"/>
    <n v="2009"/>
    <n v="1"/>
    <x v="5"/>
    <x v="1"/>
    <x v="0"/>
    <n v="3"/>
    <s v="2009_01_006.gif"/>
    <m/>
    <m/>
    <m/>
    <b v="0"/>
    <n v="0"/>
    <x v="0"/>
    <n v="679"/>
    <s v="Newton's 1st Law (Inertia)"/>
    <n v="5192"/>
    <x v="14"/>
    <m/>
    <m/>
    <m/>
    <m/>
    <m/>
    <m/>
    <m/>
    <m/>
    <m/>
    <m/>
    <m/>
    <m/>
    <m/>
    <m/>
    <m/>
    <m/>
    <m/>
    <m/>
    <m/>
    <m/>
    <m/>
    <m/>
    <m/>
    <m/>
    <m/>
    <n v="1"/>
    <m/>
    <m/>
    <m/>
    <m/>
    <m/>
    <m/>
    <m/>
    <m/>
    <m/>
    <m/>
    <m/>
    <m/>
    <m/>
    <m/>
    <m/>
    <m/>
    <m/>
    <m/>
    <m/>
    <m/>
    <m/>
    <m/>
    <m/>
    <m/>
    <m/>
    <m/>
    <m/>
    <m/>
    <m/>
    <m/>
    <m/>
    <m/>
    <m/>
    <m/>
  </r>
  <r>
    <x v="679"/>
    <n v="2009"/>
    <n v="1"/>
    <x v="6"/>
    <x v="3"/>
    <x v="2"/>
    <n v="4"/>
    <s v="2009_01_007.gif"/>
    <m/>
    <m/>
    <m/>
    <b v="0"/>
    <n v="0"/>
    <x v="0"/>
    <n v="680"/>
    <s v="Centripetal Motion - Calculation,Mathematical Relationships (Numberless Problems)"/>
    <n v="5193"/>
    <x v="14"/>
    <m/>
    <m/>
    <m/>
    <m/>
    <m/>
    <m/>
    <m/>
    <m/>
    <m/>
    <m/>
    <m/>
    <m/>
    <m/>
    <m/>
    <m/>
    <m/>
    <m/>
    <m/>
    <m/>
    <m/>
    <n v="1"/>
    <m/>
    <m/>
    <m/>
    <m/>
    <m/>
    <m/>
    <m/>
    <m/>
    <m/>
    <m/>
    <m/>
    <m/>
    <m/>
    <m/>
    <m/>
    <m/>
    <m/>
    <m/>
    <m/>
    <m/>
    <m/>
    <m/>
    <m/>
    <m/>
    <m/>
    <m/>
    <m/>
    <m/>
    <m/>
    <m/>
    <m/>
    <m/>
    <m/>
    <m/>
    <m/>
    <m/>
    <m/>
    <n v="1"/>
    <m/>
  </r>
  <r>
    <x v="680"/>
    <n v="2009"/>
    <n v="1"/>
    <x v="7"/>
    <x v="3"/>
    <x v="1"/>
    <n v="3"/>
    <s v="2009_01_008.gif"/>
    <m/>
    <m/>
    <m/>
    <b v="0"/>
    <n v="0"/>
    <x v="0"/>
    <n v="681"/>
    <s v="Vector Components,Horizontal Projectile Range"/>
    <n v="5194"/>
    <x v="14"/>
    <m/>
    <m/>
    <m/>
    <m/>
    <m/>
    <m/>
    <m/>
    <m/>
    <m/>
    <m/>
    <m/>
    <m/>
    <n v="1"/>
    <m/>
    <m/>
    <m/>
    <n v="1"/>
    <m/>
    <m/>
    <m/>
    <m/>
    <m/>
    <m/>
    <m/>
    <m/>
    <m/>
    <m/>
    <m/>
    <m/>
    <m/>
    <m/>
    <m/>
    <m/>
    <m/>
    <m/>
    <m/>
    <m/>
    <m/>
    <m/>
    <m/>
    <m/>
    <m/>
    <m/>
    <m/>
    <m/>
    <m/>
    <m/>
    <m/>
    <m/>
    <m/>
    <m/>
    <m/>
    <m/>
    <m/>
    <m/>
    <m/>
    <m/>
    <m/>
    <m/>
    <m/>
  </r>
  <r>
    <x v="681"/>
    <n v="2009"/>
    <n v="1"/>
    <x v="8"/>
    <x v="5"/>
    <x v="0"/>
    <n v="2"/>
    <s v="2009_01_009.gif"/>
    <m/>
    <m/>
    <m/>
    <b v="0"/>
    <n v="0"/>
    <x v="0"/>
    <n v="682"/>
    <s v="Work/Power"/>
    <n v="5195"/>
    <x v="14"/>
    <m/>
    <m/>
    <m/>
    <m/>
    <m/>
    <m/>
    <m/>
    <m/>
    <m/>
    <m/>
    <m/>
    <m/>
    <m/>
    <m/>
    <m/>
    <m/>
    <m/>
    <m/>
    <m/>
    <m/>
    <m/>
    <m/>
    <m/>
    <m/>
    <m/>
    <m/>
    <m/>
    <m/>
    <m/>
    <m/>
    <m/>
    <m/>
    <m/>
    <m/>
    <m/>
    <n v="1"/>
    <m/>
    <m/>
    <m/>
    <m/>
    <m/>
    <m/>
    <m/>
    <m/>
    <m/>
    <m/>
    <m/>
    <m/>
    <m/>
    <m/>
    <m/>
    <m/>
    <m/>
    <m/>
    <m/>
    <m/>
    <m/>
    <m/>
    <m/>
    <m/>
  </r>
  <r>
    <x v="682"/>
    <n v="2009"/>
    <n v="1"/>
    <x v="9"/>
    <x v="5"/>
    <x v="2"/>
    <n v="4"/>
    <s v="2009_01_010.gif"/>
    <m/>
    <m/>
    <m/>
    <b v="0"/>
    <n v="0"/>
    <x v="0"/>
    <n v="683"/>
    <s v="Kinetic Energy,Mathematical Relationships (Numberless Problems)"/>
    <n v="5196"/>
    <x v="14"/>
    <m/>
    <m/>
    <m/>
    <m/>
    <m/>
    <m/>
    <m/>
    <m/>
    <m/>
    <m/>
    <m/>
    <m/>
    <m/>
    <m/>
    <m/>
    <m/>
    <m/>
    <m/>
    <m/>
    <m/>
    <m/>
    <m/>
    <m/>
    <m/>
    <m/>
    <m/>
    <m/>
    <m/>
    <m/>
    <m/>
    <m/>
    <m/>
    <m/>
    <n v="1"/>
    <m/>
    <m/>
    <m/>
    <m/>
    <m/>
    <m/>
    <m/>
    <m/>
    <m/>
    <m/>
    <m/>
    <m/>
    <m/>
    <m/>
    <m/>
    <m/>
    <m/>
    <m/>
    <m/>
    <m/>
    <m/>
    <m/>
    <m/>
    <m/>
    <n v="1"/>
    <m/>
  </r>
  <r>
    <x v="683"/>
    <n v="2009"/>
    <n v="1"/>
    <x v="10"/>
    <x v="1"/>
    <x v="0"/>
    <n v="1"/>
    <s v="2009_01_011.gif"/>
    <m/>
    <m/>
    <m/>
    <b v="0"/>
    <n v="0"/>
    <x v="0"/>
    <n v="684"/>
    <s v="Friction"/>
    <n v="5197"/>
    <x v="14"/>
    <m/>
    <m/>
    <m/>
    <m/>
    <m/>
    <m/>
    <m/>
    <m/>
    <m/>
    <m/>
    <m/>
    <m/>
    <m/>
    <m/>
    <m/>
    <m/>
    <m/>
    <m/>
    <m/>
    <m/>
    <m/>
    <n v="1"/>
    <m/>
    <m/>
    <m/>
    <m/>
    <m/>
    <m/>
    <m/>
    <m/>
    <m/>
    <m/>
    <m/>
    <m/>
    <m/>
    <m/>
    <m/>
    <m/>
    <m/>
    <m/>
    <m/>
    <m/>
    <m/>
    <m/>
    <m/>
    <m/>
    <m/>
    <m/>
    <m/>
    <m/>
    <m/>
    <m/>
    <m/>
    <m/>
    <m/>
    <m/>
    <m/>
    <m/>
    <m/>
    <m/>
  </r>
  <r>
    <x v="684"/>
    <n v="2009"/>
    <n v="1"/>
    <x v="11"/>
    <x v="5"/>
    <x v="0"/>
    <n v="1"/>
    <s v="2009_01_012.gif"/>
    <m/>
    <m/>
    <m/>
    <b v="0"/>
    <n v="0"/>
    <x v="0"/>
    <n v="685"/>
    <s v="PE of Spring"/>
    <n v="5198"/>
    <x v="14"/>
    <m/>
    <m/>
    <m/>
    <m/>
    <m/>
    <m/>
    <m/>
    <m/>
    <m/>
    <m/>
    <m/>
    <m/>
    <m/>
    <m/>
    <m/>
    <m/>
    <m/>
    <m/>
    <m/>
    <m/>
    <m/>
    <m/>
    <m/>
    <m/>
    <m/>
    <m/>
    <m/>
    <m/>
    <m/>
    <m/>
    <m/>
    <m/>
    <m/>
    <m/>
    <n v="1"/>
    <m/>
    <m/>
    <m/>
    <m/>
    <m/>
    <m/>
    <m/>
    <m/>
    <m/>
    <m/>
    <m/>
    <m/>
    <m/>
    <m/>
    <m/>
    <m/>
    <m/>
    <m/>
    <m/>
    <m/>
    <m/>
    <m/>
    <m/>
    <m/>
    <m/>
  </r>
  <r>
    <x v="685"/>
    <n v="2009"/>
    <n v="1"/>
    <x v="12"/>
    <x v="5"/>
    <x v="0"/>
    <n v="3"/>
    <s v="2009_01_013.gif"/>
    <m/>
    <m/>
    <m/>
    <b v="0"/>
    <n v="0"/>
    <x v="0"/>
    <n v="686"/>
    <s v="Gravitational PE"/>
    <n v="5199"/>
    <x v="14"/>
    <m/>
    <m/>
    <m/>
    <m/>
    <m/>
    <m/>
    <m/>
    <m/>
    <m/>
    <m/>
    <m/>
    <m/>
    <m/>
    <m/>
    <m/>
    <m/>
    <m/>
    <m/>
    <m/>
    <m/>
    <m/>
    <m/>
    <m/>
    <m/>
    <m/>
    <m/>
    <m/>
    <m/>
    <m/>
    <m/>
    <m/>
    <m/>
    <n v="1"/>
    <m/>
    <m/>
    <m/>
    <m/>
    <m/>
    <m/>
    <m/>
    <m/>
    <m/>
    <m/>
    <m/>
    <m/>
    <m/>
    <m/>
    <m/>
    <m/>
    <m/>
    <m/>
    <m/>
    <m/>
    <m/>
    <m/>
    <m/>
    <m/>
    <m/>
    <m/>
    <m/>
  </r>
  <r>
    <x v="686"/>
    <n v="2009"/>
    <n v="1"/>
    <x v="13"/>
    <x v="5"/>
    <x v="0"/>
    <n v="4"/>
    <s v="2009_01_014.gif"/>
    <m/>
    <m/>
    <m/>
    <b v="0"/>
    <n v="0"/>
    <x v="0"/>
    <n v="687"/>
    <s v="Gravitational PE"/>
    <n v="5200"/>
    <x v="14"/>
    <m/>
    <m/>
    <m/>
    <m/>
    <m/>
    <m/>
    <m/>
    <m/>
    <m/>
    <m/>
    <m/>
    <m/>
    <m/>
    <m/>
    <m/>
    <m/>
    <m/>
    <m/>
    <m/>
    <m/>
    <m/>
    <m/>
    <m/>
    <m/>
    <m/>
    <m/>
    <m/>
    <m/>
    <m/>
    <m/>
    <m/>
    <m/>
    <n v="1"/>
    <m/>
    <m/>
    <m/>
    <m/>
    <m/>
    <m/>
    <m/>
    <m/>
    <m/>
    <m/>
    <m/>
    <m/>
    <m/>
    <m/>
    <m/>
    <m/>
    <m/>
    <m/>
    <m/>
    <m/>
    <m/>
    <m/>
    <m/>
    <m/>
    <m/>
    <m/>
    <m/>
  </r>
  <r>
    <x v="687"/>
    <n v="2009"/>
    <n v="1"/>
    <x v="14"/>
    <x v="8"/>
    <x v="0"/>
    <n v="1"/>
    <s v="2009_01_015.gif"/>
    <m/>
    <m/>
    <m/>
    <b v="0"/>
    <n v="0"/>
    <x v="0"/>
    <n v="688"/>
    <s v="Ohm's Law"/>
    <n v="5201"/>
    <x v="14"/>
    <m/>
    <m/>
    <m/>
    <m/>
    <m/>
    <m/>
    <m/>
    <m/>
    <m/>
    <m/>
    <m/>
    <m/>
    <m/>
    <m/>
    <m/>
    <m/>
    <m/>
    <m/>
    <m/>
    <m/>
    <m/>
    <m/>
    <m/>
    <m/>
    <m/>
    <m/>
    <m/>
    <m/>
    <m/>
    <m/>
    <m/>
    <m/>
    <m/>
    <m/>
    <m/>
    <m/>
    <m/>
    <m/>
    <m/>
    <m/>
    <m/>
    <m/>
    <m/>
    <m/>
    <m/>
    <m/>
    <m/>
    <m/>
    <m/>
    <m/>
    <n v="1"/>
    <m/>
    <m/>
    <m/>
    <m/>
    <m/>
    <m/>
    <m/>
    <m/>
    <m/>
  </r>
  <r>
    <x v="688"/>
    <n v="2009"/>
    <n v="1"/>
    <x v="15"/>
    <x v="8"/>
    <x v="0"/>
    <n v="2"/>
    <s v="2009_01_016.gif"/>
    <m/>
    <m/>
    <m/>
    <b v="0"/>
    <n v="0"/>
    <x v="0"/>
    <n v="689"/>
    <s v="Resistance of Wire"/>
    <n v="5202"/>
    <x v="14"/>
    <m/>
    <m/>
    <m/>
    <m/>
    <m/>
    <m/>
    <m/>
    <m/>
    <m/>
    <m/>
    <m/>
    <m/>
    <m/>
    <m/>
    <m/>
    <m/>
    <m/>
    <m/>
    <m/>
    <m/>
    <m/>
    <m/>
    <m/>
    <m/>
    <m/>
    <m/>
    <m/>
    <m/>
    <m/>
    <m/>
    <m/>
    <m/>
    <m/>
    <m/>
    <m/>
    <m/>
    <m/>
    <m/>
    <m/>
    <m/>
    <m/>
    <m/>
    <m/>
    <m/>
    <m/>
    <m/>
    <m/>
    <m/>
    <m/>
    <m/>
    <m/>
    <n v="1"/>
    <m/>
    <m/>
    <m/>
    <m/>
    <m/>
    <m/>
    <m/>
    <m/>
  </r>
  <r>
    <x v="689"/>
    <n v="2009"/>
    <n v="1"/>
    <x v="16"/>
    <x v="8"/>
    <x v="2"/>
    <n v="2"/>
    <s v="2009_01_017.gif"/>
    <m/>
    <m/>
    <m/>
    <b v="0"/>
    <n v="0"/>
    <x v="0"/>
    <n v="690"/>
    <s v="Series and Parallel,Mathematical Relationships (Numberless Problems)"/>
    <n v="5203"/>
    <x v="14"/>
    <m/>
    <m/>
    <m/>
    <m/>
    <m/>
    <m/>
    <m/>
    <m/>
    <m/>
    <m/>
    <m/>
    <m/>
    <m/>
    <m/>
    <m/>
    <m/>
    <m/>
    <m/>
    <m/>
    <m/>
    <m/>
    <m/>
    <m/>
    <m/>
    <m/>
    <m/>
    <m/>
    <m/>
    <m/>
    <m/>
    <m/>
    <m/>
    <m/>
    <m/>
    <m/>
    <m/>
    <m/>
    <m/>
    <m/>
    <m/>
    <m/>
    <m/>
    <m/>
    <m/>
    <m/>
    <m/>
    <m/>
    <m/>
    <m/>
    <m/>
    <m/>
    <m/>
    <n v="1"/>
    <m/>
    <m/>
    <m/>
    <m/>
    <m/>
    <n v="1"/>
    <m/>
  </r>
  <r>
    <x v="690"/>
    <n v="2009"/>
    <n v="1"/>
    <x v="17"/>
    <x v="8"/>
    <x v="0"/>
    <n v="2"/>
    <s v="2009_01_018.gif"/>
    <m/>
    <m/>
    <m/>
    <b v="0"/>
    <n v="0"/>
    <x v="0"/>
    <n v="691"/>
    <s v="Series and Parallel"/>
    <n v="5204"/>
    <x v="14"/>
    <m/>
    <m/>
    <m/>
    <m/>
    <m/>
    <m/>
    <m/>
    <m/>
    <m/>
    <m/>
    <m/>
    <m/>
    <m/>
    <m/>
    <m/>
    <m/>
    <m/>
    <m/>
    <m/>
    <m/>
    <m/>
    <m/>
    <m/>
    <m/>
    <m/>
    <m/>
    <m/>
    <m/>
    <m/>
    <m/>
    <m/>
    <m/>
    <m/>
    <m/>
    <m/>
    <m/>
    <m/>
    <m/>
    <m/>
    <m/>
    <m/>
    <m/>
    <m/>
    <m/>
    <m/>
    <m/>
    <m/>
    <m/>
    <m/>
    <m/>
    <m/>
    <m/>
    <n v="1"/>
    <m/>
    <m/>
    <m/>
    <m/>
    <m/>
    <m/>
    <m/>
  </r>
  <r>
    <x v="691"/>
    <n v="2009"/>
    <n v="1"/>
    <x v="18"/>
    <x v="12"/>
    <x v="13"/>
    <n v="1"/>
    <s v="2009_01_019.gif"/>
    <m/>
    <m/>
    <m/>
    <b v="0"/>
    <n v="0"/>
    <x v="0"/>
    <n v="692"/>
    <s v="Electric Fields and Potential"/>
    <n v="5205"/>
    <x v="14"/>
    <m/>
    <m/>
    <m/>
    <m/>
    <m/>
    <m/>
    <m/>
    <m/>
    <m/>
    <m/>
    <m/>
    <m/>
    <m/>
    <m/>
    <m/>
    <m/>
    <m/>
    <m/>
    <m/>
    <m/>
    <m/>
    <m/>
    <m/>
    <m/>
    <m/>
    <m/>
    <m/>
    <m/>
    <m/>
    <m/>
    <m/>
    <m/>
    <m/>
    <m/>
    <m/>
    <m/>
    <m/>
    <m/>
    <m/>
    <m/>
    <m/>
    <m/>
    <m/>
    <m/>
    <m/>
    <m/>
    <m/>
    <n v="1"/>
    <m/>
    <m/>
    <m/>
    <m/>
    <m/>
    <m/>
    <m/>
    <m/>
    <m/>
    <m/>
    <m/>
    <m/>
  </r>
  <r>
    <x v="692"/>
    <n v="2009"/>
    <n v="1"/>
    <x v="19"/>
    <x v="8"/>
    <x v="0"/>
    <n v="1"/>
    <s v="2009_01_020.gif"/>
    <m/>
    <m/>
    <m/>
    <b v="0"/>
    <n v="0"/>
    <x v="0"/>
    <n v="693"/>
    <s v="Electrical Definitions"/>
    <n v="5206"/>
    <x v="14"/>
    <m/>
    <m/>
    <m/>
    <m/>
    <m/>
    <m/>
    <m/>
    <m/>
    <m/>
    <m/>
    <m/>
    <m/>
    <m/>
    <m/>
    <m/>
    <m/>
    <m/>
    <m/>
    <m/>
    <m/>
    <m/>
    <m/>
    <m/>
    <m/>
    <m/>
    <m/>
    <m/>
    <m/>
    <m/>
    <m/>
    <m/>
    <m/>
    <m/>
    <m/>
    <m/>
    <m/>
    <m/>
    <m/>
    <m/>
    <m/>
    <m/>
    <m/>
    <m/>
    <m/>
    <m/>
    <m/>
    <m/>
    <m/>
    <n v="1"/>
    <m/>
    <m/>
    <m/>
    <m/>
    <m/>
    <m/>
    <m/>
    <m/>
    <m/>
    <m/>
    <m/>
  </r>
  <r>
    <x v="693"/>
    <n v="2009"/>
    <n v="1"/>
    <x v="20"/>
    <x v="12"/>
    <x v="4"/>
    <n v="3"/>
    <s v="2009_01_021.gif"/>
    <m/>
    <m/>
    <m/>
    <b v="0"/>
    <n v="0"/>
    <x v="0"/>
    <n v="694"/>
    <s v="Magnetism"/>
    <n v="5207"/>
    <x v="14"/>
    <m/>
    <m/>
    <m/>
    <m/>
    <m/>
    <m/>
    <m/>
    <m/>
    <m/>
    <m/>
    <m/>
    <m/>
    <m/>
    <m/>
    <m/>
    <m/>
    <m/>
    <m/>
    <m/>
    <m/>
    <m/>
    <m/>
    <m/>
    <m/>
    <m/>
    <m/>
    <m/>
    <m/>
    <m/>
    <m/>
    <m/>
    <m/>
    <m/>
    <m/>
    <m/>
    <m/>
    <m/>
    <m/>
    <m/>
    <m/>
    <m/>
    <m/>
    <m/>
    <m/>
    <m/>
    <m/>
    <m/>
    <m/>
    <m/>
    <m/>
    <m/>
    <m/>
    <m/>
    <m/>
    <m/>
    <m/>
    <m/>
    <m/>
    <m/>
    <n v="1"/>
  </r>
  <r>
    <x v="694"/>
    <n v="2009"/>
    <n v="1"/>
    <x v="21"/>
    <x v="7"/>
    <x v="0"/>
    <n v="1"/>
    <s v="2009_01_022.gif"/>
    <m/>
    <m/>
    <m/>
    <b v="0"/>
    <n v="0"/>
    <x v="0"/>
    <n v="695"/>
    <s v="Resonance"/>
    <n v="5208"/>
    <x v="14"/>
    <m/>
    <m/>
    <m/>
    <m/>
    <m/>
    <m/>
    <m/>
    <m/>
    <m/>
    <m/>
    <m/>
    <m/>
    <m/>
    <m/>
    <m/>
    <m/>
    <m/>
    <m/>
    <m/>
    <m/>
    <m/>
    <m/>
    <m/>
    <m/>
    <m/>
    <m/>
    <m/>
    <m/>
    <m/>
    <m/>
    <m/>
    <m/>
    <m/>
    <m/>
    <m/>
    <m/>
    <n v="1"/>
    <m/>
    <m/>
    <m/>
    <m/>
    <m/>
    <m/>
    <m/>
    <m/>
    <m/>
    <m/>
    <m/>
    <m/>
    <m/>
    <m/>
    <m/>
    <m/>
    <m/>
    <m/>
    <m/>
    <m/>
    <m/>
    <m/>
    <m/>
  </r>
  <r>
    <x v="695"/>
    <n v="2009"/>
    <n v="1"/>
    <x v="22"/>
    <x v="9"/>
    <x v="0"/>
    <n v="4"/>
    <s v="2009_01_023.gif"/>
    <m/>
    <m/>
    <m/>
    <b v="0"/>
    <n v="0"/>
    <x v="0"/>
    <n v="696"/>
    <s v="Light and Sound"/>
    <n v="5209"/>
    <x v="14"/>
    <m/>
    <m/>
    <m/>
    <m/>
    <m/>
    <m/>
    <m/>
    <m/>
    <m/>
    <m/>
    <m/>
    <m/>
    <m/>
    <m/>
    <m/>
    <m/>
    <m/>
    <m/>
    <m/>
    <m/>
    <m/>
    <m/>
    <m/>
    <m/>
    <m/>
    <m/>
    <m/>
    <m/>
    <m/>
    <m/>
    <m/>
    <m/>
    <m/>
    <m/>
    <m/>
    <m/>
    <m/>
    <m/>
    <m/>
    <m/>
    <m/>
    <m/>
    <n v="1"/>
    <m/>
    <m/>
    <m/>
    <m/>
    <m/>
    <m/>
    <m/>
    <m/>
    <m/>
    <m/>
    <m/>
    <m/>
    <m/>
    <m/>
    <m/>
    <m/>
    <m/>
  </r>
  <r>
    <x v="696"/>
    <n v="2009"/>
    <n v="1"/>
    <x v="23"/>
    <x v="9"/>
    <x v="0"/>
    <n v="2"/>
    <s v="2009_01_024.gif"/>
    <m/>
    <m/>
    <m/>
    <b v="0"/>
    <n v="0"/>
    <x v="0"/>
    <n v="697"/>
    <s v="Light and Sound"/>
    <n v="5210"/>
    <x v="14"/>
    <m/>
    <m/>
    <m/>
    <m/>
    <m/>
    <m/>
    <m/>
    <m/>
    <m/>
    <m/>
    <m/>
    <m/>
    <m/>
    <m/>
    <m/>
    <m/>
    <m/>
    <m/>
    <m/>
    <m/>
    <m/>
    <m/>
    <m/>
    <m/>
    <m/>
    <m/>
    <m/>
    <m/>
    <m/>
    <m/>
    <m/>
    <m/>
    <m/>
    <m/>
    <m/>
    <m/>
    <m/>
    <m/>
    <m/>
    <m/>
    <m/>
    <m/>
    <n v="1"/>
    <m/>
    <m/>
    <m/>
    <m/>
    <m/>
    <m/>
    <m/>
    <m/>
    <m/>
    <m/>
    <m/>
    <m/>
    <m/>
    <m/>
    <m/>
    <m/>
    <m/>
  </r>
  <r>
    <x v="697"/>
    <n v="2009"/>
    <n v="1"/>
    <x v="24"/>
    <x v="7"/>
    <x v="0"/>
    <n v="3"/>
    <s v="2009_01_025.gif"/>
    <m/>
    <m/>
    <m/>
    <b v="0"/>
    <n v="0"/>
    <x v="0"/>
    <n v="698"/>
    <s v="Wave Vocabulary"/>
    <n v="5211"/>
    <x v="14"/>
    <m/>
    <m/>
    <m/>
    <m/>
    <m/>
    <m/>
    <m/>
    <m/>
    <m/>
    <m/>
    <m/>
    <m/>
    <m/>
    <m/>
    <m/>
    <m/>
    <m/>
    <m/>
    <m/>
    <m/>
    <m/>
    <m/>
    <m/>
    <m/>
    <m/>
    <m/>
    <m/>
    <m/>
    <m/>
    <m/>
    <m/>
    <m/>
    <m/>
    <m/>
    <m/>
    <m/>
    <m/>
    <m/>
    <m/>
    <n v="1"/>
    <m/>
    <m/>
    <m/>
    <m/>
    <m/>
    <m/>
    <m/>
    <m/>
    <m/>
    <m/>
    <m/>
    <m/>
    <m/>
    <m/>
    <m/>
    <m/>
    <m/>
    <m/>
    <m/>
    <m/>
  </r>
  <r>
    <x v="698"/>
    <n v="2009"/>
    <n v="1"/>
    <x v="25"/>
    <x v="11"/>
    <x v="0"/>
    <n v="2"/>
    <s v="2009_01_026.gif"/>
    <m/>
    <m/>
    <m/>
    <b v="0"/>
    <n v="0"/>
    <x v="0"/>
    <n v="699"/>
    <s v="Units"/>
    <n v="5212"/>
    <x v="14"/>
    <m/>
    <m/>
    <m/>
    <n v="1"/>
    <m/>
    <m/>
    <m/>
    <m/>
    <m/>
    <m/>
    <m/>
    <m/>
    <m/>
    <m/>
    <m/>
    <m/>
    <m/>
    <m/>
    <m/>
    <m/>
    <m/>
    <m/>
    <m/>
    <m/>
    <m/>
    <m/>
    <m/>
    <m/>
    <m/>
    <m/>
    <m/>
    <m/>
    <m/>
    <m/>
    <m/>
    <m/>
    <m/>
    <m/>
    <m/>
    <m/>
    <m/>
    <m/>
    <m/>
    <m/>
    <m/>
    <m/>
    <m/>
    <m/>
    <m/>
    <m/>
    <m/>
    <m/>
    <m/>
    <m/>
    <m/>
    <m/>
    <m/>
    <m/>
    <m/>
    <m/>
  </r>
  <r>
    <x v="699"/>
    <n v="2009"/>
    <n v="1"/>
    <x v="26"/>
    <x v="9"/>
    <x v="0"/>
    <n v="3"/>
    <s v="2009_01_027.gif"/>
    <m/>
    <m/>
    <m/>
    <b v="0"/>
    <n v="0"/>
    <x v="0"/>
    <n v="700"/>
    <s v="Light and Sound"/>
    <n v="5213"/>
    <x v="14"/>
    <m/>
    <m/>
    <m/>
    <m/>
    <m/>
    <m/>
    <m/>
    <m/>
    <m/>
    <m/>
    <m/>
    <m/>
    <m/>
    <m/>
    <m/>
    <m/>
    <m/>
    <m/>
    <m/>
    <m/>
    <m/>
    <m/>
    <m/>
    <m/>
    <m/>
    <m/>
    <m/>
    <m/>
    <m/>
    <m/>
    <m/>
    <m/>
    <m/>
    <m/>
    <m/>
    <m/>
    <m/>
    <m/>
    <m/>
    <m/>
    <m/>
    <m/>
    <n v="1"/>
    <m/>
    <m/>
    <m/>
    <m/>
    <m/>
    <m/>
    <m/>
    <m/>
    <m/>
    <m/>
    <m/>
    <m/>
    <m/>
    <m/>
    <m/>
    <m/>
    <m/>
  </r>
  <r>
    <x v="700"/>
    <n v="2009"/>
    <n v="1"/>
    <x v="27"/>
    <x v="9"/>
    <x v="0"/>
    <n v="1"/>
    <s v="2009_01_028.gif"/>
    <m/>
    <m/>
    <m/>
    <b v="0"/>
    <n v="0"/>
    <x v="0"/>
    <n v="701"/>
    <s v="Refraction and Snell's Law"/>
    <n v="5214"/>
    <x v="14"/>
    <m/>
    <m/>
    <m/>
    <m/>
    <m/>
    <m/>
    <m/>
    <m/>
    <m/>
    <m/>
    <m/>
    <m/>
    <m/>
    <m/>
    <m/>
    <m/>
    <m/>
    <m/>
    <m/>
    <m/>
    <m/>
    <m/>
    <m/>
    <m/>
    <m/>
    <m/>
    <m/>
    <m/>
    <m/>
    <m/>
    <m/>
    <m/>
    <m/>
    <m/>
    <m/>
    <m/>
    <m/>
    <m/>
    <m/>
    <m/>
    <m/>
    <m/>
    <m/>
    <n v="1"/>
    <m/>
    <m/>
    <m/>
    <m/>
    <m/>
    <m/>
    <m/>
    <m/>
    <m/>
    <m/>
    <m/>
    <m/>
    <m/>
    <m/>
    <m/>
    <m/>
  </r>
  <r>
    <x v="701"/>
    <n v="2009"/>
    <n v="1"/>
    <x v="28"/>
    <x v="7"/>
    <x v="0"/>
    <n v="4"/>
    <s v="2009_01_029.gif"/>
    <m/>
    <m/>
    <m/>
    <b v="0"/>
    <n v="0"/>
    <x v="0"/>
    <n v="702"/>
    <s v="Superposition and Standing Waves"/>
    <n v="5215"/>
    <x v="14"/>
    <m/>
    <m/>
    <m/>
    <m/>
    <m/>
    <m/>
    <m/>
    <m/>
    <m/>
    <m/>
    <m/>
    <m/>
    <m/>
    <m/>
    <m/>
    <m/>
    <m/>
    <m/>
    <m/>
    <m/>
    <m/>
    <m/>
    <m/>
    <m/>
    <m/>
    <m/>
    <m/>
    <m/>
    <m/>
    <m/>
    <m/>
    <m/>
    <m/>
    <m/>
    <m/>
    <m/>
    <m/>
    <n v="1"/>
    <m/>
    <m/>
    <m/>
    <m/>
    <m/>
    <m/>
    <m/>
    <m/>
    <m/>
    <m/>
    <m/>
    <m/>
    <m/>
    <m/>
    <m/>
    <m/>
    <m/>
    <m/>
    <m/>
    <m/>
    <m/>
    <m/>
  </r>
  <r>
    <x v="702"/>
    <n v="2009"/>
    <n v="1"/>
    <x v="29"/>
    <x v="9"/>
    <x v="0"/>
    <n v="4"/>
    <s v="2009_01_030.gif"/>
    <m/>
    <m/>
    <m/>
    <b v="0"/>
    <n v="0"/>
    <x v="0"/>
    <n v="703"/>
    <s v="Light and Sound"/>
    <n v="5216"/>
    <x v="14"/>
    <m/>
    <m/>
    <m/>
    <m/>
    <m/>
    <m/>
    <m/>
    <m/>
    <m/>
    <m/>
    <m/>
    <m/>
    <m/>
    <m/>
    <m/>
    <m/>
    <m/>
    <m/>
    <m/>
    <m/>
    <m/>
    <m/>
    <m/>
    <m/>
    <m/>
    <m/>
    <m/>
    <m/>
    <m/>
    <m/>
    <m/>
    <m/>
    <m/>
    <m/>
    <m/>
    <m/>
    <m/>
    <m/>
    <m/>
    <m/>
    <m/>
    <m/>
    <n v="1"/>
    <m/>
    <m/>
    <m/>
    <m/>
    <m/>
    <m/>
    <m/>
    <m/>
    <m/>
    <m/>
    <m/>
    <m/>
    <m/>
    <m/>
    <m/>
    <m/>
    <m/>
  </r>
  <r>
    <x v="703"/>
    <n v="2009"/>
    <n v="1"/>
    <x v="30"/>
    <x v="9"/>
    <x v="0"/>
    <n v="1"/>
    <s v="2009_01_031.gif"/>
    <m/>
    <m/>
    <m/>
    <b v="0"/>
    <n v="0"/>
    <x v="0"/>
    <n v="704"/>
    <s v="Diffraction"/>
    <n v="5217"/>
    <x v="14"/>
    <m/>
    <m/>
    <m/>
    <m/>
    <m/>
    <m/>
    <m/>
    <m/>
    <m/>
    <m/>
    <m/>
    <m/>
    <m/>
    <m/>
    <m/>
    <m/>
    <m/>
    <m/>
    <m/>
    <m/>
    <m/>
    <m/>
    <m/>
    <m/>
    <m/>
    <m/>
    <m/>
    <m/>
    <m/>
    <m/>
    <m/>
    <m/>
    <m/>
    <m/>
    <m/>
    <m/>
    <m/>
    <m/>
    <m/>
    <m/>
    <n v="1"/>
    <m/>
    <m/>
    <m/>
    <m/>
    <m/>
    <m/>
    <m/>
    <m/>
    <m/>
    <m/>
    <m/>
    <m/>
    <m/>
    <m/>
    <m/>
    <m/>
    <m/>
    <m/>
    <m/>
  </r>
  <r>
    <x v="704"/>
    <n v="2009"/>
    <n v="1"/>
    <x v="31"/>
    <x v="9"/>
    <x v="0"/>
    <n v="1"/>
    <s v="2009_01_032.gif"/>
    <m/>
    <m/>
    <m/>
    <b v="0"/>
    <n v="0"/>
    <x v="0"/>
    <n v="705"/>
    <s v="Doppler Effect"/>
    <n v="5218"/>
    <x v="14"/>
    <m/>
    <m/>
    <m/>
    <m/>
    <m/>
    <m/>
    <m/>
    <m/>
    <m/>
    <m/>
    <m/>
    <m/>
    <m/>
    <m/>
    <m/>
    <m/>
    <m/>
    <m/>
    <m/>
    <m/>
    <m/>
    <m/>
    <m/>
    <m/>
    <m/>
    <m/>
    <m/>
    <m/>
    <m/>
    <m/>
    <m/>
    <m/>
    <m/>
    <m/>
    <m/>
    <m/>
    <m/>
    <m/>
    <m/>
    <m/>
    <m/>
    <n v="1"/>
    <m/>
    <m/>
    <m/>
    <m/>
    <m/>
    <m/>
    <m/>
    <m/>
    <m/>
    <m/>
    <m/>
    <m/>
    <m/>
    <m/>
    <m/>
    <m/>
    <m/>
    <m/>
  </r>
  <r>
    <x v="705"/>
    <n v="2009"/>
    <n v="1"/>
    <x v="32"/>
    <x v="10"/>
    <x v="0"/>
    <n v="3"/>
    <s v="2009_01_033.gif"/>
    <m/>
    <m/>
    <m/>
    <b v="0"/>
    <n v="0"/>
    <x v="0"/>
    <n v="706"/>
    <s v="Energy/Frequency of Photon"/>
    <n v="5219"/>
    <x v="14"/>
    <m/>
    <m/>
    <m/>
    <m/>
    <m/>
    <m/>
    <m/>
    <m/>
    <m/>
    <m/>
    <m/>
    <m/>
    <m/>
    <m/>
    <m/>
    <m/>
    <m/>
    <m/>
    <m/>
    <m/>
    <m/>
    <m/>
    <m/>
    <m/>
    <m/>
    <m/>
    <m/>
    <m/>
    <m/>
    <m/>
    <m/>
    <m/>
    <m/>
    <m/>
    <m/>
    <m/>
    <m/>
    <m/>
    <m/>
    <m/>
    <m/>
    <m/>
    <m/>
    <m/>
    <m/>
    <m/>
    <m/>
    <m/>
    <m/>
    <m/>
    <m/>
    <m/>
    <m/>
    <m/>
    <n v="1"/>
    <m/>
    <m/>
    <m/>
    <m/>
    <m/>
  </r>
  <r>
    <x v="706"/>
    <n v="2009"/>
    <n v="1"/>
    <x v="33"/>
    <x v="6"/>
    <x v="0"/>
    <n v="2"/>
    <s v="2009_01_034.gif"/>
    <m/>
    <m/>
    <m/>
    <b v="0"/>
    <n v="0"/>
    <x v="0"/>
    <n v="707"/>
    <s v="Conservation of Charge"/>
    <n v="5220"/>
    <x v="14"/>
    <m/>
    <m/>
    <m/>
    <m/>
    <m/>
    <m/>
    <m/>
    <m/>
    <m/>
    <m/>
    <m/>
    <m/>
    <m/>
    <m/>
    <m/>
    <m/>
    <m/>
    <m/>
    <m/>
    <m/>
    <m/>
    <m/>
    <m/>
    <m/>
    <m/>
    <m/>
    <m/>
    <m/>
    <m/>
    <m/>
    <m/>
    <m/>
    <m/>
    <m/>
    <m/>
    <m/>
    <m/>
    <m/>
    <m/>
    <m/>
    <m/>
    <m/>
    <m/>
    <m/>
    <n v="1"/>
    <m/>
    <m/>
    <m/>
    <m/>
    <m/>
    <m/>
    <m/>
    <m/>
    <m/>
    <m/>
    <m/>
    <m/>
    <m/>
    <m/>
    <m/>
  </r>
  <r>
    <x v="707"/>
    <n v="2009"/>
    <n v="1"/>
    <x v="34"/>
    <x v="10"/>
    <x v="0"/>
    <n v="3"/>
    <s v="2009_01_035.gif"/>
    <m/>
    <m/>
    <m/>
    <b v="0"/>
    <n v="0"/>
    <x v="0"/>
    <n v="708"/>
    <s v="Particle Physics"/>
    <n v="5221"/>
    <x v="14"/>
    <m/>
    <m/>
    <m/>
    <m/>
    <m/>
    <m/>
    <m/>
    <m/>
    <m/>
    <m/>
    <m/>
    <m/>
    <m/>
    <m/>
    <m/>
    <m/>
    <m/>
    <m/>
    <m/>
    <m/>
    <m/>
    <m/>
    <m/>
    <m/>
    <m/>
    <m/>
    <m/>
    <m/>
    <m/>
    <m/>
    <m/>
    <m/>
    <m/>
    <m/>
    <m/>
    <m/>
    <m/>
    <m/>
    <m/>
    <m/>
    <m/>
    <m/>
    <m/>
    <m/>
    <m/>
    <m/>
    <m/>
    <m/>
    <m/>
    <m/>
    <m/>
    <m/>
    <m/>
    <m/>
    <m/>
    <m/>
    <n v="1"/>
    <m/>
    <m/>
    <m/>
  </r>
  <r>
    <x v="708"/>
    <n v="2009"/>
    <n v="1"/>
    <x v="35"/>
    <x v="11"/>
    <x v="0"/>
    <n v="2"/>
    <s v="2009_01_036.gif"/>
    <m/>
    <m/>
    <m/>
    <b v="0"/>
    <n v="0"/>
    <x v="1"/>
    <n v="709"/>
    <s v="Estimation"/>
    <n v="5222"/>
    <x v="14"/>
    <m/>
    <m/>
    <n v="1"/>
    <m/>
    <m/>
    <m/>
    <m/>
    <m/>
    <m/>
    <m/>
    <m/>
    <m/>
    <m/>
    <m/>
    <m/>
    <m/>
    <m/>
    <m/>
    <m/>
    <m/>
    <m/>
    <m/>
    <m/>
    <m/>
    <m/>
    <m/>
    <m/>
    <m/>
    <m/>
    <m/>
    <m/>
    <m/>
    <m/>
    <m/>
    <m/>
    <m/>
    <m/>
    <m/>
    <m/>
    <m/>
    <m/>
    <m/>
    <m/>
    <m/>
    <m/>
    <m/>
    <m/>
    <m/>
    <m/>
    <m/>
    <m/>
    <m/>
    <m/>
    <m/>
    <m/>
    <m/>
    <m/>
    <m/>
    <m/>
    <m/>
  </r>
  <r>
    <x v="709"/>
    <n v="2009"/>
    <n v="1"/>
    <x v="36"/>
    <x v="1"/>
    <x v="0"/>
    <n v="3"/>
    <s v="2009_01_037.gif"/>
    <m/>
    <m/>
    <m/>
    <b v="0"/>
    <n v="0"/>
    <x v="1"/>
    <n v="710"/>
    <s v="Inclined Plane"/>
    <n v="5223"/>
    <x v="14"/>
    <m/>
    <m/>
    <m/>
    <m/>
    <m/>
    <m/>
    <m/>
    <m/>
    <m/>
    <m/>
    <m/>
    <m/>
    <m/>
    <m/>
    <m/>
    <m/>
    <m/>
    <m/>
    <m/>
    <m/>
    <m/>
    <m/>
    <n v="1"/>
    <m/>
    <m/>
    <m/>
    <m/>
    <m/>
    <m/>
    <m/>
    <m/>
    <m/>
    <m/>
    <m/>
    <m/>
    <m/>
    <m/>
    <m/>
    <m/>
    <m/>
    <m/>
    <m/>
    <m/>
    <m/>
    <m/>
    <m/>
    <m/>
    <m/>
    <m/>
    <m/>
    <m/>
    <m/>
    <m/>
    <m/>
    <m/>
    <m/>
    <m/>
    <m/>
    <m/>
    <m/>
  </r>
  <r>
    <x v="710"/>
    <n v="2009"/>
    <n v="1"/>
    <x v="37"/>
    <x v="2"/>
    <x v="0"/>
    <n v="1"/>
    <s v="2009_01_038.gif"/>
    <m/>
    <m/>
    <m/>
    <b v="0"/>
    <n v="0"/>
    <x v="1"/>
    <n v="711"/>
    <s v="DT/VT Graphs"/>
    <n v="5224"/>
    <x v="14"/>
    <m/>
    <m/>
    <m/>
    <m/>
    <n v="1"/>
    <m/>
    <m/>
    <m/>
    <m/>
    <m/>
    <m/>
    <m/>
    <m/>
    <m/>
    <m/>
    <m/>
    <m/>
    <m/>
    <m/>
    <m/>
    <m/>
    <m/>
    <m/>
    <m/>
    <m/>
    <m/>
    <m/>
    <m/>
    <m/>
    <m/>
    <m/>
    <m/>
    <m/>
    <m/>
    <m/>
    <m/>
    <m/>
    <m/>
    <m/>
    <m/>
    <m/>
    <m/>
    <m/>
    <m/>
    <m/>
    <m/>
    <m/>
    <m/>
    <m/>
    <m/>
    <m/>
    <m/>
    <m/>
    <m/>
    <m/>
    <m/>
    <m/>
    <m/>
    <m/>
    <m/>
  </r>
  <r>
    <x v="711"/>
    <n v="2009"/>
    <n v="1"/>
    <x v="38"/>
    <x v="5"/>
    <x v="2"/>
    <n v="1"/>
    <s v="2009_01_039.gif"/>
    <m/>
    <m/>
    <m/>
    <b v="0"/>
    <n v="0"/>
    <x v="1"/>
    <n v="712"/>
    <s v="Conservation of Energy,Graph Interpretation"/>
    <n v="5225"/>
    <x v="14"/>
    <m/>
    <m/>
    <m/>
    <m/>
    <m/>
    <m/>
    <m/>
    <m/>
    <m/>
    <m/>
    <m/>
    <m/>
    <m/>
    <m/>
    <m/>
    <m/>
    <m/>
    <m/>
    <m/>
    <m/>
    <m/>
    <m/>
    <m/>
    <m/>
    <m/>
    <m/>
    <m/>
    <m/>
    <m/>
    <m/>
    <m/>
    <n v="1"/>
    <m/>
    <m/>
    <m/>
    <m/>
    <m/>
    <m/>
    <m/>
    <m/>
    <m/>
    <m/>
    <m/>
    <m/>
    <m/>
    <m/>
    <m/>
    <m/>
    <m/>
    <m/>
    <m/>
    <m/>
    <m/>
    <m/>
    <m/>
    <m/>
    <m/>
    <n v="1"/>
    <m/>
    <m/>
  </r>
  <r>
    <x v="712"/>
    <n v="2009"/>
    <n v="1"/>
    <x v="39"/>
    <x v="5"/>
    <x v="0"/>
    <n v="2"/>
    <s v="2009_01_040.gif"/>
    <m/>
    <m/>
    <m/>
    <b v="0"/>
    <n v="0"/>
    <x v="1"/>
    <n v="713"/>
    <s v="Conservation of Energy,PE of Spring"/>
    <n v="5226"/>
    <x v="14"/>
    <m/>
    <m/>
    <m/>
    <m/>
    <m/>
    <m/>
    <m/>
    <m/>
    <m/>
    <m/>
    <m/>
    <m/>
    <m/>
    <m/>
    <m/>
    <m/>
    <m/>
    <m/>
    <m/>
    <m/>
    <m/>
    <m/>
    <m/>
    <m/>
    <m/>
    <m/>
    <m/>
    <m/>
    <m/>
    <m/>
    <m/>
    <n v="1"/>
    <m/>
    <m/>
    <n v="1"/>
    <m/>
    <m/>
    <m/>
    <m/>
    <m/>
    <m/>
    <m/>
    <m/>
    <m/>
    <m/>
    <m/>
    <m/>
    <m/>
    <m/>
    <m/>
    <m/>
    <m/>
    <m/>
    <m/>
    <m/>
    <m/>
    <m/>
    <m/>
    <m/>
    <m/>
  </r>
  <r>
    <x v="713"/>
    <n v="2009"/>
    <n v="1"/>
    <x v="40"/>
    <x v="5"/>
    <x v="2"/>
    <n v="1"/>
    <s v="2009_01_041.gif"/>
    <m/>
    <m/>
    <m/>
    <b v="0"/>
    <n v="2"/>
    <x v="1"/>
    <n v="714"/>
    <s v="Conservation of Energy,Mathematical Relationships (Numberless Problems)"/>
    <n v="5227"/>
    <x v="14"/>
    <m/>
    <m/>
    <m/>
    <m/>
    <m/>
    <m/>
    <m/>
    <m/>
    <m/>
    <m/>
    <m/>
    <m/>
    <m/>
    <m/>
    <m/>
    <m/>
    <m/>
    <m/>
    <m/>
    <m/>
    <m/>
    <m/>
    <m/>
    <m/>
    <m/>
    <m/>
    <m/>
    <m/>
    <m/>
    <m/>
    <m/>
    <n v="1"/>
    <m/>
    <m/>
    <m/>
    <m/>
    <m/>
    <m/>
    <m/>
    <m/>
    <m/>
    <m/>
    <m/>
    <m/>
    <m/>
    <m/>
    <m/>
    <m/>
    <m/>
    <m/>
    <m/>
    <m/>
    <m/>
    <m/>
    <m/>
    <m/>
    <m/>
    <m/>
    <n v="1"/>
    <m/>
  </r>
  <r>
    <x v="714"/>
    <n v="2009"/>
    <n v="1"/>
    <x v="41"/>
    <x v="8"/>
    <x v="0"/>
    <n v="1"/>
    <s v="2009_01_042.gif"/>
    <m/>
    <m/>
    <m/>
    <b v="0"/>
    <n v="0"/>
    <x v="1"/>
    <n v="715"/>
    <s v="Electrical Meters"/>
    <n v="5228"/>
    <x v="14"/>
    <m/>
    <m/>
    <m/>
    <m/>
    <m/>
    <m/>
    <m/>
    <m/>
    <m/>
    <m/>
    <m/>
    <m/>
    <m/>
    <m/>
    <m/>
    <m/>
    <m/>
    <m/>
    <m/>
    <m/>
    <m/>
    <m/>
    <m/>
    <m/>
    <m/>
    <m/>
    <m/>
    <m/>
    <m/>
    <m/>
    <m/>
    <m/>
    <m/>
    <m/>
    <m/>
    <m/>
    <m/>
    <m/>
    <m/>
    <m/>
    <m/>
    <m/>
    <m/>
    <m/>
    <m/>
    <m/>
    <m/>
    <m/>
    <m/>
    <m/>
    <m/>
    <m/>
    <m/>
    <n v="1"/>
    <m/>
    <m/>
    <m/>
    <m/>
    <m/>
    <m/>
  </r>
  <r>
    <x v="715"/>
    <n v="2009"/>
    <n v="1"/>
    <x v="42"/>
    <x v="8"/>
    <x v="0"/>
    <n v="4"/>
    <s v="2009_01_043.gif"/>
    <m/>
    <m/>
    <m/>
    <b v="0"/>
    <n v="0"/>
    <x v="1"/>
    <n v="716"/>
    <s v="Ohm's Law"/>
    <n v="5229"/>
    <x v="14"/>
    <m/>
    <m/>
    <m/>
    <m/>
    <m/>
    <m/>
    <m/>
    <m/>
    <m/>
    <m/>
    <m/>
    <m/>
    <m/>
    <m/>
    <m/>
    <m/>
    <m/>
    <m/>
    <m/>
    <m/>
    <m/>
    <m/>
    <m/>
    <m/>
    <m/>
    <m/>
    <m/>
    <m/>
    <m/>
    <m/>
    <m/>
    <m/>
    <m/>
    <m/>
    <m/>
    <m/>
    <m/>
    <m/>
    <m/>
    <m/>
    <m/>
    <m/>
    <m/>
    <m/>
    <m/>
    <m/>
    <m/>
    <m/>
    <m/>
    <m/>
    <n v="1"/>
    <m/>
    <m/>
    <m/>
    <m/>
    <m/>
    <m/>
    <m/>
    <m/>
    <m/>
  </r>
  <r>
    <x v="716"/>
    <n v="2009"/>
    <n v="1"/>
    <x v="43"/>
    <x v="8"/>
    <x v="2"/>
    <n v="4"/>
    <s v="2009_01_044.gif"/>
    <m/>
    <m/>
    <m/>
    <b v="0"/>
    <n v="0"/>
    <x v="1"/>
    <n v="717"/>
    <s v="Electrical Power,Mathematical Relationships (Numberless Problems)"/>
    <n v="5230"/>
    <x v="14"/>
    <m/>
    <m/>
    <m/>
    <m/>
    <m/>
    <m/>
    <m/>
    <m/>
    <m/>
    <m/>
    <m/>
    <m/>
    <m/>
    <m/>
    <m/>
    <m/>
    <m/>
    <m/>
    <m/>
    <m/>
    <m/>
    <m/>
    <m/>
    <m/>
    <m/>
    <m/>
    <m/>
    <m/>
    <m/>
    <m/>
    <m/>
    <m/>
    <m/>
    <m/>
    <m/>
    <m/>
    <m/>
    <m/>
    <m/>
    <m/>
    <m/>
    <m/>
    <m/>
    <m/>
    <m/>
    <m/>
    <m/>
    <m/>
    <m/>
    <n v="1"/>
    <m/>
    <m/>
    <m/>
    <m/>
    <m/>
    <m/>
    <m/>
    <m/>
    <n v="1"/>
    <m/>
  </r>
  <r>
    <x v="717"/>
    <n v="2009"/>
    <n v="1"/>
    <x v="44"/>
    <x v="8"/>
    <x v="0"/>
    <n v="3"/>
    <s v="2009_01_045.gif"/>
    <m/>
    <m/>
    <m/>
    <b v="0"/>
    <n v="0"/>
    <x v="1"/>
    <n v="718"/>
    <s v="Electrical Power"/>
    <n v="5231"/>
    <x v="14"/>
    <m/>
    <m/>
    <m/>
    <m/>
    <m/>
    <m/>
    <m/>
    <m/>
    <m/>
    <m/>
    <m/>
    <m/>
    <m/>
    <m/>
    <m/>
    <m/>
    <m/>
    <m/>
    <m/>
    <m/>
    <m/>
    <m/>
    <m/>
    <m/>
    <m/>
    <m/>
    <m/>
    <m/>
    <m/>
    <m/>
    <m/>
    <m/>
    <m/>
    <m/>
    <m/>
    <m/>
    <m/>
    <m/>
    <m/>
    <m/>
    <m/>
    <m/>
    <m/>
    <m/>
    <m/>
    <m/>
    <m/>
    <m/>
    <m/>
    <n v="1"/>
    <m/>
    <m/>
    <m/>
    <m/>
    <m/>
    <m/>
    <m/>
    <m/>
    <m/>
    <m/>
  </r>
  <r>
    <x v="718"/>
    <n v="2009"/>
    <n v="1"/>
    <x v="45"/>
    <x v="9"/>
    <x v="0"/>
    <n v="1"/>
    <s v="2009_01_046.gif"/>
    <m/>
    <m/>
    <m/>
    <b v="0"/>
    <n v="0"/>
    <x v="1"/>
    <n v="719"/>
    <s v="Refraction and Snell's Law"/>
    <n v="5232"/>
    <x v="14"/>
    <m/>
    <m/>
    <m/>
    <m/>
    <m/>
    <m/>
    <m/>
    <m/>
    <m/>
    <m/>
    <m/>
    <m/>
    <m/>
    <m/>
    <m/>
    <m/>
    <m/>
    <m/>
    <m/>
    <m/>
    <m/>
    <m/>
    <m/>
    <m/>
    <m/>
    <m/>
    <m/>
    <m/>
    <m/>
    <m/>
    <m/>
    <m/>
    <m/>
    <m/>
    <m/>
    <m/>
    <m/>
    <m/>
    <m/>
    <m/>
    <m/>
    <m/>
    <m/>
    <n v="1"/>
    <m/>
    <m/>
    <m/>
    <m/>
    <m/>
    <m/>
    <m/>
    <m/>
    <m/>
    <m/>
    <m/>
    <m/>
    <m/>
    <m/>
    <m/>
    <m/>
  </r>
  <r>
    <x v="719"/>
    <n v="2009"/>
    <n v="6"/>
    <x v="0"/>
    <x v="2"/>
    <x v="0"/>
    <n v="3"/>
    <s v="2009_06_001.gif"/>
    <m/>
    <m/>
    <m/>
    <b v="0"/>
    <n v="0"/>
    <x v="0"/>
    <n v="720"/>
    <s v="Basic Motion Concepts"/>
    <n v="5260"/>
    <x v="15"/>
    <m/>
    <m/>
    <m/>
    <m/>
    <m/>
    <m/>
    <m/>
    <n v="1"/>
    <m/>
    <m/>
    <m/>
    <m/>
    <m/>
    <m/>
    <m/>
    <m/>
    <m/>
    <m/>
    <m/>
    <m/>
    <m/>
    <m/>
    <m/>
    <m/>
    <m/>
    <m/>
    <m/>
    <m/>
    <m/>
    <m/>
    <m/>
    <m/>
    <m/>
    <m/>
    <m/>
    <m/>
    <m/>
    <m/>
    <m/>
    <m/>
    <m/>
    <m/>
    <m/>
    <m/>
    <m/>
    <m/>
    <m/>
    <m/>
    <m/>
    <m/>
    <m/>
    <m/>
    <m/>
    <m/>
    <m/>
    <m/>
    <m/>
    <m/>
    <m/>
    <m/>
  </r>
  <r>
    <x v="720"/>
    <n v="2009"/>
    <n v="6"/>
    <x v="1"/>
    <x v="0"/>
    <x v="0"/>
    <n v="4"/>
    <s v="2009_06_002.gif"/>
    <m/>
    <m/>
    <m/>
    <b v="0"/>
    <n v="0"/>
    <x v="0"/>
    <n v="721"/>
    <s v="Vector Components"/>
    <n v="5261"/>
    <x v="15"/>
    <m/>
    <m/>
    <m/>
    <m/>
    <m/>
    <m/>
    <m/>
    <m/>
    <m/>
    <m/>
    <m/>
    <m/>
    <n v="1"/>
    <m/>
    <m/>
    <m/>
    <m/>
    <m/>
    <m/>
    <m/>
    <m/>
    <m/>
    <m/>
    <m/>
    <m/>
    <m/>
    <m/>
    <m/>
    <m/>
    <m/>
    <m/>
    <m/>
    <m/>
    <m/>
    <m/>
    <m/>
    <m/>
    <m/>
    <m/>
    <m/>
    <m/>
    <m/>
    <m/>
    <m/>
    <m/>
    <m/>
    <m/>
    <m/>
    <m/>
    <m/>
    <m/>
    <m/>
    <m/>
    <m/>
    <m/>
    <m/>
    <m/>
    <m/>
    <m/>
    <m/>
  </r>
  <r>
    <x v="721"/>
    <n v="2009"/>
    <n v="6"/>
    <x v="2"/>
    <x v="0"/>
    <x v="0"/>
    <n v="1"/>
    <s v="2009_06_003.gif"/>
    <m/>
    <m/>
    <m/>
    <b v="0"/>
    <n v="0"/>
    <x v="0"/>
    <n v="722"/>
    <s v="Vector vs. Scalar"/>
    <n v="5262"/>
    <x v="15"/>
    <m/>
    <m/>
    <m/>
    <m/>
    <m/>
    <m/>
    <m/>
    <m/>
    <m/>
    <m/>
    <m/>
    <m/>
    <m/>
    <n v="1"/>
    <m/>
    <m/>
    <m/>
    <m/>
    <m/>
    <m/>
    <m/>
    <m/>
    <m/>
    <m/>
    <m/>
    <m/>
    <m/>
    <m/>
    <m/>
    <m/>
    <m/>
    <m/>
    <m/>
    <m/>
    <m/>
    <m/>
    <m/>
    <m/>
    <m/>
    <m/>
    <m/>
    <m/>
    <m/>
    <m/>
    <m/>
    <m/>
    <m/>
    <m/>
    <m/>
    <m/>
    <m/>
    <m/>
    <m/>
    <m/>
    <m/>
    <m/>
    <m/>
    <m/>
    <m/>
    <m/>
  </r>
  <r>
    <x v="722"/>
    <n v="2009"/>
    <n v="6"/>
    <x v="3"/>
    <x v="2"/>
    <x v="0"/>
    <n v="4"/>
    <s v="2009_06_004.gif"/>
    <m/>
    <m/>
    <m/>
    <b v="0"/>
    <n v="0"/>
    <x v="0"/>
    <n v="723"/>
    <s v="Basic Motion Concepts"/>
    <n v="5263"/>
    <x v="15"/>
    <m/>
    <m/>
    <m/>
    <m/>
    <m/>
    <m/>
    <m/>
    <n v="1"/>
    <m/>
    <m/>
    <m/>
    <m/>
    <m/>
    <m/>
    <m/>
    <m/>
    <m/>
    <m/>
    <m/>
    <m/>
    <m/>
    <m/>
    <m/>
    <m/>
    <m/>
    <m/>
    <m/>
    <m/>
    <m/>
    <m/>
    <m/>
    <m/>
    <m/>
    <m/>
    <m/>
    <m/>
    <m/>
    <m/>
    <m/>
    <m/>
    <m/>
    <m/>
    <m/>
    <m/>
    <m/>
    <m/>
    <m/>
    <m/>
    <m/>
    <m/>
    <m/>
    <m/>
    <m/>
    <m/>
    <m/>
    <m/>
    <m/>
    <m/>
    <m/>
    <m/>
  </r>
  <r>
    <x v="723"/>
    <n v="2009"/>
    <n v="6"/>
    <x v="4"/>
    <x v="2"/>
    <x v="0"/>
    <n v="3"/>
    <s v="2009_06_005.gif"/>
    <m/>
    <m/>
    <m/>
    <b v="0"/>
    <n v="0"/>
    <x v="0"/>
    <n v="724"/>
    <s v="Vertical Constant Acceleration Problems"/>
    <n v="5264"/>
    <x v="15"/>
    <m/>
    <m/>
    <m/>
    <m/>
    <m/>
    <m/>
    <m/>
    <m/>
    <m/>
    <m/>
    <n v="1"/>
    <m/>
    <m/>
    <m/>
    <m/>
    <m/>
    <m/>
    <m/>
    <m/>
    <m/>
    <m/>
    <m/>
    <m/>
    <m/>
    <m/>
    <m/>
    <m/>
    <m/>
    <m/>
    <m/>
    <m/>
    <m/>
    <m/>
    <m/>
    <m/>
    <m/>
    <m/>
    <m/>
    <m/>
    <m/>
    <m/>
    <m/>
    <m/>
    <m/>
    <m/>
    <m/>
    <m/>
    <m/>
    <m/>
    <m/>
    <m/>
    <m/>
    <m/>
    <m/>
    <m/>
    <m/>
    <m/>
    <m/>
    <m/>
    <m/>
  </r>
  <r>
    <x v="724"/>
    <n v="2009"/>
    <n v="6"/>
    <x v="5"/>
    <x v="3"/>
    <x v="0"/>
    <n v="2"/>
    <s v="2009_06_006.gif"/>
    <m/>
    <m/>
    <m/>
    <b v="0"/>
    <n v="0"/>
    <x v="0"/>
    <n v="725"/>
    <s v="Projectiles at an Angle"/>
    <n v="5265"/>
    <x v="15"/>
    <m/>
    <m/>
    <m/>
    <m/>
    <m/>
    <m/>
    <m/>
    <m/>
    <m/>
    <m/>
    <m/>
    <m/>
    <m/>
    <m/>
    <m/>
    <n v="1"/>
    <m/>
    <m/>
    <m/>
    <m/>
    <m/>
    <m/>
    <m/>
    <m/>
    <m/>
    <m/>
    <m/>
    <m/>
    <m/>
    <m/>
    <m/>
    <m/>
    <m/>
    <m/>
    <m/>
    <m/>
    <m/>
    <m/>
    <m/>
    <m/>
    <m/>
    <m/>
    <m/>
    <m/>
    <m/>
    <m/>
    <m/>
    <m/>
    <m/>
    <m/>
    <m/>
    <m/>
    <m/>
    <m/>
    <m/>
    <m/>
    <m/>
    <m/>
    <m/>
    <m/>
  </r>
  <r>
    <x v="725"/>
    <n v="2009"/>
    <n v="6"/>
    <x v="6"/>
    <x v="3"/>
    <x v="0"/>
    <n v="2"/>
    <s v="2009_06_007.gif"/>
    <m/>
    <m/>
    <m/>
    <b v="0"/>
    <n v="0"/>
    <x v="0"/>
    <n v="726"/>
    <s v="Centripetal Motion - Calculation"/>
    <n v="5266"/>
    <x v="15"/>
    <m/>
    <m/>
    <m/>
    <m/>
    <m/>
    <m/>
    <m/>
    <m/>
    <m/>
    <m/>
    <m/>
    <m/>
    <m/>
    <m/>
    <m/>
    <m/>
    <m/>
    <m/>
    <m/>
    <m/>
    <n v="1"/>
    <m/>
    <m/>
    <m/>
    <m/>
    <m/>
    <m/>
    <m/>
    <m/>
    <m/>
    <m/>
    <m/>
    <m/>
    <m/>
    <m/>
    <m/>
    <m/>
    <m/>
    <m/>
    <m/>
    <m/>
    <m/>
    <m/>
    <m/>
    <m/>
    <m/>
    <m/>
    <m/>
    <m/>
    <m/>
    <m/>
    <m/>
    <m/>
    <m/>
    <m/>
    <m/>
    <m/>
    <m/>
    <m/>
    <m/>
  </r>
  <r>
    <x v="726"/>
    <n v="2009"/>
    <n v="6"/>
    <x v="7"/>
    <x v="3"/>
    <x v="0"/>
    <n v="3"/>
    <s v="2009_06_008.gif"/>
    <m/>
    <m/>
    <m/>
    <b v="0"/>
    <n v="0"/>
    <x v="0"/>
    <n v="727"/>
    <s v="Centripetal Motion - Calculation"/>
    <n v="5267"/>
    <x v="15"/>
    <m/>
    <m/>
    <m/>
    <m/>
    <m/>
    <m/>
    <m/>
    <m/>
    <m/>
    <m/>
    <m/>
    <m/>
    <m/>
    <m/>
    <m/>
    <m/>
    <m/>
    <m/>
    <m/>
    <m/>
    <n v="1"/>
    <m/>
    <m/>
    <m/>
    <m/>
    <m/>
    <m/>
    <m/>
    <m/>
    <m/>
    <m/>
    <m/>
    <m/>
    <m/>
    <m/>
    <m/>
    <m/>
    <m/>
    <m/>
    <m/>
    <m/>
    <m/>
    <m/>
    <m/>
    <m/>
    <m/>
    <m/>
    <m/>
    <m/>
    <m/>
    <m/>
    <m/>
    <m/>
    <m/>
    <m/>
    <m/>
    <m/>
    <m/>
    <m/>
    <m/>
  </r>
  <r>
    <x v="727"/>
    <n v="2009"/>
    <n v="6"/>
    <x v="8"/>
    <x v="1"/>
    <x v="0"/>
    <n v="4"/>
    <s v="2009_06_009.gif"/>
    <m/>
    <m/>
    <m/>
    <b v="0"/>
    <n v="0"/>
    <x v="0"/>
    <n v="728"/>
    <s v="Newton's 1st Law (Inertia)"/>
    <n v="5268"/>
    <x v="15"/>
    <m/>
    <m/>
    <m/>
    <m/>
    <m/>
    <m/>
    <m/>
    <m/>
    <m/>
    <m/>
    <m/>
    <m/>
    <m/>
    <m/>
    <m/>
    <m/>
    <m/>
    <m/>
    <m/>
    <m/>
    <m/>
    <m/>
    <m/>
    <m/>
    <m/>
    <n v="1"/>
    <m/>
    <m/>
    <m/>
    <m/>
    <m/>
    <m/>
    <m/>
    <m/>
    <m/>
    <m/>
    <m/>
    <m/>
    <m/>
    <m/>
    <m/>
    <m/>
    <m/>
    <m/>
    <m/>
    <m/>
    <m/>
    <m/>
    <m/>
    <m/>
    <m/>
    <m/>
    <m/>
    <m/>
    <m/>
    <m/>
    <m/>
    <m/>
    <m/>
    <m/>
  </r>
  <r>
    <x v="728"/>
    <n v="2009"/>
    <n v="6"/>
    <x v="9"/>
    <x v="1"/>
    <x v="0"/>
    <n v="2"/>
    <s v="2009_06_010.gif"/>
    <m/>
    <m/>
    <m/>
    <b v="0"/>
    <n v="0"/>
    <x v="0"/>
    <n v="729"/>
    <s v="Newton's 2nd Law (F=MA)"/>
    <n v="5269"/>
    <x v="15"/>
    <m/>
    <m/>
    <m/>
    <m/>
    <m/>
    <m/>
    <m/>
    <m/>
    <m/>
    <m/>
    <m/>
    <m/>
    <m/>
    <m/>
    <m/>
    <m/>
    <m/>
    <m/>
    <m/>
    <m/>
    <m/>
    <m/>
    <m/>
    <m/>
    <m/>
    <m/>
    <n v="1"/>
    <m/>
    <m/>
    <m/>
    <m/>
    <m/>
    <m/>
    <m/>
    <m/>
    <m/>
    <m/>
    <m/>
    <m/>
    <m/>
    <m/>
    <m/>
    <m/>
    <m/>
    <m/>
    <m/>
    <m/>
    <m/>
    <m/>
    <m/>
    <m/>
    <m/>
    <m/>
    <m/>
    <m/>
    <m/>
    <m/>
    <m/>
    <m/>
    <m/>
  </r>
  <r>
    <x v="729"/>
    <n v="2009"/>
    <n v="6"/>
    <x v="10"/>
    <x v="1"/>
    <x v="0"/>
    <n v="3"/>
    <s v="2009_06_011.gif"/>
    <m/>
    <m/>
    <m/>
    <b v="0"/>
    <n v="0"/>
    <x v="0"/>
    <n v="730"/>
    <s v="Newton's 2nd Law (F=MA)"/>
    <n v="5270"/>
    <x v="15"/>
    <m/>
    <m/>
    <m/>
    <m/>
    <m/>
    <m/>
    <m/>
    <m/>
    <m/>
    <m/>
    <m/>
    <m/>
    <m/>
    <m/>
    <m/>
    <m/>
    <m/>
    <m/>
    <m/>
    <m/>
    <m/>
    <m/>
    <m/>
    <m/>
    <m/>
    <m/>
    <n v="1"/>
    <m/>
    <m/>
    <m/>
    <m/>
    <m/>
    <m/>
    <m/>
    <m/>
    <m/>
    <m/>
    <m/>
    <m/>
    <m/>
    <m/>
    <m/>
    <m/>
    <m/>
    <m/>
    <m/>
    <m/>
    <m/>
    <m/>
    <m/>
    <m/>
    <m/>
    <m/>
    <m/>
    <m/>
    <m/>
    <m/>
    <m/>
    <m/>
    <m/>
  </r>
  <r>
    <x v="730"/>
    <n v="2009"/>
    <n v="6"/>
    <x v="11"/>
    <x v="1"/>
    <x v="0"/>
    <n v="4"/>
    <s v="2009_06_012.gif"/>
    <m/>
    <m/>
    <m/>
    <b v="0"/>
    <n v="0"/>
    <x v="0"/>
    <n v="731"/>
    <s v="Weight and Mass"/>
    <n v="5271"/>
    <x v="15"/>
    <m/>
    <m/>
    <m/>
    <m/>
    <m/>
    <m/>
    <m/>
    <m/>
    <m/>
    <m/>
    <m/>
    <m/>
    <m/>
    <m/>
    <m/>
    <m/>
    <m/>
    <m/>
    <m/>
    <m/>
    <m/>
    <m/>
    <m/>
    <m/>
    <m/>
    <m/>
    <m/>
    <n v="1"/>
    <m/>
    <m/>
    <m/>
    <m/>
    <m/>
    <m/>
    <m/>
    <m/>
    <m/>
    <m/>
    <m/>
    <m/>
    <m/>
    <m/>
    <m/>
    <m/>
    <m/>
    <m/>
    <m/>
    <m/>
    <m/>
    <m/>
    <m/>
    <m/>
    <m/>
    <m/>
    <m/>
    <m/>
    <m/>
    <m/>
    <m/>
    <m/>
  </r>
  <r>
    <x v="731"/>
    <n v="2009"/>
    <n v="6"/>
    <x v="12"/>
    <x v="5"/>
    <x v="0"/>
    <n v="2"/>
    <s v="2009_06_013.gif"/>
    <m/>
    <m/>
    <m/>
    <b v="0"/>
    <n v="0"/>
    <x v="0"/>
    <n v="732"/>
    <s v="Work/Power"/>
    <n v="5272"/>
    <x v="15"/>
    <m/>
    <m/>
    <m/>
    <m/>
    <m/>
    <m/>
    <m/>
    <m/>
    <m/>
    <m/>
    <m/>
    <m/>
    <m/>
    <m/>
    <m/>
    <m/>
    <m/>
    <m/>
    <m/>
    <m/>
    <m/>
    <m/>
    <m/>
    <m/>
    <m/>
    <m/>
    <m/>
    <m/>
    <m/>
    <m/>
    <m/>
    <m/>
    <m/>
    <m/>
    <m/>
    <n v="1"/>
    <m/>
    <m/>
    <m/>
    <m/>
    <m/>
    <m/>
    <m/>
    <m/>
    <m/>
    <m/>
    <m/>
    <m/>
    <m/>
    <m/>
    <m/>
    <m/>
    <m/>
    <m/>
    <m/>
    <m/>
    <m/>
    <m/>
    <m/>
    <m/>
  </r>
  <r>
    <x v="732"/>
    <n v="2009"/>
    <n v="6"/>
    <x v="13"/>
    <x v="5"/>
    <x v="0"/>
    <n v="3"/>
    <s v="2009_06_014.gif"/>
    <m/>
    <m/>
    <m/>
    <b v="0"/>
    <n v="0"/>
    <x v="0"/>
    <n v="733"/>
    <s v="Gravitational PE"/>
    <n v="5273"/>
    <x v="15"/>
    <m/>
    <m/>
    <m/>
    <m/>
    <m/>
    <m/>
    <m/>
    <m/>
    <m/>
    <m/>
    <m/>
    <m/>
    <m/>
    <m/>
    <m/>
    <m/>
    <m/>
    <m/>
    <m/>
    <m/>
    <m/>
    <m/>
    <m/>
    <m/>
    <m/>
    <m/>
    <m/>
    <m/>
    <m/>
    <m/>
    <m/>
    <m/>
    <n v="1"/>
    <m/>
    <m/>
    <m/>
    <m/>
    <m/>
    <m/>
    <m/>
    <m/>
    <m/>
    <m/>
    <m/>
    <m/>
    <m/>
    <m/>
    <m/>
    <m/>
    <m/>
    <m/>
    <m/>
    <m/>
    <m/>
    <m/>
    <m/>
    <m/>
    <m/>
    <m/>
    <m/>
  </r>
  <r>
    <x v="733"/>
    <n v="2009"/>
    <n v="6"/>
    <x v="14"/>
    <x v="5"/>
    <x v="0"/>
    <n v="3"/>
    <s v="2009_06_015.gif"/>
    <m/>
    <m/>
    <m/>
    <b v="0"/>
    <n v="0"/>
    <x v="0"/>
    <n v="734"/>
    <s v="Conservation of Energy"/>
    <n v="5274"/>
    <x v="15"/>
    <m/>
    <m/>
    <m/>
    <m/>
    <m/>
    <m/>
    <m/>
    <m/>
    <m/>
    <m/>
    <m/>
    <m/>
    <m/>
    <m/>
    <m/>
    <m/>
    <m/>
    <m/>
    <m/>
    <m/>
    <m/>
    <m/>
    <m/>
    <m/>
    <m/>
    <m/>
    <m/>
    <m/>
    <m/>
    <m/>
    <m/>
    <n v="1"/>
    <m/>
    <m/>
    <m/>
    <m/>
    <m/>
    <m/>
    <m/>
    <m/>
    <m/>
    <m/>
    <m/>
    <m/>
    <m/>
    <m/>
    <m/>
    <m/>
    <m/>
    <m/>
    <m/>
    <m/>
    <m/>
    <m/>
    <m/>
    <m/>
    <m/>
    <m/>
    <m/>
    <m/>
  </r>
  <r>
    <x v="734"/>
    <n v="2009"/>
    <n v="6"/>
    <x v="15"/>
    <x v="5"/>
    <x v="0"/>
    <n v="1"/>
    <s v="2009_06_016.gif"/>
    <m/>
    <m/>
    <m/>
    <b v="0"/>
    <n v="0"/>
    <x v="0"/>
    <n v="735"/>
    <s v="PE of Spring"/>
    <n v="5275"/>
    <x v="15"/>
    <m/>
    <m/>
    <m/>
    <m/>
    <m/>
    <m/>
    <m/>
    <m/>
    <m/>
    <m/>
    <m/>
    <m/>
    <m/>
    <m/>
    <m/>
    <m/>
    <m/>
    <m/>
    <m/>
    <m/>
    <m/>
    <m/>
    <m/>
    <m/>
    <m/>
    <m/>
    <m/>
    <m/>
    <m/>
    <m/>
    <m/>
    <m/>
    <m/>
    <m/>
    <n v="1"/>
    <m/>
    <m/>
    <m/>
    <m/>
    <m/>
    <m/>
    <m/>
    <m/>
    <m/>
    <m/>
    <m/>
    <m/>
    <m/>
    <m/>
    <m/>
    <m/>
    <m/>
    <m/>
    <m/>
    <m/>
    <m/>
    <m/>
    <m/>
    <m/>
    <m/>
  </r>
  <r>
    <x v="735"/>
    <n v="2009"/>
    <n v="6"/>
    <x v="16"/>
    <x v="1"/>
    <x v="2"/>
    <n v="1"/>
    <s v="2009_06_017.gif"/>
    <m/>
    <m/>
    <m/>
    <b v="0"/>
    <n v="0"/>
    <x v="0"/>
    <n v="736"/>
    <s v="Law of Gravity,Mathematical Relationships (Numberless Problems)"/>
    <n v="5276"/>
    <x v="15"/>
    <m/>
    <m/>
    <m/>
    <m/>
    <m/>
    <m/>
    <m/>
    <m/>
    <m/>
    <m/>
    <m/>
    <m/>
    <m/>
    <m/>
    <m/>
    <m/>
    <m/>
    <m/>
    <m/>
    <m/>
    <m/>
    <m/>
    <m/>
    <m/>
    <n v="1"/>
    <m/>
    <m/>
    <m/>
    <m/>
    <m/>
    <m/>
    <m/>
    <m/>
    <m/>
    <m/>
    <m/>
    <m/>
    <m/>
    <m/>
    <m/>
    <m/>
    <m/>
    <m/>
    <m/>
    <m/>
    <m/>
    <m/>
    <m/>
    <m/>
    <m/>
    <m/>
    <m/>
    <m/>
    <m/>
    <m/>
    <m/>
    <m/>
    <m/>
    <n v="1"/>
    <m/>
  </r>
  <r>
    <x v="736"/>
    <n v="2009"/>
    <n v="6"/>
    <x v="17"/>
    <x v="8"/>
    <x v="0"/>
    <n v="3"/>
    <s v="2009_06_018.gif"/>
    <m/>
    <m/>
    <m/>
    <b v="0"/>
    <n v="0"/>
    <x v="0"/>
    <n v="737"/>
    <s v="Resistance of Wire"/>
    <n v="5277"/>
    <x v="15"/>
    <m/>
    <m/>
    <m/>
    <m/>
    <m/>
    <m/>
    <m/>
    <m/>
    <m/>
    <m/>
    <m/>
    <m/>
    <m/>
    <m/>
    <m/>
    <m/>
    <m/>
    <m/>
    <m/>
    <m/>
    <m/>
    <m/>
    <m/>
    <m/>
    <m/>
    <m/>
    <m/>
    <m/>
    <m/>
    <m/>
    <m/>
    <m/>
    <m/>
    <m/>
    <m/>
    <m/>
    <m/>
    <m/>
    <m/>
    <m/>
    <m/>
    <m/>
    <m/>
    <m/>
    <m/>
    <m/>
    <m/>
    <m/>
    <m/>
    <m/>
    <m/>
    <n v="1"/>
    <m/>
    <m/>
    <m/>
    <m/>
    <m/>
    <m/>
    <m/>
    <m/>
  </r>
  <r>
    <x v="737"/>
    <n v="2009"/>
    <n v="6"/>
    <x v="18"/>
    <x v="8"/>
    <x v="0"/>
    <n v="2"/>
    <s v="2009_06_019.gif"/>
    <m/>
    <m/>
    <m/>
    <b v="0"/>
    <n v="0"/>
    <x v="0"/>
    <n v="738"/>
    <s v="Ohm's Law"/>
    <n v="5278"/>
    <x v="15"/>
    <m/>
    <m/>
    <m/>
    <m/>
    <m/>
    <m/>
    <m/>
    <m/>
    <m/>
    <m/>
    <m/>
    <m/>
    <m/>
    <m/>
    <m/>
    <m/>
    <m/>
    <m/>
    <m/>
    <m/>
    <m/>
    <m/>
    <m/>
    <m/>
    <m/>
    <m/>
    <m/>
    <m/>
    <m/>
    <m/>
    <m/>
    <m/>
    <m/>
    <m/>
    <m/>
    <m/>
    <m/>
    <m/>
    <m/>
    <m/>
    <m/>
    <m/>
    <m/>
    <m/>
    <m/>
    <m/>
    <m/>
    <m/>
    <m/>
    <m/>
    <n v="1"/>
    <m/>
    <m/>
    <m/>
    <m/>
    <m/>
    <m/>
    <m/>
    <m/>
    <m/>
  </r>
  <r>
    <x v="738"/>
    <n v="2009"/>
    <n v="6"/>
    <x v="19"/>
    <x v="8"/>
    <x v="16"/>
    <n v="3"/>
    <s v="2009_06_020.gif"/>
    <m/>
    <m/>
    <m/>
    <b v="0"/>
    <n v="0"/>
    <x v="0"/>
    <n v="739"/>
    <s v="Electrical Power"/>
    <n v="5279"/>
    <x v="15"/>
    <m/>
    <m/>
    <m/>
    <m/>
    <m/>
    <m/>
    <m/>
    <m/>
    <m/>
    <m/>
    <m/>
    <m/>
    <m/>
    <m/>
    <m/>
    <m/>
    <m/>
    <m/>
    <m/>
    <m/>
    <m/>
    <m/>
    <m/>
    <m/>
    <m/>
    <m/>
    <m/>
    <m/>
    <m/>
    <m/>
    <m/>
    <m/>
    <m/>
    <m/>
    <m/>
    <m/>
    <m/>
    <m/>
    <m/>
    <m/>
    <m/>
    <m/>
    <m/>
    <m/>
    <m/>
    <m/>
    <m/>
    <m/>
    <m/>
    <n v="1"/>
    <m/>
    <m/>
    <m/>
    <m/>
    <m/>
    <m/>
    <m/>
    <m/>
    <m/>
    <m/>
  </r>
  <r>
    <x v="739"/>
    <n v="2009"/>
    <n v="6"/>
    <x v="20"/>
    <x v="6"/>
    <x v="0"/>
    <n v="4"/>
    <s v="2009_06_021.gif"/>
    <m/>
    <m/>
    <m/>
    <b v="0"/>
    <n v="0"/>
    <x v="0"/>
    <n v="740"/>
    <s v="Electric Fields and Potential"/>
    <n v="5280"/>
    <x v="15"/>
    <m/>
    <m/>
    <m/>
    <m/>
    <m/>
    <m/>
    <m/>
    <m/>
    <m/>
    <m/>
    <m/>
    <m/>
    <m/>
    <m/>
    <m/>
    <m/>
    <m/>
    <m/>
    <m/>
    <m/>
    <m/>
    <m/>
    <m/>
    <m/>
    <m/>
    <m/>
    <m/>
    <m/>
    <m/>
    <m/>
    <m/>
    <m/>
    <m/>
    <m/>
    <m/>
    <m/>
    <m/>
    <m/>
    <m/>
    <m/>
    <m/>
    <m/>
    <m/>
    <m/>
    <m/>
    <m/>
    <m/>
    <n v="1"/>
    <m/>
    <m/>
    <m/>
    <m/>
    <m/>
    <m/>
    <m/>
    <m/>
    <m/>
    <m/>
    <m/>
    <m/>
  </r>
  <r>
    <x v="740"/>
    <n v="2009"/>
    <n v="6"/>
    <x v="21"/>
    <x v="13"/>
    <x v="0"/>
    <n v="1"/>
    <s v="2009_06_022.gif"/>
    <m/>
    <m/>
    <m/>
    <b v="0"/>
    <n v="0"/>
    <x v="0"/>
    <n v="741"/>
    <s v="Magnetism"/>
    <n v="5281"/>
    <x v="15"/>
    <m/>
    <m/>
    <m/>
    <m/>
    <m/>
    <m/>
    <m/>
    <m/>
    <m/>
    <m/>
    <m/>
    <m/>
    <m/>
    <m/>
    <m/>
    <m/>
    <m/>
    <m/>
    <m/>
    <m/>
    <m/>
    <m/>
    <m/>
    <m/>
    <m/>
    <m/>
    <m/>
    <m/>
    <m/>
    <m/>
    <m/>
    <m/>
    <m/>
    <m/>
    <m/>
    <m/>
    <m/>
    <m/>
    <m/>
    <m/>
    <m/>
    <m/>
    <m/>
    <m/>
    <m/>
    <m/>
    <m/>
    <m/>
    <m/>
    <m/>
    <m/>
    <m/>
    <m/>
    <m/>
    <m/>
    <m/>
    <m/>
    <m/>
    <m/>
    <n v="1"/>
  </r>
  <r>
    <x v="741"/>
    <n v="2009"/>
    <n v="6"/>
    <x v="22"/>
    <x v="9"/>
    <x v="0"/>
    <n v="2"/>
    <s v="2009_06_023.gif"/>
    <m/>
    <m/>
    <m/>
    <b v="0"/>
    <n v="0"/>
    <x v="0"/>
    <n v="742"/>
    <s v="Light and Sound"/>
    <n v="5282"/>
    <x v="15"/>
    <m/>
    <m/>
    <m/>
    <m/>
    <m/>
    <m/>
    <m/>
    <m/>
    <m/>
    <m/>
    <m/>
    <m/>
    <m/>
    <m/>
    <m/>
    <m/>
    <m/>
    <m/>
    <m/>
    <m/>
    <m/>
    <m/>
    <m/>
    <m/>
    <m/>
    <m/>
    <m/>
    <m/>
    <m/>
    <m/>
    <m/>
    <m/>
    <m/>
    <m/>
    <m/>
    <m/>
    <m/>
    <m/>
    <m/>
    <m/>
    <m/>
    <m/>
    <n v="1"/>
    <m/>
    <m/>
    <m/>
    <m/>
    <m/>
    <m/>
    <m/>
    <m/>
    <m/>
    <m/>
    <m/>
    <m/>
    <m/>
    <m/>
    <m/>
    <m/>
    <m/>
  </r>
  <r>
    <x v="742"/>
    <n v="2009"/>
    <n v="6"/>
    <x v="23"/>
    <x v="7"/>
    <x v="0"/>
    <n v="1"/>
    <s v="2009_06_024.gif"/>
    <m/>
    <m/>
    <m/>
    <b v="0"/>
    <n v="0"/>
    <x v="0"/>
    <n v="743"/>
    <s v="Wave Vocabulary"/>
    <n v="5283"/>
    <x v="15"/>
    <m/>
    <m/>
    <m/>
    <m/>
    <m/>
    <m/>
    <m/>
    <m/>
    <m/>
    <m/>
    <m/>
    <m/>
    <m/>
    <m/>
    <m/>
    <m/>
    <m/>
    <m/>
    <m/>
    <m/>
    <m/>
    <m/>
    <m/>
    <m/>
    <m/>
    <m/>
    <m/>
    <m/>
    <m/>
    <m/>
    <m/>
    <m/>
    <m/>
    <m/>
    <m/>
    <m/>
    <m/>
    <m/>
    <m/>
    <n v="1"/>
    <m/>
    <m/>
    <m/>
    <m/>
    <m/>
    <m/>
    <m/>
    <m/>
    <m/>
    <m/>
    <m/>
    <m/>
    <m/>
    <m/>
    <m/>
    <m/>
    <m/>
    <m/>
    <m/>
    <m/>
  </r>
  <r>
    <x v="743"/>
    <n v="2009"/>
    <n v="6"/>
    <x v="24"/>
    <x v="7"/>
    <x v="0"/>
    <n v="2"/>
    <s v="2009_06_025.gif"/>
    <m/>
    <m/>
    <m/>
    <b v="0"/>
    <n v="0"/>
    <x v="0"/>
    <n v="744"/>
    <s v="Wave Vocabulary"/>
    <n v="5284"/>
    <x v="15"/>
    <m/>
    <m/>
    <m/>
    <m/>
    <m/>
    <m/>
    <m/>
    <m/>
    <m/>
    <m/>
    <m/>
    <m/>
    <m/>
    <m/>
    <m/>
    <m/>
    <m/>
    <m/>
    <m/>
    <m/>
    <m/>
    <m/>
    <m/>
    <m/>
    <m/>
    <m/>
    <m/>
    <m/>
    <m/>
    <m/>
    <m/>
    <m/>
    <m/>
    <m/>
    <m/>
    <m/>
    <m/>
    <m/>
    <m/>
    <n v="1"/>
    <m/>
    <m/>
    <m/>
    <m/>
    <m/>
    <m/>
    <m/>
    <m/>
    <m/>
    <m/>
    <m/>
    <m/>
    <m/>
    <m/>
    <m/>
    <m/>
    <m/>
    <m/>
    <m/>
    <m/>
  </r>
  <r>
    <x v="744"/>
    <n v="2009"/>
    <n v="6"/>
    <x v="25"/>
    <x v="9"/>
    <x v="5"/>
    <n v="2"/>
    <s v="2009_06_026.gif"/>
    <m/>
    <m/>
    <m/>
    <b v="0"/>
    <n v="0"/>
    <x v="0"/>
    <n v="745"/>
    <s v="V=FxLamda,Light and Sound"/>
    <n v="5285"/>
    <x v="15"/>
    <m/>
    <m/>
    <m/>
    <m/>
    <m/>
    <m/>
    <m/>
    <m/>
    <m/>
    <m/>
    <m/>
    <m/>
    <m/>
    <m/>
    <m/>
    <m/>
    <m/>
    <m/>
    <m/>
    <m/>
    <m/>
    <m/>
    <m/>
    <m/>
    <m/>
    <m/>
    <m/>
    <m/>
    <m/>
    <m/>
    <m/>
    <m/>
    <m/>
    <m/>
    <m/>
    <m/>
    <m/>
    <m/>
    <n v="1"/>
    <m/>
    <m/>
    <m/>
    <n v="1"/>
    <m/>
    <m/>
    <m/>
    <m/>
    <m/>
    <m/>
    <m/>
    <m/>
    <m/>
    <m/>
    <m/>
    <m/>
    <m/>
    <m/>
    <m/>
    <m/>
    <m/>
  </r>
  <r>
    <x v="745"/>
    <n v="2009"/>
    <n v="6"/>
    <x v="26"/>
    <x v="9"/>
    <x v="0"/>
    <n v="3"/>
    <s v="2009_06_027.gif"/>
    <m/>
    <m/>
    <m/>
    <b v="0"/>
    <n v="0"/>
    <x v="0"/>
    <n v="746"/>
    <s v="Light and Sound"/>
    <n v="5286"/>
    <x v="15"/>
    <m/>
    <m/>
    <m/>
    <m/>
    <m/>
    <m/>
    <m/>
    <m/>
    <m/>
    <m/>
    <m/>
    <m/>
    <m/>
    <m/>
    <m/>
    <m/>
    <m/>
    <m/>
    <m/>
    <m/>
    <m/>
    <m/>
    <m/>
    <m/>
    <m/>
    <m/>
    <m/>
    <m/>
    <m/>
    <m/>
    <m/>
    <m/>
    <m/>
    <m/>
    <m/>
    <m/>
    <m/>
    <m/>
    <m/>
    <m/>
    <m/>
    <m/>
    <n v="1"/>
    <m/>
    <m/>
    <m/>
    <m/>
    <m/>
    <m/>
    <m/>
    <m/>
    <m/>
    <m/>
    <m/>
    <m/>
    <m/>
    <m/>
    <m/>
    <m/>
    <m/>
  </r>
  <r>
    <x v="746"/>
    <n v="2009"/>
    <n v="6"/>
    <x v="27"/>
    <x v="9"/>
    <x v="0"/>
    <n v="4"/>
    <s v="2009_06_028.gif"/>
    <m/>
    <m/>
    <m/>
    <b v="0"/>
    <n v="0"/>
    <x v="0"/>
    <n v="747"/>
    <s v="Refraction and Snell's Law"/>
    <n v="5287"/>
    <x v="15"/>
    <m/>
    <m/>
    <m/>
    <m/>
    <m/>
    <m/>
    <m/>
    <m/>
    <m/>
    <m/>
    <m/>
    <m/>
    <m/>
    <m/>
    <m/>
    <m/>
    <m/>
    <m/>
    <m/>
    <m/>
    <m/>
    <m/>
    <m/>
    <m/>
    <m/>
    <m/>
    <m/>
    <m/>
    <m/>
    <m/>
    <m/>
    <m/>
    <m/>
    <m/>
    <m/>
    <m/>
    <m/>
    <m/>
    <m/>
    <m/>
    <m/>
    <m/>
    <m/>
    <n v="1"/>
    <m/>
    <m/>
    <m/>
    <m/>
    <m/>
    <m/>
    <m/>
    <m/>
    <m/>
    <m/>
    <m/>
    <m/>
    <m/>
    <m/>
    <m/>
    <m/>
  </r>
  <r>
    <x v="747"/>
    <n v="2009"/>
    <n v="6"/>
    <x v="28"/>
    <x v="7"/>
    <x v="0"/>
    <n v="2"/>
    <s v="2009_06_029.gif"/>
    <m/>
    <m/>
    <m/>
    <b v="0"/>
    <n v="0"/>
    <x v="0"/>
    <n v="748"/>
    <s v="Superposition and Standing Waves"/>
    <n v="5288"/>
    <x v="15"/>
    <m/>
    <m/>
    <m/>
    <m/>
    <m/>
    <m/>
    <m/>
    <m/>
    <m/>
    <m/>
    <m/>
    <m/>
    <m/>
    <m/>
    <m/>
    <m/>
    <m/>
    <m/>
    <m/>
    <m/>
    <m/>
    <m/>
    <m/>
    <m/>
    <m/>
    <m/>
    <m/>
    <m/>
    <m/>
    <m/>
    <m/>
    <m/>
    <m/>
    <m/>
    <m/>
    <m/>
    <m/>
    <n v="1"/>
    <m/>
    <m/>
    <m/>
    <m/>
    <m/>
    <m/>
    <m/>
    <m/>
    <m/>
    <m/>
    <m/>
    <m/>
    <m/>
    <m/>
    <m/>
    <m/>
    <m/>
    <m/>
    <m/>
    <m/>
    <m/>
    <m/>
  </r>
  <r>
    <x v="748"/>
    <n v="2009"/>
    <n v="6"/>
    <x v="29"/>
    <x v="7"/>
    <x v="12"/>
    <n v="1"/>
    <s v="2009_06_030.gif"/>
    <m/>
    <m/>
    <m/>
    <b v="0"/>
    <n v="0"/>
    <x v="0"/>
    <n v="749"/>
    <s v="Resonance,Light and Sound"/>
    <n v="5289"/>
    <x v="15"/>
    <m/>
    <m/>
    <m/>
    <m/>
    <m/>
    <m/>
    <m/>
    <m/>
    <m/>
    <m/>
    <m/>
    <m/>
    <m/>
    <m/>
    <m/>
    <m/>
    <m/>
    <m/>
    <m/>
    <m/>
    <m/>
    <m/>
    <m/>
    <m/>
    <m/>
    <m/>
    <m/>
    <m/>
    <m/>
    <m/>
    <m/>
    <m/>
    <m/>
    <m/>
    <m/>
    <m/>
    <n v="1"/>
    <m/>
    <m/>
    <m/>
    <m/>
    <m/>
    <n v="1"/>
    <m/>
    <m/>
    <m/>
    <m/>
    <m/>
    <m/>
    <m/>
    <m/>
    <m/>
    <m/>
    <m/>
    <m/>
    <m/>
    <m/>
    <m/>
    <m/>
    <m/>
  </r>
  <r>
    <x v="749"/>
    <n v="2009"/>
    <n v="6"/>
    <x v="30"/>
    <x v="10"/>
    <x v="0"/>
    <n v="4"/>
    <s v="2009_06_031.gif"/>
    <m/>
    <m/>
    <m/>
    <b v="0"/>
    <n v="0"/>
    <x v="0"/>
    <n v="750"/>
    <s v="Particle Physics"/>
    <n v="5290"/>
    <x v="15"/>
    <m/>
    <m/>
    <m/>
    <m/>
    <m/>
    <m/>
    <m/>
    <m/>
    <m/>
    <m/>
    <m/>
    <m/>
    <m/>
    <m/>
    <m/>
    <m/>
    <m/>
    <m/>
    <m/>
    <m/>
    <m/>
    <m/>
    <m/>
    <m/>
    <m/>
    <m/>
    <m/>
    <m/>
    <m/>
    <m/>
    <m/>
    <m/>
    <m/>
    <m/>
    <m/>
    <m/>
    <m/>
    <m/>
    <m/>
    <m/>
    <m/>
    <m/>
    <m/>
    <m/>
    <m/>
    <m/>
    <m/>
    <m/>
    <m/>
    <m/>
    <m/>
    <m/>
    <m/>
    <m/>
    <m/>
    <m/>
    <n v="1"/>
    <m/>
    <m/>
    <m/>
  </r>
  <r>
    <x v="750"/>
    <n v="2009"/>
    <n v="6"/>
    <x v="31"/>
    <x v="10"/>
    <x v="0"/>
    <n v="4"/>
    <s v="2009_06_032.gif"/>
    <m/>
    <m/>
    <m/>
    <b v="0"/>
    <n v="0"/>
    <x v="0"/>
    <n v="751"/>
    <s v="Energy/Frequency of Photon"/>
    <n v="5291"/>
    <x v="15"/>
    <m/>
    <m/>
    <m/>
    <m/>
    <m/>
    <m/>
    <m/>
    <m/>
    <m/>
    <m/>
    <m/>
    <m/>
    <m/>
    <m/>
    <m/>
    <m/>
    <m/>
    <m/>
    <m/>
    <m/>
    <m/>
    <m/>
    <m/>
    <m/>
    <m/>
    <m/>
    <m/>
    <m/>
    <m/>
    <m/>
    <m/>
    <m/>
    <m/>
    <m/>
    <m/>
    <m/>
    <m/>
    <m/>
    <m/>
    <m/>
    <m/>
    <m/>
    <m/>
    <m/>
    <m/>
    <m/>
    <m/>
    <m/>
    <m/>
    <m/>
    <m/>
    <m/>
    <m/>
    <m/>
    <n v="1"/>
    <m/>
    <m/>
    <m/>
    <m/>
    <m/>
  </r>
  <r>
    <x v="751"/>
    <n v="2009"/>
    <n v="6"/>
    <x v="32"/>
    <x v="10"/>
    <x v="0"/>
    <n v="2"/>
    <s v="2009_06_033.gif"/>
    <m/>
    <m/>
    <m/>
    <b v="0"/>
    <n v="0"/>
    <x v="0"/>
    <n v="752"/>
    <s v="Energy/Frequency of Photon"/>
    <n v="5292"/>
    <x v="15"/>
    <m/>
    <m/>
    <m/>
    <m/>
    <m/>
    <m/>
    <m/>
    <m/>
    <m/>
    <m/>
    <m/>
    <m/>
    <m/>
    <m/>
    <m/>
    <m/>
    <m/>
    <m/>
    <m/>
    <m/>
    <m/>
    <m/>
    <m/>
    <m/>
    <m/>
    <m/>
    <m/>
    <m/>
    <m/>
    <m/>
    <m/>
    <m/>
    <m/>
    <m/>
    <m/>
    <m/>
    <m/>
    <m/>
    <m/>
    <m/>
    <m/>
    <m/>
    <m/>
    <m/>
    <m/>
    <m/>
    <m/>
    <m/>
    <m/>
    <m/>
    <m/>
    <m/>
    <m/>
    <m/>
    <n v="1"/>
    <m/>
    <m/>
    <m/>
    <m/>
    <m/>
  </r>
  <r>
    <x v="752"/>
    <n v="2009"/>
    <n v="6"/>
    <x v="33"/>
    <x v="14"/>
    <x v="6"/>
    <n v="4"/>
    <s v="2009_06_034.gif"/>
    <m/>
    <m/>
    <m/>
    <b v="0"/>
    <n v="0"/>
    <x v="0"/>
    <n v="753"/>
    <s v="Law of Gravity,Mathematical Relationships (Numberless Problems)"/>
    <n v="5293"/>
    <x v="15"/>
    <m/>
    <m/>
    <m/>
    <m/>
    <m/>
    <m/>
    <m/>
    <m/>
    <m/>
    <m/>
    <m/>
    <m/>
    <m/>
    <m/>
    <m/>
    <m/>
    <m/>
    <m/>
    <m/>
    <m/>
    <m/>
    <m/>
    <m/>
    <m/>
    <n v="1"/>
    <m/>
    <m/>
    <m/>
    <m/>
    <m/>
    <m/>
    <m/>
    <m/>
    <m/>
    <m/>
    <m/>
    <m/>
    <m/>
    <m/>
    <m/>
    <m/>
    <m/>
    <m/>
    <m/>
    <m/>
    <m/>
    <m/>
    <m/>
    <m/>
    <m/>
    <m/>
    <m/>
    <m/>
    <m/>
    <m/>
    <m/>
    <m/>
    <m/>
    <n v="1"/>
    <m/>
  </r>
  <r>
    <x v="753"/>
    <n v="2009"/>
    <n v="6"/>
    <x v="34"/>
    <x v="10"/>
    <x v="0"/>
    <n v="1"/>
    <s v="2009_06_035.gif"/>
    <m/>
    <m/>
    <m/>
    <b v="0"/>
    <n v="0"/>
    <x v="0"/>
    <n v="754"/>
    <s v="Energy/Mass Equivalency,Particle Physics"/>
    <n v="5294"/>
    <x v="15"/>
    <m/>
    <m/>
    <m/>
    <m/>
    <m/>
    <m/>
    <m/>
    <m/>
    <m/>
    <m/>
    <m/>
    <m/>
    <m/>
    <m/>
    <m/>
    <m/>
    <m/>
    <m/>
    <m/>
    <m/>
    <m/>
    <m/>
    <m/>
    <m/>
    <m/>
    <m/>
    <m/>
    <m/>
    <m/>
    <m/>
    <m/>
    <m/>
    <m/>
    <m/>
    <m/>
    <m/>
    <m/>
    <m/>
    <m/>
    <m/>
    <m/>
    <m/>
    <m/>
    <m/>
    <m/>
    <m/>
    <m/>
    <m/>
    <m/>
    <m/>
    <m/>
    <m/>
    <m/>
    <m/>
    <m/>
    <n v="1"/>
    <n v="1"/>
    <m/>
    <m/>
    <m/>
  </r>
  <r>
    <x v="754"/>
    <n v="2009"/>
    <n v="6"/>
    <x v="35"/>
    <x v="11"/>
    <x v="0"/>
    <n v="1"/>
    <s v="2009_06_036.gif"/>
    <m/>
    <m/>
    <m/>
    <b v="0"/>
    <n v="0"/>
    <x v="1"/>
    <n v="755"/>
    <s v="Estimation"/>
    <n v="5295"/>
    <x v="15"/>
    <m/>
    <m/>
    <n v="1"/>
    <m/>
    <m/>
    <m/>
    <m/>
    <m/>
    <m/>
    <m/>
    <m/>
    <m/>
    <m/>
    <m/>
    <m/>
    <m/>
    <m/>
    <m/>
    <m/>
    <m/>
    <m/>
    <m/>
    <m/>
    <m/>
    <m/>
    <m/>
    <m/>
    <m/>
    <m/>
    <m/>
    <m/>
    <m/>
    <m/>
    <m/>
    <m/>
    <m/>
    <m/>
    <m/>
    <m/>
    <m/>
    <m/>
    <m/>
    <m/>
    <m/>
    <m/>
    <m/>
    <m/>
    <m/>
    <m/>
    <m/>
    <m/>
    <m/>
    <m/>
    <m/>
    <m/>
    <m/>
    <m/>
    <m/>
    <m/>
    <m/>
  </r>
  <r>
    <x v="755"/>
    <n v="2009"/>
    <n v="6"/>
    <x v="36"/>
    <x v="2"/>
    <x v="0"/>
    <n v="1"/>
    <s v="2009_06_037.gif"/>
    <m/>
    <m/>
    <m/>
    <b v="0"/>
    <n v="0"/>
    <x v="1"/>
    <n v="756"/>
    <s v="DT/VT Graphs"/>
    <n v="5296"/>
    <x v="15"/>
    <m/>
    <m/>
    <m/>
    <m/>
    <n v="1"/>
    <m/>
    <m/>
    <m/>
    <m/>
    <m/>
    <m/>
    <m/>
    <m/>
    <m/>
    <m/>
    <m/>
    <m/>
    <m/>
    <m/>
    <m/>
    <m/>
    <m/>
    <m/>
    <m/>
    <m/>
    <m/>
    <m/>
    <m/>
    <m/>
    <m/>
    <m/>
    <m/>
    <m/>
    <m/>
    <m/>
    <m/>
    <m/>
    <m/>
    <m/>
    <m/>
    <m/>
    <m/>
    <m/>
    <m/>
    <m/>
    <m/>
    <m/>
    <m/>
    <m/>
    <m/>
    <m/>
    <m/>
    <m/>
    <m/>
    <m/>
    <m/>
    <m/>
    <m/>
    <m/>
    <m/>
  </r>
  <r>
    <x v="756"/>
    <n v="2009"/>
    <n v="6"/>
    <x v="37"/>
    <x v="2"/>
    <x v="0"/>
    <n v="3"/>
    <s v="2009_06_038.gif"/>
    <m/>
    <m/>
    <m/>
    <b v="0"/>
    <n v="0"/>
    <x v="1"/>
    <n v="757"/>
    <s v="DT/VT Graphs"/>
    <n v="5297"/>
    <x v="15"/>
    <m/>
    <m/>
    <m/>
    <m/>
    <n v="1"/>
    <m/>
    <m/>
    <m/>
    <m/>
    <m/>
    <m/>
    <m/>
    <m/>
    <m/>
    <m/>
    <m/>
    <m/>
    <m/>
    <m/>
    <m/>
    <m/>
    <m/>
    <m/>
    <m/>
    <m/>
    <m/>
    <m/>
    <m/>
    <m/>
    <m/>
    <m/>
    <m/>
    <m/>
    <m/>
    <m/>
    <m/>
    <m/>
    <m/>
    <m/>
    <m/>
    <m/>
    <m/>
    <m/>
    <m/>
    <m/>
    <m/>
    <m/>
    <m/>
    <m/>
    <m/>
    <m/>
    <m/>
    <m/>
    <m/>
    <m/>
    <m/>
    <m/>
    <m/>
    <m/>
    <m/>
  </r>
  <r>
    <x v="757"/>
    <n v="2009"/>
    <n v="6"/>
    <x v="38"/>
    <x v="1"/>
    <x v="0"/>
    <n v="2"/>
    <s v="2009_06_039.gif"/>
    <m/>
    <m/>
    <m/>
    <b v="0"/>
    <n v="0"/>
    <x v="1"/>
    <n v="758"/>
    <s v="Weight and Mass"/>
    <n v="5298"/>
    <x v="15"/>
    <m/>
    <m/>
    <m/>
    <m/>
    <m/>
    <m/>
    <m/>
    <m/>
    <m/>
    <m/>
    <m/>
    <m/>
    <m/>
    <m/>
    <m/>
    <m/>
    <m/>
    <m/>
    <m/>
    <m/>
    <m/>
    <m/>
    <m/>
    <m/>
    <m/>
    <m/>
    <m/>
    <n v="1"/>
    <m/>
    <m/>
    <m/>
    <m/>
    <m/>
    <m/>
    <m/>
    <m/>
    <m/>
    <m/>
    <m/>
    <m/>
    <m/>
    <m/>
    <m/>
    <m/>
    <m/>
    <m/>
    <m/>
    <m/>
    <m/>
    <m/>
    <m/>
    <m/>
    <m/>
    <m/>
    <m/>
    <m/>
    <m/>
    <m/>
    <m/>
    <m/>
  </r>
  <r>
    <x v="758"/>
    <n v="2009"/>
    <n v="6"/>
    <x v="39"/>
    <x v="4"/>
    <x v="0"/>
    <n v="4"/>
    <s v="2009_06_040.gif"/>
    <m/>
    <m/>
    <m/>
    <b v="0"/>
    <n v="0"/>
    <x v="1"/>
    <n v="759"/>
    <s v="Impulse"/>
    <n v="5299"/>
    <x v="15"/>
    <m/>
    <m/>
    <m/>
    <m/>
    <m/>
    <m/>
    <m/>
    <m/>
    <m/>
    <m/>
    <m/>
    <m/>
    <m/>
    <m/>
    <m/>
    <m/>
    <m/>
    <m/>
    <m/>
    <m/>
    <m/>
    <m/>
    <m/>
    <m/>
    <m/>
    <m/>
    <m/>
    <m/>
    <m/>
    <n v="1"/>
    <m/>
    <m/>
    <m/>
    <m/>
    <m/>
    <m/>
    <m/>
    <m/>
    <m/>
    <m/>
    <m/>
    <m/>
    <m/>
    <m/>
    <m/>
    <m/>
    <m/>
    <m/>
    <m/>
    <m/>
    <m/>
    <m/>
    <m/>
    <m/>
    <m/>
    <m/>
    <m/>
    <m/>
    <m/>
    <m/>
  </r>
  <r>
    <x v="759"/>
    <n v="2009"/>
    <n v="6"/>
    <x v="40"/>
    <x v="5"/>
    <x v="2"/>
    <n v="3"/>
    <s v="2009_06_041.gif"/>
    <m/>
    <m/>
    <m/>
    <b v="0"/>
    <n v="0"/>
    <x v="1"/>
    <n v="760"/>
    <s v="Work/Power,Graph Interpretation"/>
    <n v="5300"/>
    <x v="15"/>
    <m/>
    <m/>
    <m/>
    <m/>
    <m/>
    <m/>
    <m/>
    <m/>
    <m/>
    <m/>
    <m/>
    <m/>
    <m/>
    <m/>
    <m/>
    <m/>
    <m/>
    <m/>
    <m/>
    <m/>
    <m/>
    <m/>
    <m/>
    <m/>
    <m/>
    <m/>
    <m/>
    <m/>
    <m/>
    <m/>
    <m/>
    <m/>
    <m/>
    <m/>
    <m/>
    <n v="1"/>
    <m/>
    <m/>
    <m/>
    <m/>
    <m/>
    <m/>
    <m/>
    <m/>
    <m/>
    <m/>
    <m/>
    <m/>
    <m/>
    <m/>
    <m/>
    <m/>
    <m/>
    <m/>
    <m/>
    <m/>
    <m/>
    <n v="1"/>
    <m/>
    <m/>
  </r>
  <r>
    <x v="760"/>
    <n v="2009"/>
    <n v="6"/>
    <x v="41"/>
    <x v="5"/>
    <x v="2"/>
    <n v="3"/>
    <s v="2009_06_042.gif"/>
    <m/>
    <m/>
    <m/>
    <b v="0"/>
    <n v="0"/>
    <x v="1"/>
    <n v="761"/>
    <s v="Conservation of Energy,Graph Interpretation"/>
    <n v="5301"/>
    <x v="15"/>
    <m/>
    <m/>
    <m/>
    <m/>
    <m/>
    <m/>
    <m/>
    <m/>
    <m/>
    <m/>
    <m/>
    <m/>
    <m/>
    <m/>
    <m/>
    <m/>
    <m/>
    <m/>
    <m/>
    <m/>
    <m/>
    <m/>
    <m/>
    <m/>
    <m/>
    <m/>
    <m/>
    <m/>
    <m/>
    <m/>
    <m/>
    <n v="1"/>
    <m/>
    <m/>
    <m/>
    <m/>
    <m/>
    <m/>
    <m/>
    <m/>
    <m/>
    <m/>
    <m/>
    <m/>
    <m/>
    <m/>
    <m/>
    <m/>
    <m/>
    <m/>
    <m/>
    <m/>
    <m/>
    <m/>
    <m/>
    <m/>
    <m/>
    <n v="1"/>
    <m/>
    <m/>
  </r>
  <r>
    <x v="761"/>
    <n v="2009"/>
    <n v="6"/>
    <x v="42"/>
    <x v="11"/>
    <x v="0"/>
    <n v="1"/>
    <s v="2009_06_043.gif"/>
    <m/>
    <m/>
    <m/>
    <b v="0"/>
    <n v="0"/>
    <x v="1"/>
    <n v="762"/>
    <s v="Units"/>
    <n v="5302"/>
    <x v="15"/>
    <m/>
    <m/>
    <m/>
    <n v="1"/>
    <m/>
    <m/>
    <m/>
    <m/>
    <m/>
    <m/>
    <m/>
    <m/>
    <m/>
    <m/>
    <m/>
    <m/>
    <m/>
    <m/>
    <m/>
    <m/>
    <m/>
    <m/>
    <m/>
    <m/>
    <m/>
    <m/>
    <m/>
    <m/>
    <m/>
    <m/>
    <m/>
    <m/>
    <m/>
    <m/>
    <m/>
    <m/>
    <m/>
    <m/>
    <m/>
    <m/>
    <m/>
    <m/>
    <m/>
    <m/>
    <m/>
    <m/>
    <m/>
    <m/>
    <m/>
    <m/>
    <m/>
    <m/>
    <m/>
    <m/>
    <m/>
    <m/>
    <m/>
    <m/>
    <m/>
    <m/>
  </r>
  <r>
    <x v="762"/>
    <n v="2009"/>
    <n v="6"/>
    <x v="43"/>
    <x v="10"/>
    <x v="2"/>
    <n v="4"/>
    <s v="2009_06_044.gif"/>
    <m/>
    <m/>
    <m/>
    <b v="0"/>
    <n v="0"/>
    <x v="1"/>
    <n v="763"/>
    <s v="Energy/Frequency of Photon,Mathematical Relationships (Numberless Problems)"/>
    <n v="5303"/>
    <x v="15"/>
    <m/>
    <m/>
    <m/>
    <m/>
    <m/>
    <m/>
    <m/>
    <m/>
    <m/>
    <m/>
    <m/>
    <m/>
    <m/>
    <m/>
    <m/>
    <m/>
    <m/>
    <m/>
    <m/>
    <m/>
    <m/>
    <m/>
    <m/>
    <m/>
    <m/>
    <m/>
    <m/>
    <m/>
    <m/>
    <m/>
    <m/>
    <m/>
    <m/>
    <m/>
    <m/>
    <m/>
    <m/>
    <m/>
    <m/>
    <m/>
    <m/>
    <m/>
    <m/>
    <m/>
    <m/>
    <m/>
    <m/>
    <m/>
    <m/>
    <m/>
    <m/>
    <m/>
    <m/>
    <m/>
    <n v="1"/>
    <m/>
    <m/>
    <m/>
    <n v="1"/>
    <m/>
  </r>
  <r>
    <x v="763"/>
    <n v="2009"/>
    <n v="6"/>
    <x v="44"/>
    <x v="8"/>
    <x v="2"/>
    <n v="1"/>
    <s v="2009_06_045.gif"/>
    <m/>
    <m/>
    <m/>
    <b v="0"/>
    <n v="0"/>
    <x v="1"/>
    <n v="764"/>
    <s v="Ohm's Law,Graph Interpretation"/>
    <n v="5304"/>
    <x v="15"/>
    <m/>
    <m/>
    <m/>
    <m/>
    <m/>
    <m/>
    <m/>
    <m/>
    <m/>
    <m/>
    <m/>
    <m/>
    <m/>
    <m/>
    <m/>
    <m/>
    <m/>
    <m/>
    <m/>
    <m/>
    <m/>
    <m/>
    <m/>
    <m/>
    <m/>
    <m/>
    <m/>
    <m/>
    <m/>
    <m/>
    <m/>
    <m/>
    <m/>
    <m/>
    <m/>
    <m/>
    <m/>
    <m/>
    <m/>
    <m/>
    <m/>
    <m/>
    <m/>
    <m/>
    <m/>
    <m/>
    <m/>
    <m/>
    <m/>
    <m/>
    <n v="1"/>
    <m/>
    <m/>
    <m/>
    <m/>
    <m/>
    <m/>
    <n v="1"/>
    <m/>
    <m/>
  </r>
  <r>
    <x v="764"/>
    <n v="2009"/>
    <n v="6"/>
    <x v="45"/>
    <x v="8"/>
    <x v="0"/>
    <n v="4"/>
    <s v="2009_06_046.gif"/>
    <m/>
    <m/>
    <m/>
    <b v="0"/>
    <n v="0"/>
    <x v="1"/>
    <n v="765"/>
    <s v="Series and Parallel"/>
    <n v="5305"/>
    <x v="15"/>
    <m/>
    <m/>
    <m/>
    <m/>
    <m/>
    <m/>
    <m/>
    <m/>
    <m/>
    <m/>
    <m/>
    <m/>
    <m/>
    <m/>
    <m/>
    <m/>
    <m/>
    <m/>
    <m/>
    <m/>
    <m/>
    <m/>
    <m/>
    <m/>
    <m/>
    <m/>
    <m/>
    <m/>
    <m/>
    <m/>
    <m/>
    <m/>
    <m/>
    <m/>
    <m/>
    <m/>
    <m/>
    <m/>
    <m/>
    <m/>
    <m/>
    <m/>
    <m/>
    <m/>
    <m/>
    <m/>
    <m/>
    <m/>
    <m/>
    <m/>
    <m/>
    <m/>
    <n v="1"/>
    <m/>
    <m/>
    <m/>
    <m/>
    <m/>
    <m/>
    <m/>
  </r>
  <r>
    <x v="765"/>
    <n v="2009"/>
    <n v="6"/>
    <x v="46"/>
    <x v="8"/>
    <x v="0"/>
    <n v="3"/>
    <s v="2009_06_047.gif"/>
    <m/>
    <m/>
    <m/>
    <b v="0"/>
    <n v="0"/>
    <x v="1"/>
    <n v="766"/>
    <s v="Series and Parallel"/>
    <n v="5306"/>
    <x v="15"/>
    <m/>
    <m/>
    <m/>
    <m/>
    <m/>
    <m/>
    <m/>
    <m/>
    <m/>
    <m/>
    <m/>
    <m/>
    <m/>
    <m/>
    <m/>
    <m/>
    <m/>
    <m/>
    <m/>
    <m/>
    <m/>
    <m/>
    <m/>
    <m/>
    <m/>
    <m/>
    <m/>
    <m/>
    <m/>
    <m/>
    <m/>
    <m/>
    <m/>
    <m/>
    <m/>
    <m/>
    <m/>
    <m/>
    <m/>
    <m/>
    <m/>
    <m/>
    <m/>
    <m/>
    <m/>
    <m/>
    <m/>
    <m/>
    <m/>
    <m/>
    <m/>
    <m/>
    <n v="1"/>
    <m/>
    <m/>
    <m/>
    <m/>
    <m/>
    <m/>
    <m/>
  </r>
  <r>
    <x v="766"/>
    <n v="2010"/>
    <n v="6"/>
    <x v="0"/>
    <x v="2"/>
    <x v="0"/>
    <n v="2"/>
    <s v="2010_06_001.gif"/>
    <m/>
    <m/>
    <m/>
    <b v="0"/>
    <n v="0"/>
    <x v="0"/>
    <n v="767"/>
    <s v="Basic Motion Concepts"/>
    <n v="5334"/>
    <x v="16"/>
    <m/>
    <m/>
    <m/>
    <m/>
    <m/>
    <m/>
    <m/>
    <n v="1"/>
    <m/>
    <m/>
    <m/>
    <m/>
    <m/>
    <m/>
    <m/>
    <m/>
    <m/>
    <m/>
    <m/>
    <m/>
    <m/>
    <m/>
    <m/>
    <m/>
    <m/>
    <m/>
    <m/>
    <m/>
    <m/>
    <m/>
    <m/>
    <m/>
    <m/>
    <m/>
    <m/>
    <m/>
    <m/>
    <m/>
    <m/>
    <m/>
    <m/>
    <m/>
    <m/>
    <m/>
    <m/>
    <m/>
    <m/>
    <m/>
    <m/>
    <m/>
    <m/>
    <m/>
    <m/>
    <m/>
    <m/>
    <m/>
    <m/>
    <m/>
    <m/>
    <m/>
  </r>
  <r>
    <x v="767"/>
    <n v="2010"/>
    <n v="6"/>
    <x v="1"/>
    <x v="2"/>
    <x v="0"/>
    <n v="3"/>
    <s v="2010_06_002.gif"/>
    <m/>
    <m/>
    <m/>
    <b v="0"/>
    <n v="0"/>
    <x v="0"/>
    <n v="768"/>
    <s v="Basic Motion Concepts"/>
    <n v="5335"/>
    <x v="16"/>
    <m/>
    <m/>
    <m/>
    <m/>
    <m/>
    <m/>
    <m/>
    <n v="1"/>
    <m/>
    <m/>
    <m/>
    <m/>
    <m/>
    <m/>
    <m/>
    <m/>
    <m/>
    <m/>
    <m/>
    <m/>
    <m/>
    <m/>
    <m/>
    <m/>
    <m/>
    <m/>
    <m/>
    <m/>
    <m/>
    <m/>
    <m/>
    <m/>
    <m/>
    <m/>
    <m/>
    <m/>
    <m/>
    <m/>
    <m/>
    <m/>
    <m/>
    <m/>
    <m/>
    <m/>
    <m/>
    <m/>
    <m/>
    <m/>
    <m/>
    <m/>
    <m/>
    <m/>
    <m/>
    <m/>
    <m/>
    <m/>
    <m/>
    <m/>
    <m/>
    <m/>
  </r>
  <r>
    <x v="768"/>
    <n v="2010"/>
    <n v="6"/>
    <x v="2"/>
    <x v="2"/>
    <x v="0"/>
    <n v="3"/>
    <s v="2010_06_003.gif"/>
    <m/>
    <m/>
    <m/>
    <b v="0"/>
    <n v="0"/>
    <x v="0"/>
    <n v="769"/>
    <s v="Horizontal Constant Acceleration Problems"/>
    <n v="5336"/>
    <x v="16"/>
    <m/>
    <m/>
    <m/>
    <m/>
    <m/>
    <m/>
    <m/>
    <m/>
    <m/>
    <n v="1"/>
    <m/>
    <m/>
    <m/>
    <m/>
    <m/>
    <m/>
    <m/>
    <m/>
    <m/>
    <m/>
    <m/>
    <m/>
    <m/>
    <m/>
    <m/>
    <m/>
    <m/>
    <m/>
    <m/>
    <m/>
    <m/>
    <m/>
    <m/>
    <m/>
    <m/>
    <m/>
    <m/>
    <m/>
    <m/>
    <m/>
    <m/>
    <m/>
    <m/>
    <m/>
    <m/>
    <m/>
    <m/>
    <m/>
    <m/>
    <m/>
    <m/>
    <m/>
    <m/>
    <m/>
    <m/>
    <m/>
    <m/>
    <m/>
    <m/>
    <m/>
  </r>
  <r>
    <x v="769"/>
    <n v="2010"/>
    <n v="6"/>
    <x v="3"/>
    <x v="4"/>
    <x v="0"/>
    <n v="4"/>
    <s v="2010_06_004.gif"/>
    <m/>
    <m/>
    <m/>
    <b v="0"/>
    <n v="0"/>
    <x v="0"/>
    <n v="770"/>
    <s v="Impulse"/>
    <n v="5337"/>
    <x v="16"/>
    <m/>
    <m/>
    <m/>
    <m/>
    <m/>
    <m/>
    <m/>
    <m/>
    <m/>
    <m/>
    <m/>
    <m/>
    <m/>
    <m/>
    <m/>
    <m/>
    <m/>
    <m/>
    <m/>
    <m/>
    <m/>
    <m/>
    <m/>
    <m/>
    <m/>
    <m/>
    <m/>
    <m/>
    <m/>
    <n v="1"/>
    <m/>
    <m/>
    <m/>
    <m/>
    <m/>
    <m/>
    <m/>
    <m/>
    <m/>
    <m/>
    <m/>
    <m/>
    <m/>
    <m/>
    <m/>
    <m/>
    <m/>
    <m/>
    <m/>
    <m/>
    <m/>
    <m/>
    <m/>
    <m/>
    <m/>
    <m/>
    <m/>
    <m/>
    <m/>
    <m/>
  </r>
  <r>
    <x v="770"/>
    <n v="2010"/>
    <n v="6"/>
    <x v="4"/>
    <x v="1"/>
    <x v="0"/>
    <n v="4"/>
    <s v="2010_06_005.gif"/>
    <m/>
    <m/>
    <m/>
    <b v="0"/>
    <n v="0"/>
    <x v="0"/>
    <n v="771"/>
    <s v="Newton's 2nd Law (F=MA)"/>
    <n v="5338"/>
    <x v="16"/>
    <m/>
    <m/>
    <m/>
    <m/>
    <m/>
    <m/>
    <m/>
    <m/>
    <m/>
    <m/>
    <m/>
    <m/>
    <m/>
    <m/>
    <m/>
    <m/>
    <m/>
    <m/>
    <m/>
    <m/>
    <m/>
    <m/>
    <m/>
    <m/>
    <m/>
    <m/>
    <n v="1"/>
    <m/>
    <m/>
    <m/>
    <m/>
    <m/>
    <m/>
    <m/>
    <m/>
    <m/>
    <m/>
    <m/>
    <m/>
    <m/>
    <m/>
    <m/>
    <m/>
    <m/>
    <m/>
    <m/>
    <m/>
    <m/>
    <m/>
    <m/>
    <m/>
    <m/>
    <m/>
    <m/>
    <m/>
    <m/>
    <m/>
    <m/>
    <m/>
    <m/>
  </r>
  <r>
    <x v="771"/>
    <n v="2010"/>
    <n v="6"/>
    <x v="5"/>
    <x v="3"/>
    <x v="0"/>
    <n v="1"/>
    <s v="2010_06_006.gif"/>
    <m/>
    <m/>
    <m/>
    <b v="0"/>
    <n v="0"/>
    <x v="0"/>
    <n v="772"/>
    <s v="Horizontal Projectile Time of Flight"/>
    <n v="5339"/>
    <x v="16"/>
    <m/>
    <m/>
    <m/>
    <m/>
    <m/>
    <m/>
    <m/>
    <m/>
    <m/>
    <m/>
    <m/>
    <m/>
    <m/>
    <m/>
    <m/>
    <m/>
    <m/>
    <n v="1"/>
    <m/>
    <m/>
    <m/>
    <m/>
    <m/>
    <m/>
    <m/>
    <m/>
    <m/>
    <m/>
    <m/>
    <m/>
    <m/>
    <m/>
    <m/>
    <m/>
    <m/>
    <m/>
    <m/>
    <m/>
    <m/>
    <m/>
    <m/>
    <m/>
    <m/>
    <m/>
    <m/>
    <m/>
    <m/>
    <m/>
    <m/>
    <m/>
    <m/>
    <m/>
    <m/>
    <m/>
    <m/>
    <m/>
    <m/>
    <m/>
    <m/>
    <m/>
  </r>
  <r>
    <x v="772"/>
    <n v="2010"/>
    <n v="6"/>
    <x v="6"/>
    <x v="1"/>
    <x v="0"/>
    <n v="2"/>
    <s v="2010_06_007.gif"/>
    <m/>
    <m/>
    <m/>
    <b v="0"/>
    <n v="0"/>
    <x v="0"/>
    <n v="773"/>
    <s v="Weight and Mass"/>
    <n v="5340"/>
    <x v="16"/>
    <m/>
    <m/>
    <m/>
    <m/>
    <m/>
    <m/>
    <m/>
    <m/>
    <m/>
    <m/>
    <m/>
    <m/>
    <m/>
    <m/>
    <m/>
    <m/>
    <m/>
    <m/>
    <m/>
    <m/>
    <m/>
    <m/>
    <m/>
    <m/>
    <m/>
    <m/>
    <m/>
    <n v="1"/>
    <m/>
    <m/>
    <m/>
    <m/>
    <m/>
    <m/>
    <m/>
    <m/>
    <m/>
    <m/>
    <m/>
    <m/>
    <m/>
    <m/>
    <m/>
    <m/>
    <m/>
    <m/>
    <m/>
    <m/>
    <m/>
    <m/>
    <m/>
    <m/>
    <m/>
    <m/>
    <m/>
    <m/>
    <m/>
    <m/>
    <m/>
    <m/>
  </r>
  <r>
    <x v="773"/>
    <n v="2010"/>
    <n v="6"/>
    <x v="7"/>
    <x v="4"/>
    <x v="0"/>
    <n v="1"/>
    <s v="2010_06_008.gif"/>
    <m/>
    <m/>
    <m/>
    <b v="0"/>
    <n v="0"/>
    <x v="0"/>
    <n v="774"/>
    <s v="Newton's 3rd Law (Equal But Opposite)"/>
    <n v="5341"/>
    <x v="16"/>
    <m/>
    <m/>
    <m/>
    <m/>
    <m/>
    <m/>
    <m/>
    <m/>
    <m/>
    <m/>
    <m/>
    <m/>
    <m/>
    <m/>
    <m/>
    <m/>
    <m/>
    <m/>
    <m/>
    <m/>
    <m/>
    <m/>
    <m/>
    <m/>
    <m/>
    <m/>
    <m/>
    <m/>
    <m/>
    <m/>
    <n v="1"/>
    <m/>
    <m/>
    <m/>
    <m/>
    <m/>
    <m/>
    <m/>
    <m/>
    <m/>
    <m/>
    <m/>
    <m/>
    <m/>
    <m/>
    <m/>
    <m/>
    <m/>
    <m/>
    <m/>
    <m/>
    <m/>
    <m/>
    <m/>
    <m/>
    <m/>
    <m/>
    <m/>
    <m/>
    <m/>
  </r>
  <r>
    <x v="774"/>
    <n v="2010"/>
    <n v="6"/>
    <x v="8"/>
    <x v="1"/>
    <x v="0"/>
    <n v="4"/>
    <s v="2010_06_009.gif"/>
    <m/>
    <m/>
    <m/>
    <b v="0"/>
    <n v="0"/>
    <x v="0"/>
    <n v="775"/>
    <s v="Newton's 1st Law (Inertia)"/>
    <n v="5342"/>
    <x v="16"/>
    <m/>
    <m/>
    <m/>
    <m/>
    <m/>
    <m/>
    <m/>
    <m/>
    <m/>
    <m/>
    <m/>
    <m/>
    <m/>
    <m/>
    <m/>
    <m/>
    <m/>
    <m/>
    <m/>
    <m/>
    <m/>
    <m/>
    <m/>
    <m/>
    <m/>
    <n v="1"/>
    <m/>
    <m/>
    <m/>
    <m/>
    <m/>
    <m/>
    <m/>
    <m/>
    <m/>
    <m/>
    <m/>
    <m/>
    <m/>
    <m/>
    <m/>
    <m/>
    <m/>
    <m/>
    <m/>
    <m/>
    <m/>
    <m/>
    <m/>
    <m/>
    <m/>
    <m/>
    <m/>
    <m/>
    <m/>
    <m/>
    <m/>
    <m/>
    <m/>
    <m/>
  </r>
  <r>
    <x v="775"/>
    <n v="2010"/>
    <n v="6"/>
    <x v="9"/>
    <x v="1"/>
    <x v="0"/>
    <n v="4"/>
    <s v="2010_06_010.gif"/>
    <m/>
    <m/>
    <m/>
    <b v="0"/>
    <n v="0"/>
    <x v="0"/>
    <n v="776"/>
    <s v="Newton's 2nd Law (F=MA)"/>
    <n v="5343"/>
    <x v="16"/>
    <m/>
    <m/>
    <m/>
    <m/>
    <m/>
    <m/>
    <m/>
    <m/>
    <m/>
    <m/>
    <m/>
    <m/>
    <m/>
    <m/>
    <m/>
    <m/>
    <m/>
    <m/>
    <m/>
    <m/>
    <m/>
    <m/>
    <m/>
    <m/>
    <m/>
    <m/>
    <n v="1"/>
    <m/>
    <m/>
    <m/>
    <m/>
    <m/>
    <m/>
    <m/>
    <m/>
    <m/>
    <m/>
    <m/>
    <m/>
    <m/>
    <m/>
    <m/>
    <m/>
    <m/>
    <m/>
    <m/>
    <m/>
    <m/>
    <m/>
    <m/>
    <m/>
    <m/>
    <m/>
    <m/>
    <m/>
    <m/>
    <m/>
    <m/>
    <m/>
    <m/>
  </r>
  <r>
    <x v="776"/>
    <n v="2010"/>
    <n v="6"/>
    <x v="10"/>
    <x v="2"/>
    <x v="0"/>
    <n v="3"/>
    <s v="2010_06_011.gif"/>
    <m/>
    <m/>
    <m/>
    <b v="0"/>
    <n v="0"/>
    <x v="0"/>
    <n v="777"/>
    <s v="Vertical Constant Acceleration Problems"/>
    <n v="5344"/>
    <x v="16"/>
    <m/>
    <m/>
    <m/>
    <m/>
    <m/>
    <m/>
    <m/>
    <m/>
    <m/>
    <m/>
    <n v="1"/>
    <m/>
    <m/>
    <m/>
    <m/>
    <m/>
    <m/>
    <m/>
    <m/>
    <m/>
    <m/>
    <m/>
    <m/>
    <m/>
    <m/>
    <m/>
    <m/>
    <m/>
    <m/>
    <m/>
    <m/>
    <m/>
    <m/>
    <m/>
    <m/>
    <m/>
    <m/>
    <m/>
    <m/>
    <m/>
    <m/>
    <m/>
    <m/>
    <m/>
    <m/>
    <m/>
    <m/>
    <m/>
    <m/>
    <m/>
    <m/>
    <m/>
    <m/>
    <m/>
    <m/>
    <m/>
    <m/>
    <m/>
    <m/>
    <m/>
  </r>
  <r>
    <x v="777"/>
    <n v="2010"/>
    <n v="6"/>
    <x v="11"/>
    <x v="3"/>
    <x v="0"/>
    <n v="3"/>
    <s v="2010_06_012.gif"/>
    <m/>
    <m/>
    <m/>
    <b v="0"/>
    <n v="0"/>
    <x v="0"/>
    <n v="778"/>
    <s v="Centripetal Motion - Direction F,A,V"/>
    <n v="5345"/>
    <x v="16"/>
    <m/>
    <m/>
    <m/>
    <m/>
    <m/>
    <m/>
    <m/>
    <m/>
    <m/>
    <m/>
    <m/>
    <m/>
    <m/>
    <m/>
    <m/>
    <m/>
    <m/>
    <m/>
    <m/>
    <n v="1"/>
    <m/>
    <m/>
    <m/>
    <m/>
    <m/>
    <m/>
    <m/>
    <m/>
    <m/>
    <m/>
    <m/>
    <m/>
    <m/>
    <m/>
    <m/>
    <m/>
    <m/>
    <m/>
    <m/>
    <m/>
    <m/>
    <m/>
    <m/>
    <m/>
    <m/>
    <m/>
    <m/>
    <m/>
    <m/>
    <m/>
    <m/>
    <m/>
    <m/>
    <m/>
    <m/>
    <m/>
    <m/>
    <m/>
    <m/>
    <m/>
  </r>
  <r>
    <x v="778"/>
    <n v="2010"/>
    <n v="6"/>
    <x v="12"/>
    <x v="4"/>
    <x v="0"/>
    <n v="2"/>
    <s v="2010_06_013.gif"/>
    <m/>
    <m/>
    <m/>
    <b v="0"/>
    <n v="0"/>
    <x v="0"/>
    <n v="779"/>
    <s v="Conservation of Momentum"/>
    <n v="5346"/>
    <x v="16"/>
    <m/>
    <m/>
    <m/>
    <m/>
    <m/>
    <m/>
    <m/>
    <m/>
    <m/>
    <m/>
    <m/>
    <m/>
    <m/>
    <m/>
    <m/>
    <m/>
    <m/>
    <m/>
    <m/>
    <m/>
    <m/>
    <m/>
    <m/>
    <m/>
    <m/>
    <m/>
    <m/>
    <m/>
    <n v="1"/>
    <m/>
    <m/>
    <m/>
    <m/>
    <m/>
    <m/>
    <m/>
    <m/>
    <m/>
    <m/>
    <m/>
    <m/>
    <m/>
    <m/>
    <m/>
    <m/>
    <m/>
    <m/>
    <m/>
    <m/>
    <m/>
    <m/>
    <m/>
    <m/>
    <m/>
    <m/>
    <m/>
    <m/>
    <m/>
    <m/>
    <m/>
  </r>
  <r>
    <x v="779"/>
    <n v="2010"/>
    <n v="6"/>
    <x v="13"/>
    <x v="3"/>
    <x v="0"/>
    <n v="4"/>
    <s v="2010_06_014.gif"/>
    <m/>
    <m/>
    <m/>
    <b v="0"/>
    <n v="0"/>
    <x v="0"/>
    <n v="780"/>
    <s v="Horizontal Projectile Range"/>
    <n v="5347"/>
    <x v="16"/>
    <m/>
    <m/>
    <m/>
    <m/>
    <m/>
    <m/>
    <m/>
    <m/>
    <m/>
    <m/>
    <m/>
    <m/>
    <m/>
    <m/>
    <m/>
    <m/>
    <n v="1"/>
    <m/>
    <m/>
    <m/>
    <m/>
    <m/>
    <m/>
    <m/>
    <m/>
    <m/>
    <m/>
    <m/>
    <m/>
    <m/>
    <m/>
    <m/>
    <m/>
    <m/>
    <m/>
    <m/>
    <m/>
    <m/>
    <m/>
    <m/>
    <m/>
    <m/>
    <m/>
    <m/>
    <m/>
    <m/>
    <m/>
    <m/>
    <m/>
    <m/>
    <m/>
    <m/>
    <m/>
    <m/>
    <m/>
    <m/>
    <m/>
    <m/>
    <m/>
    <m/>
  </r>
  <r>
    <x v="780"/>
    <n v="2010"/>
    <n v="6"/>
    <x v="14"/>
    <x v="5"/>
    <x v="0"/>
    <n v="3"/>
    <s v="2010_06_015.gif"/>
    <m/>
    <m/>
    <m/>
    <b v="0"/>
    <n v="0"/>
    <x v="0"/>
    <n v="781"/>
    <s v="Conservation of Energy"/>
    <n v="5348"/>
    <x v="16"/>
    <m/>
    <m/>
    <m/>
    <m/>
    <m/>
    <m/>
    <m/>
    <m/>
    <m/>
    <m/>
    <m/>
    <m/>
    <m/>
    <m/>
    <m/>
    <m/>
    <m/>
    <m/>
    <m/>
    <m/>
    <m/>
    <m/>
    <m/>
    <m/>
    <m/>
    <m/>
    <m/>
    <m/>
    <m/>
    <m/>
    <m/>
    <n v="1"/>
    <m/>
    <m/>
    <m/>
    <m/>
    <m/>
    <m/>
    <m/>
    <m/>
    <m/>
    <m/>
    <m/>
    <m/>
    <m/>
    <m/>
    <m/>
    <m/>
    <m/>
    <m/>
    <m/>
    <m/>
    <m/>
    <m/>
    <m/>
    <m/>
    <m/>
    <m/>
    <m/>
    <m/>
  </r>
  <r>
    <x v="781"/>
    <n v="2010"/>
    <n v="6"/>
    <x v="15"/>
    <x v="5"/>
    <x v="0"/>
    <n v="3"/>
    <s v="2010_06_016.gif"/>
    <m/>
    <m/>
    <m/>
    <b v="0"/>
    <n v="0"/>
    <x v="0"/>
    <n v="782"/>
    <s v="Kinetic Energy"/>
    <n v="5349"/>
    <x v="16"/>
    <m/>
    <m/>
    <m/>
    <m/>
    <m/>
    <m/>
    <m/>
    <m/>
    <m/>
    <m/>
    <m/>
    <m/>
    <m/>
    <m/>
    <m/>
    <m/>
    <m/>
    <m/>
    <m/>
    <m/>
    <m/>
    <m/>
    <m/>
    <m/>
    <m/>
    <m/>
    <m/>
    <m/>
    <m/>
    <m/>
    <m/>
    <m/>
    <m/>
    <n v="1"/>
    <m/>
    <m/>
    <m/>
    <m/>
    <m/>
    <m/>
    <m/>
    <m/>
    <m/>
    <m/>
    <m/>
    <m/>
    <m/>
    <m/>
    <m/>
    <m/>
    <m/>
    <m/>
    <m/>
    <m/>
    <m/>
    <m/>
    <m/>
    <m/>
    <m/>
    <m/>
  </r>
  <r>
    <x v="782"/>
    <n v="2010"/>
    <n v="6"/>
    <x v="16"/>
    <x v="5"/>
    <x v="0"/>
    <n v="2"/>
    <s v="2010_06_017.gif"/>
    <m/>
    <m/>
    <m/>
    <b v="0"/>
    <n v="0"/>
    <x v="0"/>
    <n v="783"/>
    <s v="Gravitational PE"/>
    <n v="5350"/>
    <x v="16"/>
    <m/>
    <m/>
    <m/>
    <m/>
    <m/>
    <m/>
    <m/>
    <m/>
    <m/>
    <m/>
    <m/>
    <m/>
    <m/>
    <m/>
    <m/>
    <m/>
    <m/>
    <m/>
    <m/>
    <m/>
    <m/>
    <m/>
    <m/>
    <m/>
    <m/>
    <m/>
    <m/>
    <m/>
    <m/>
    <m/>
    <m/>
    <m/>
    <n v="1"/>
    <m/>
    <m/>
    <m/>
    <m/>
    <m/>
    <m/>
    <m/>
    <m/>
    <m/>
    <m/>
    <m/>
    <m/>
    <m/>
    <m/>
    <m/>
    <m/>
    <m/>
    <m/>
    <m/>
    <m/>
    <m/>
    <m/>
    <m/>
    <m/>
    <m/>
    <m/>
    <m/>
  </r>
  <r>
    <x v="783"/>
    <n v="2010"/>
    <n v="6"/>
    <x v="17"/>
    <x v="8"/>
    <x v="0"/>
    <n v="2"/>
    <s v="2010_06_018.gif"/>
    <m/>
    <m/>
    <m/>
    <b v="0"/>
    <n v="0"/>
    <x v="0"/>
    <n v="784"/>
    <s v="Electrical Power"/>
    <n v="5351"/>
    <x v="16"/>
    <m/>
    <m/>
    <m/>
    <m/>
    <m/>
    <m/>
    <m/>
    <m/>
    <m/>
    <m/>
    <m/>
    <m/>
    <m/>
    <m/>
    <m/>
    <m/>
    <m/>
    <m/>
    <m/>
    <m/>
    <m/>
    <m/>
    <m/>
    <m/>
    <m/>
    <m/>
    <m/>
    <m/>
    <m/>
    <m/>
    <m/>
    <m/>
    <m/>
    <m/>
    <m/>
    <m/>
    <m/>
    <m/>
    <m/>
    <m/>
    <m/>
    <m/>
    <m/>
    <m/>
    <m/>
    <m/>
    <m/>
    <m/>
    <m/>
    <n v="1"/>
    <m/>
    <m/>
    <m/>
    <m/>
    <m/>
    <m/>
    <m/>
    <m/>
    <m/>
    <m/>
  </r>
  <r>
    <x v="784"/>
    <n v="2010"/>
    <n v="6"/>
    <x v="18"/>
    <x v="13"/>
    <x v="0"/>
    <n v="1"/>
    <s v="2010_06_019.gif"/>
    <m/>
    <m/>
    <m/>
    <b v="0"/>
    <n v="0"/>
    <x v="0"/>
    <n v="785"/>
    <s v="Magnetism"/>
    <n v="5352"/>
    <x v="16"/>
    <m/>
    <m/>
    <m/>
    <m/>
    <m/>
    <m/>
    <m/>
    <m/>
    <m/>
    <m/>
    <m/>
    <m/>
    <m/>
    <m/>
    <m/>
    <m/>
    <m/>
    <m/>
    <m/>
    <m/>
    <m/>
    <m/>
    <m/>
    <m/>
    <m/>
    <m/>
    <m/>
    <m/>
    <m/>
    <m/>
    <m/>
    <m/>
    <m/>
    <m/>
    <m/>
    <m/>
    <m/>
    <m/>
    <m/>
    <m/>
    <m/>
    <m/>
    <m/>
    <m/>
    <m/>
    <m/>
    <m/>
    <m/>
    <m/>
    <m/>
    <m/>
    <m/>
    <m/>
    <m/>
    <m/>
    <m/>
    <m/>
    <m/>
    <m/>
    <n v="1"/>
  </r>
  <r>
    <x v="785"/>
    <n v="2010"/>
    <n v="6"/>
    <x v="19"/>
    <x v="8"/>
    <x v="0"/>
    <n v="2"/>
    <s v="2010_06_020.gif"/>
    <m/>
    <m/>
    <m/>
    <b v="0"/>
    <n v="0"/>
    <x v="0"/>
    <n v="786"/>
    <s v="Electrical Definitions"/>
    <n v="5353"/>
    <x v="16"/>
    <m/>
    <m/>
    <m/>
    <m/>
    <m/>
    <m/>
    <m/>
    <m/>
    <m/>
    <m/>
    <m/>
    <m/>
    <m/>
    <m/>
    <m/>
    <m/>
    <m/>
    <m/>
    <m/>
    <m/>
    <m/>
    <m/>
    <m/>
    <m/>
    <m/>
    <m/>
    <m/>
    <m/>
    <m/>
    <m/>
    <m/>
    <m/>
    <m/>
    <m/>
    <m/>
    <m/>
    <m/>
    <m/>
    <m/>
    <m/>
    <m/>
    <m/>
    <m/>
    <m/>
    <m/>
    <m/>
    <m/>
    <m/>
    <n v="1"/>
    <m/>
    <m/>
    <m/>
    <m/>
    <m/>
    <m/>
    <m/>
    <m/>
    <m/>
    <m/>
    <m/>
  </r>
  <r>
    <x v="786"/>
    <n v="2010"/>
    <n v="6"/>
    <x v="20"/>
    <x v="6"/>
    <x v="0"/>
    <n v="3"/>
    <s v="2010_06_021.gif"/>
    <m/>
    <m/>
    <m/>
    <b v="0"/>
    <n v="0"/>
    <x v="0"/>
    <n v="787"/>
    <s v="Coulomb's Law"/>
    <n v="5354"/>
    <x v="16"/>
    <m/>
    <m/>
    <m/>
    <m/>
    <m/>
    <m/>
    <m/>
    <m/>
    <m/>
    <m/>
    <m/>
    <m/>
    <m/>
    <m/>
    <m/>
    <m/>
    <m/>
    <m/>
    <m/>
    <m/>
    <m/>
    <m/>
    <m/>
    <m/>
    <m/>
    <m/>
    <m/>
    <m/>
    <m/>
    <m/>
    <m/>
    <m/>
    <m/>
    <m/>
    <m/>
    <m/>
    <m/>
    <m/>
    <m/>
    <m/>
    <m/>
    <m/>
    <m/>
    <m/>
    <m/>
    <n v="1"/>
    <m/>
    <m/>
    <m/>
    <m/>
    <m/>
    <m/>
    <m/>
    <m/>
    <m/>
    <m/>
    <m/>
    <m/>
    <m/>
    <m/>
  </r>
  <r>
    <x v="787"/>
    <n v="2010"/>
    <n v="6"/>
    <x v="21"/>
    <x v="6"/>
    <x v="0"/>
    <n v="2"/>
    <s v="2010_06_022.gif"/>
    <m/>
    <m/>
    <m/>
    <b v="0"/>
    <n v="0"/>
    <x v="0"/>
    <n v="788"/>
    <s v="Electric Fields and Potential"/>
    <n v="5355"/>
    <x v="16"/>
    <m/>
    <m/>
    <m/>
    <m/>
    <m/>
    <m/>
    <m/>
    <m/>
    <m/>
    <m/>
    <m/>
    <m/>
    <m/>
    <m/>
    <m/>
    <m/>
    <m/>
    <m/>
    <m/>
    <m/>
    <m/>
    <m/>
    <m/>
    <m/>
    <m/>
    <m/>
    <m/>
    <m/>
    <m/>
    <m/>
    <m/>
    <m/>
    <m/>
    <m/>
    <m/>
    <m/>
    <m/>
    <m/>
    <m/>
    <m/>
    <m/>
    <m/>
    <m/>
    <m/>
    <m/>
    <m/>
    <m/>
    <n v="1"/>
    <m/>
    <m/>
    <m/>
    <m/>
    <m/>
    <m/>
    <m/>
    <m/>
    <m/>
    <m/>
    <m/>
    <m/>
  </r>
  <r>
    <x v="788"/>
    <n v="2010"/>
    <n v="6"/>
    <x v="22"/>
    <x v="8"/>
    <x v="0"/>
    <n v="3"/>
    <s v="2010_06_023.gif"/>
    <m/>
    <m/>
    <m/>
    <b v="0"/>
    <n v="0"/>
    <x v="0"/>
    <n v="789"/>
    <s v="Series and Parallel"/>
    <n v="5356"/>
    <x v="16"/>
    <m/>
    <m/>
    <m/>
    <m/>
    <m/>
    <m/>
    <m/>
    <m/>
    <m/>
    <m/>
    <m/>
    <m/>
    <m/>
    <m/>
    <m/>
    <m/>
    <m/>
    <m/>
    <m/>
    <m/>
    <m/>
    <m/>
    <m/>
    <m/>
    <m/>
    <m/>
    <m/>
    <m/>
    <m/>
    <m/>
    <m/>
    <m/>
    <m/>
    <m/>
    <m/>
    <m/>
    <m/>
    <m/>
    <m/>
    <m/>
    <m/>
    <m/>
    <m/>
    <m/>
    <m/>
    <m/>
    <m/>
    <m/>
    <m/>
    <m/>
    <m/>
    <m/>
    <n v="1"/>
    <m/>
    <m/>
    <m/>
    <m/>
    <m/>
    <m/>
    <m/>
  </r>
  <r>
    <x v="789"/>
    <n v="2010"/>
    <n v="6"/>
    <x v="23"/>
    <x v="7"/>
    <x v="0"/>
    <n v="4"/>
    <s v="2010_06_024.gif"/>
    <m/>
    <m/>
    <m/>
    <b v="0"/>
    <n v="0"/>
    <x v="0"/>
    <n v="790"/>
    <s v="Wave Vocabulary"/>
    <n v="5357"/>
    <x v="16"/>
    <m/>
    <m/>
    <m/>
    <m/>
    <m/>
    <m/>
    <m/>
    <m/>
    <m/>
    <m/>
    <m/>
    <m/>
    <m/>
    <m/>
    <m/>
    <m/>
    <m/>
    <m/>
    <m/>
    <m/>
    <m/>
    <m/>
    <m/>
    <m/>
    <m/>
    <m/>
    <m/>
    <m/>
    <m/>
    <m/>
    <m/>
    <m/>
    <m/>
    <m/>
    <m/>
    <m/>
    <m/>
    <m/>
    <m/>
    <n v="1"/>
    <m/>
    <m/>
    <m/>
    <m/>
    <m/>
    <m/>
    <m/>
    <m/>
    <m/>
    <m/>
    <m/>
    <m/>
    <m/>
    <m/>
    <m/>
    <m/>
    <m/>
    <m/>
    <m/>
    <m/>
  </r>
  <r>
    <x v="790"/>
    <n v="2010"/>
    <n v="6"/>
    <x v="24"/>
    <x v="7"/>
    <x v="0"/>
    <n v="2"/>
    <s v="2010_06_025.gif"/>
    <m/>
    <m/>
    <m/>
    <b v="0"/>
    <n v="0"/>
    <x v="0"/>
    <n v="791"/>
    <s v="Wave Vocabulary"/>
    <n v="5358"/>
    <x v="16"/>
    <m/>
    <m/>
    <m/>
    <m/>
    <m/>
    <m/>
    <m/>
    <m/>
    <m/>
    <m/>
    <m/>
    <m/>
    <m/>
    <m/>
    <m/>
    <m/>
    <m/>
    <m/>
    <m/>
    <m/>
    <m/>
    <m/>
    <m/>
    <m/>
    <m/>
    <m/>
    <m/>
    <m/>
    <m/>
    <m/>
    <m/>
    <m/>
    <m/>
    <m/>
    <m/>
    <m/>
    <m/>
    <m/>
    <m/>
    <n v="1"/>
    <m/>
    <m/>
    <m/>
    <m/>
    <m/>
    <m/>
    <m/>
    <m/>
    <m/>
    <m/>
    <m/>
    <m/>
    <m/>
    <m/>
    <m/>
    <m/>
    <m/>
    <m/>
    <m/>
    <m/>
  </r>
  <r>
    <x v="791"/>
    <n v="2010"/>
    <n v="6"/>
    <x v="25"/>
    <x v="7"/>
    <x v="0"/>
    <n v="1"/>
    <s v="2010_06_026.gif"/>
    <m/>
    <m/>
    <m/>
    <b v="0"/>
    <n v="0"/>
    <x v="0"/>
    <n v="792"/>
    <s v="Wave Vocabulary"/>
    <n v="5359"/>
    <x v="16"/>
    <m/>
    <m/>
    <m/>
    <m/>
    <m/>
    <m/>
    <m/>
    <m/>
    <m/>
    <m/>
    <m/>
    <m/>
    <m/>
    <m/>
    <m/>
    <m/>
    <m/>
    <m/>
    <m/>
    <m/>
    <m/>
    <m/>
    <m/>
    <m/>
    <m/>
    <m/>
    <m/>
    <m/>
    <m/>
    <m/>
    <m/>
    <m/>
    <m/>
    <m/>
    <m/>
    <m/>
    <m/>
    <m/>
    <m/>
    <n v="1"/>
    <m/>
    <m/>
    <m/>
    <m/>
    <m/>
    <m/>
    <m/>
    <m/>
    <m/>
    <m/>
    <m/>
    <m/>
    <m/>
    <m/>
    <m/>
    <m/>
    <m/>
    <m/>
    <m/>
    <m/>
  </r>
  <r>
    <x v="792"/>
    <n v="2010"/>
    <n v="6"/>
    <x v="26"/>
    <x v="9"/>
    <x v="0"/>
    <n v="4"/>
    <s v="2010_06_027.gif"/>
    <m/>
    <m/>
    <m/>
    <b v="0"/>
    <n v="0"/>
    <x v="0"/>
    <n v="793"/>
    <s v="Refraction and Snell's Law"/>
    <n v="5360"/>
    <x v="16"/>
    <m/>
    <m/>
    <m/>
    <m/>
    <m/>
    <m/>
    <m/>
    <m/>
    <m/>
    <m/>
    <m/>
    <m/>
    <m/>
    <m/>
    <m/>
    <m/>
    <m/>
    <m/>
    <m/>
    <m/>
    <m/>
    <m/>
    <m/>
    <m/>
    <m/>
    <m/>
    <m/>
    <m/>
    <m/>
    <m/>
    <m/>
    <m/>
    <m/>
    <m/>
    <m/>
    <m/>
    <m/>
    <m/>
    <m/>
    <m/>
    <m/>
    <m/>
    <m/>
    <n v="1"/>
    <m/>
    <m/>
    <m/>
    <m/>
    <m/>
    <m/>
    <m/>
    <m/>
    <m/>
    <m/>
    <m/>
    <m/>
    <m/>
    <m/>
    <m/>
    <m/>
  </r>
  <r>
    <x v="793"/>
    <n v="2010"/>
    <n v="6"/>
    <x v="27"/>
    <x v="9"/>
    <x v="0"/>
    <n v="3"/>
    <s v="2010_06_028.gif"/>
    <m/>
    <m/>
    <m/>
    <b v="0"/>
    <n v="0"/>
    <x v="0"/>
    <n v="794"/>
    <s v="Light and Sound,Refraction and Snell's Law"/>
    <n v="5361"/>
    <x v="16"/>
    <m/>
    <m/>
    <m/>
    <m/>
    <m/>
    <m/>
    <m/>
    <m/>
    <m/>
    <m/>
    <m/>
    <m/>
    <m/>
    <m/>
    <m/>
    <m/>
    <m/>
    <m/>
    <m/>
    <m/>
    <m/>
    <m/>
    <m/>
    <m/>
    <m/>
    <m/>
    <m/>
    <m/>
    <m/>
    <m/>
    <m/>
    <m/>
    <m/>
    <m/>
    <m/>
    <m/>
    <m/>
    <m/>
    <m/>
    <m/>
    <m/>
    <m/>
    <n v="1"/>
    <n v="1"/>
    <m/>
    <m/>
    <m/>
    <m/>
    <m/>
    <m/>
    <m/>
    <m/>
    <m/>
    <m/>
    <m/>
    <m/>
    <m/>
    <m/>
    <m/>
    <m/>
  </r>
  <r>
    <x v="794"/>
    <n v="2010"/>
    <n v="6"/>
    <x v="28"/>
    <x v="7"/>
    <x v="0"/>
    <n v="1"/>
    <s v="2010_06_029.gif"/>
    <m/>
    <m/>
    <m/>
    <b v="0"/>
    <n v="0"/>
    <x v="0"/>
    <n v="795"/>
    <s v="Resonance"/>
    <n v="5362"/>
    <x v="16"/>
    <m/>
    <m/>
    <m/>
    <m/>
    <m/>
    <m/>
    <m/>
    <m/>
    <m/>
    <m/>
    <m/>
    <m/>
    <m/>
    <m/>
    <m/>
    <m/>
    <m/>
    <m/>
    <m/>
    <m/>
    <m/>
    <m/>
    <m/>
    <m/>
    <m/>
    <m/>
    <m/>
    <m/>
    <m/>
    <m/>
    <m/>
    <m/>
    <m/>
    <m/>
    <m/>
    <m/>
    <n v="1"/>
    <m/>
    <m/>
    <m/>
    <m/>
    <m/>
    <m/>
    <m/>
    <m/>
    <m/>
    <m/>
    <m/>
    <m/>
    <m/>
    <m/>
    <m/>
    <m/>
    <m/>
    <m/>
    <m/>
    <m/>
    <m/>
    <m/>
    <m/>
  </r>
  <r>
    <x v="795"/>
    <n v="2010"/>
    <n v="6"/>
    <x v="29"/>
    <x v="9"/>
    <x v="5"/>
    <n v="1"/>
    <s v="2010_06_030.gif"/>
    <m/>
    <m/>
    <m/>
    <b v="0"/>
    <n v="0"/>
    <x v="0"/>
    <n v="796"/>
    <s v="Wave Vocabulary,Light and Sound"/>
    <n v="5363"/>
    <x v="16"/>
    <m/>
    <m/>
    <m/>
    <m/>
    <m/>
    <m/>
    <m/>
    <m/>
    <m/>
    <m/>
    <m/>
    <m/>
    <m/>
    <m/>
    <m/>
    <m/>
    <m/>
    <m/>
    <m/>
    <m/>
    <m/>
    <m/>
    <m/>
    <m/>
    <m/>
    <m/>
    <m/>
    <m/>
    <m/>
    <m/>
    <m/>
    <m/>
    <m/>
    <m/>
    <m/>
    <m/>
    <m/>
    <m/>
    <m/>
    <n v="1"/>
    <m/>
    <m/>
    <n v="1"/>
    <m/>
    <m/>
    <m/>
    <m/>
    <m/>
    <m/>
    <m/>
    <m/>
    <m/>
    <m/>
    <m/>
    <m/>
    <m/>
    <m/>
    <m/>
    <m/>
    <m/>
  </r>
  <r>
    <x v="796"/>
    <n v="2010"/>
    <n v="6"/>
    <x v="30"/>
    <x v="10"/>
    <x v="0"/>
    <n v="3"/>
    <s v="2010_06_031.gif"/>
    <m/>
    <m/>
    <m/>
    <b v="0"/>
    <n v="0"/>
    <x v="0"/>
    <n v="797"/>
    <s v="Particle Physics"/>
    <n v="5364"/>
    <x v="16"/>
    <m/>
    <m/>
    <m/>
    <m/>
    <m/>
    <m/>
    <m/>
    <m/>
    <m/>
    <m/>
    <m/>
    <m/>
    <m/>
    <m/>
    <m/>
    <m/>
    <m/>
    <m/>
    <m/>
    <m/>
    <m/>
    <m/>
    <m/>
    <m/>
    <m/>
    <m/>
    <m/>
    <m/>
    <m/>
    <m/>
    <m/>
    <m/>
    <m/>
    <m/>
    <m/>
    <m/>
    <m/>
    <m/>
    <m/>
    <m/>
    <m/>
    <m/>
    <m/>
    <m/>
    <m/>
    <m/>
    <m/>
    <m/>
    <m/>
    <m/>
    <m/>
    <m/>
    <m/>
    <m/>
    <m/>
    <m/>
    <n v="1"/>
    <m/>
    <m/>
    <m/>
  </r>
  <r>
    <x v="797"/>
    <n v="2010"/>
    <n v="6"/>
    <x v="31"/>
    <x v="10"/>
    <x v="0"/>
    <n v="4"/>
    <s v="2010_06_032.gif"/>
    <m/>
    <m/>
    <m/>
    <b v="0"/>
    <n v="0"/>
    <x v="0"/>
    <n v="798"/>
    <s v="Particle Physics"/>
    <n v="5365"/>
    <x v="16"/>
    <m/>
    <m/>
    <m/>
    <m/>
    <m/>
    <m/>
    <m/>
    <m/>
    <m/>
    <m/>
    <m/>
    <m/>
    <m/>
    <m/>
    <m/>
    <m/>
    <m/>
    <m/>
    <m/>
    <m/>
    <m/>
    <m/>
    <m/>
    <m/>
    <m/>
    <m/>
    <m/>
    <m/>
    <m/>
    <m/>
    <m/>
    <m/>
    <m/>
    <m/>
    <m/>
    <m/>
    <m/>
    <m/>
    <m/>
    <m/>
    <m/>
    <m/>
    <m/>
    <m/>
    <m/>
    <m/>
    <m/>
    <m/>
    <m/>
    <m/>
    <m/>
    <m/>
    <m/>
    <m/>
    <m/>
    <m/>
    <n v="1"/>
    <m/>
    <m/>
    <m/>
  </r>
  <r>
    <x v="798"/>
    <n v="2010"/>
    <n v="6"/>
    <x v="32"/>
    <x v="10"/>
    <x v="0"/>
    <n v="1"/>
    <s v="2010_06_033.gif"/>
    <m/>
    <m/>
    <m/>
    <b v="0"/>
    <n v="0"/>
    <x v="0"/>
    <n v="799"/>
    <s v="Energy/Mass Equivalency"/>
    <n v="5366"/>
    <x v="16"/>
    <m/>
    <m/>
    <m/>
    <m/>
    <m/>
    <m/>
    <m/>
    <m/>
    <m/>
    <m/>
    <m/>
    <m/>
    <m/>
    <m/>
    <m/>
    <m/>
    <m/>
    <m/>
    <m/>
    <m/>
    <m/>
    <m/>
    <m/>
    <m/>
    <m/>
    <m/>
    <m/>
    <m/>
    <m/>
    <m/>
    <m/>
    <m/>
    <m/>
    <m/>
    <m/>
    <m/>
    <m/>
    <m/>
    <m/>
    <m/>
    <m/>
    <m/>
    <m/>
    <m/>
    <m/>
    <m/>
    <m/>
    <m/>
    <m/>
    <m/>
    <m/>
    <m/>
    <m/>
    <m/>
    <m/>
    <n v="1"/>
    <m/>
    <m/>
    <m/>
    <m/>
  </r>
  <r>
    <x v="799"/>
    <n v="2010"/>
    <n v="6"/>
    <x v="33"/>
    <x v="10"/>
    <x v="0"/>
    <n v="3"/>
    <s v="2010_06_034.gif"/>
    <m/>
    <m/>
    <m/>
    <b v="0"/>
    <n v="0"/>
    <x v="0"/>
    <n v="800"/>
    <s v="Particle Physics"/>
    <n v="5367"/>
    <x v="16"/>
    <m/>
    <m/>
    <m/>
    <m/>
    <m/>
    <m/>
    <m/>
    <m/>
    <m/>
    <m/>
    <m/>
    <m/>
    <m/>
    <m/>
    <m/>
    <m/>
    <m/>
    <m/>
    <m/>
    <m/>
    <m/>
    <m/>
    <m/>
    <m/>
    <m/>
    <m/>
    <m/>
    <m/>
    <m/>
    <m/>
    <m/>
    <m/>
    <m/>
    <m/>
    <m/>
    <m/>
    <m/>
    <m/>
    <m/>
    <m/>
    <m/>
    <m/>
    <m/>
    <m/>
    <m/>
    <m/>
    <m/>
    <m/>
    <m/>
    <m/>
    <m/>
    <m/>
    <m/>
    <m/>
    <m/>
    <m/>
    <n v="1"/>
    <m/>
    <m/>
    <m/>
  </r>
  <r>
    <x v="800"/>
    <n v="2010"/>
    <n v="6"/>
    <x v="34"/>
    <x v="9"/>
    <x v="0"/>
    <n v="2"/>
    <s v="2010_06_035.gif"/>
    <m/>
    <m/>
    <m/>
    <b v="0"/>
    <n v="0"/>
    <x v="0"/>
    <n v="801"/>
    <s v="Doppler Effect"/>
    <n v="5368"/>
    <x v="16"/>
    <m/>
    <m/>
    <m/>
    <m/>
    <m/>
    <m/>
    <m/>
    <m/>
    <m/>
    <m/>
    <m/>
    <m/>
    <m/>
    <m/>
    <m/>
    <m/>
    <m/>
    <m/>
    <m/>
    <m/>
    <m/>
    <m/>
    <m/>
    <m/>
    <m/>
    <m/>
    <m/>
    <m/>
    <m/>
    <m/>
    <m/>
    <m/>
    <m/>
    <m/>
    <m/>
    <m/>
    <m/>
    <m/>
    <m/>
    <m/>
    <m/>
    <n v="1"/>
    <m/>
    <m/>
    <m/>
    <m/>
    <m/>
    <m/>
    <m/>
    <m/>
    <m/>
    <m/>
    <m/>
    <m/>
    <m/>
    <m/>
    <m/>
    <m/>
    <m/>
    <m/>
  </r>
  <r>
    <x v="801"/>
    <n v="2010"/>
    <n v="6"/>
    <x v="35"/>
    <x v="11"/>
    <x v="15"/>
    <n v="2"/>
    <s v="2010_06_036.gif"/>
    <m/>
    <m/>
    <m/>
    <b v="0"/>
    <n v="0"/>
    <x v="1"/>
    <n v="802"/>
    <s v="Estimation,Gravitational PE"/>
    <n v="5369"/>
    <x v="16"/>
    <m/>
    <m/>
    <n v="1"/>
    <m/>
    <m/>
    <m/>
    <m/>
    <m/>
    <m/>
    <m/>
    <m/>
    <m/>
    <m/>
    <m/>
    <m/>
    <m/>
    <m/>
    <m/>
    <m/>
    <m/>
    <m/>
    <m/>
    <m/>
    <m/>
    <m/>
    <m/>
    <m/>
    <m/>
    <m/>
    <m/>
    <m/>
    <m/>
    <n v="1"/>
    <m/>
    <m/>
    <m/>
    <m/>
    <m/>
    <m/>
    <m/>
    <m/>
    <m/>
    <m/>
    <m/>
    <m/>
    <m/>
    <m/>
    <m/>
    <m/>
    <m/>
    <m/>
    <m/>
    <m/>
    <m/>
    <m/>
    <m/>
    <m/>
    <m/>
    <m/>
    <m/>
  </r>
  <r>
    <x v="802"/>
    <n v="2010"/>
    <n v="6"/>
    <x v="36"/>
    <x v="11"/>
    <x v="0"/>
    <n v="4"/>
    <s v="2010_06_037.gif"/>
    <m/>
    <m/>
    <m/>
    <b v="0"/>
    <n v="0"/>
    <x v="1"/>
    <n v="803"/>
    <s v="Units"/>
    <n v="5370"/>
    <x v="16"/>
    <m/>
    <m/>
    <m/>
    <n v="1"/>
    <m/>
    <m/>
    <m/>
    <m/>
    <m/>
    <m/>
    <m/>
    <m/>
    <m/>
    <m/>
    <m/>
    <m/>
    <m/>
    <m/>
    <m/>
    <m/>
    <m/>
    <m/>
    <m/>
    <m/>
    <m/>
    <m/>
    <m/>
    <m/>
    <m/>
    <m/>
    <m/>
    <m/>
    <m/>
    <m/>
    <m/>
    <m/>
    <m/>
    <m/>
    <m/>
    <m/>
    <m/>
    <m/>
    <m/>
    <m/>
    <m/>
    <m/>
    <m/>
    <m/>
    <m/>
    <m/>
    <m/>
    <m/>
    <m/>
    <m/>
    <m/>
    <m/>
    <m/>
    <m/>
    <m/>
    <m/>
  </r>
  <r>
    <x v="803"/>
    <n v="2010"/>
    <n v="6"/>
    <x v="37"/>
    <x v="5"/>
    <x v="0"/>
    <n v="2"/>
    <s v="2010_06_038.gif"/>
    <m/>
    <m/>
    <m/>
    <b v="0"/>
    <n v="0"/>
    <x v="1"/>
    <n v="804"/>
    <s v="Work/Power"/>
    <n v="5371"/>
    <x v="16"/>
    <m/>
    <m/>
    <m/>
    <m/>
    <m/>
    <m/>
    <m/>
    <m/>
    <m/>
    <m/>
    <m/>
    <m/>
    <m/>
    <m/>
    <m/>
    <m/>
    <m/>
    <m/>
    <m/>
    <m/>
    <m/>
    <m/>
    <m/>
    <m/>
    <m/>
    <m/>
    <m/>
    <m/>
    <m/>
    <m/>
    <m/>
    <m/>
    <m/>
    <m/>
    <m/>
    <n v="1"/>
    <m/>
    <m/>
    <m/>
    <m/>
    <m/>
    <m/>
    <m/>
    <m/>
    <m/>
    <m/>
    <m/>
    <m/>
    <m/>
    <m/>
    <m/>
    <m/>
    <m/>
    <m/>
    <m/>
    <m/>
    <m/>
    <m/>
    <m/>
    <m/>
  </r>
  <r>
    <x v="804"/>
    <n v="2010"/>
    <n v="6"/>
    <x v="38"/>
    <x v="14"/>
    <x v="15"/>
    <n v="4"/>
    <s v="2010_06_039.gif"/>
    <m/>
    <m/>
    <m/>
    <b v="0"/>
    <n v="0"/>
    <x v="1"/>
    <n v="805"/>
    <s v="Conservation of Energy,Graph Interpretation"/>
    <n v="5372"/>
    <x v="16"/>
    <m/>
    <m/>
    <m/>
    <m/>
    <m/>
    <m/>
    <m/>
    <m/>
    <m/>
    <m/>
    <m/>
    <m/>
    <m/>
    <m/>
    <m/>
    <m/>
    <m/>
    <m/>
    <m/>
    <m/>
    <m/>
    <m/>
    <m/>
    <m/>
    <m/>
    <m/>
    <m/>
    <m/>
    <m/>
    <m/>
    <m/>
    <n v="1"/>
    <m/>
    <m/>
    <m/>
    <m/>
    <m/>
    <m/>
    <m/>
    <m/>
    <m/>
    <m/>
    <m/>
    <m/>
    <m/>
    <m/>
    <m/>
    <m/>
    <m/>
    <m/>
    <m/>
    <m/>
    <m/>
    <m/>
    <m/>
    <m/>
    <m/>
    <n v="1"/>
    <m/>
    <m/>
  </r>
  <r>
    <x v="805"/>
    <n v="2010"/>
    <n v="6"/>
    <x v="39"/>
    <x v="5"/>
    <x v="0"/>
    <n v="3"/>
    <s v="2010_06_040.gif"/>
    <m/>
    <m/>
    <m/>
    <b v="0"/>
    <n v="0"/>
    <x v="1"/>
    <n v="806"/>
    <s v="Conservation of Energy"/>
    <n v="5373"/>
    <x v="16"/>
    <m/>
    <m/>
    <m/>
    <m/>
    <m/>
    <m/>
    <m/>
    <m/>
    <m/>
    <m/>
    <m/>
    <m/>
    <m/>
    <m/>
    <m/>
    <m/>
    <m/>
    <m/>
    <m/>
    <m/>
    <m/>
    <m/>
    <m/>
    <m/>
    <m/>
    <m/>
    <m/>
    <m/>
    <m/>
    <m/>
    <m/>
    <n v="1"/>
    <m/>
    <m/>
    <m/>
    <m/>
    <m/>
    <m/>
    <m/>
    <m/>
    <m/>
    <m/>
    <m/>
    <m/>
    <m/>
    <m/>
    <m/>
    <m/>
    <m/>
    <m/>
    <m/>
    <m/>
    <m/>
    <m/>
    <m/>
    <m/>
    <m/>
    <m/>
    <m/>
    <m/>
  </r>
  <r>
    <x v="806"/>
    <n v="2010"/>
    <n v="6"/>
    <x v="40"/>
    <x v="14"/>
    <x v="7"/>
    <n v="2"/>
    <s v="2010_06_041.gif"/>
    <m/>
    <m/>
    <m/>
    <b v="0"/>
    <n v="0"/>
    <x v="1"/>
    <n v="807"/>
    <s v="Electrical Definitions,Graph Interpretation"/>
    <n v="5374"/>
    <x v="16"/>
    <m/>
    <m/>
    <m/>
    <m/>
    <m/>
    <m/>
    <m/>
    <m/>
    <m/>
    <m/>
    <m/>
    <m/>
    <m/>
    <m/>
    <m/>
    <m/>
    <m/>
    <m/>
    <m/>
    <m/>
    <m/>
    <m/>
    <m/>
    <m/>
    <m/>
    <m/>
    <m/>
    <m/>
    <m/>
    <m/>
    <m/>
    <m/>
    <m/>
    <m/>
    <m/>
    <m/>
    <m/>
    <m/>
    <m/>
    <m/>
    <m/>
    <m/>
    <m/>
    <m/>
    <m/>
    <m/>
    <m/>
    <m/>
    <n v="1"/>
    <m/>
    <m/>
    <m/>
    <m/>
    <m/>
    <m/>
    <m/>
    <m/>
    <n v="1"/>
    <m/>
    <m/>
  </r>
  <r>
    <x v="807"/>
    <n v="2010"/>
    <n v="6"/>
    <x v="41"/>
    <x v="2"/>
    <x v="0"/>
    <n v="4"/>
    <s v="2010_06_042.gif"/>
    <m/>
    <m/>
    <m/>
    <b v="0"/>
    <n v="0"/>
    <x v="1"/>
    <n v="808"/>
    <s v="DT/VT Graphs"/>
    <n v="5375"/>
    <x v="16"/>
    <m/>
    <m/>
    <m/>
    <m/>
    <n v="1"/>
    <m/>
    <m/>
    <m/>
    <m/>
    <m/>
    <m/>
    <m/>
    <m/>
    <m/>
    <m/>
    <m/>
    <m/>
    <m/>
    <m/>
    <m/>
    <m/>
    <m/>
    <m/>
    <m/>
    <m/>
    <m/>
    <m/>
    <m/>
    <m/>
    <m/>
    <m/>
    <m/>
    <m/>
    <m/>
    <m/>
    <m/>
    <m/>
    <m/>
    <m/>
    <m/>
    <m/>
    <m/>
    <m/>
    <m/>
    <m/>
    <m/>
    <m/>
    <m/>
    <m/>
    <m/>
    <m/>
    <m/>
    <m/>
    <m/>
    <m/>
    <m/>
    <m/>
    <m/>
    <m/>
    <m/>
  </r>
  <r>
    <x v="808"/>
    <n v="2010"/>
    <n v="6"/>
    <x v="42"/>
    <x v="2"/>
    <x v="0"/>
    <n v="3"/>
    <s v="2010_06_043.gif"/>
    <m/>
    <m/>
    <m/>
    <b v="0"/>
    <n v="0"/>
    <x v="1"/>
    <n v="809"/>
    <s v="Basic Motion Concepts"/>
    <n v="5376"/>
    <x v="16"/>
    <m/>
    <m/>
    <m/>
    <m/>
    <m/>
    <m/>
    <m/>
    <n v="1"/>
    <m/>
    <m/>
    <m/>
    <m/>
    <m/>
    <m/>
    <m/>
    <m/>
    <m/>
    <m/>
    <m/>
    <m/>
    <m/>
    <m/>
    <m/>
    <m/>
    <m/>
    <m/>
    <m/>
    <m/>
    <m/>
    <m/>
    <m/>
    <m/>
    <m/>
    <m/>
    <m/>
    <m/>
    <m/>
    <m/>
    <m/>
    <m/>
    <m/>
    <m/>
    <m/>
    <m/>
    <m/>
    <m/>
    <m/>
    <m/>
    <m/>
    <m/>
    <m/>
    <m/>
    <m/>
    <m/>
    <m/>
    <m/>
    <m/>
    <m/>
    <m/>
    <m/>
  </r>
  <r>
    <x v="809"/>
    <n v="2010"/>
    <n v="6"/>
    <x v="43"/>
    <x v="5"/>
    <x v="0"/>
    <n v="3"/>
    <s v="2010_06_044.gif"/>
    <m/>
    <m/>
    <m/>
    <b v="0"/>
    <n v="0"/>
    <x v="1"/>
    <n v="810"/>
    <s v="Conservation of Energy,Work/Power"/>
    <n v="5377"/>
    <x v="16"/>
    <m/>
    <m/>
    <m/>
    <m/>
    <m/>
    <m/>
    <m/>
    <m/>
    <m/>
    <m/>
    <m/>
    <m/>
    <m/>
    <m/>
    <m/>
    <m/>
    <m/>
    <m/>
    <m/>
    <m/>
    <m/>
    <m/>
    <m/>
    <m/>
    <m/>
    <m/>
    <m/>
    <m/>
    <m/>
    <m/>
    <m/>
    <n v="1"/>
    <m/>
    <m/>
    <m/>
    <n v="1"/>
    <m/>
    <m/>
    <m/>
    <m/>
    <m/>
    <m/>
    <m/>
    <m/>
    <m/>
    <m/>
    <m/>
    <m/>
    <m/>
    <m/>
    <m/>
    <m/>
    <m/>
    <m/>
    <m/>
    <m/>
    <m/>
    <m/>
    <m/>
    <m/>
  </r>
  <r>
    <x v="810"/>
    <n v="2010"/>
    <n v="6"/>
    <x v="44"/>
    <x v="8"/>
    <x v="0"/>
    <n v="1"/>
    <s v="2010_06_045.gif"/>
    <m/>
    <m/>
    <m/>
    <b v="0"/>
    <n v="0"/>
    <x v="1"/>
    <n v="811"/>
    <s v="Series and Parallel"/>
    <n v="5378"/>
    <x v="16"/>
    <m/>
    <m/>
    <m/>
    <m/>
    <m/>
    <m/>
    <m/>
    <m/>
    <m/>
    <m/>
    <m/>
    <m/>
    <m/>
    <m/>
    <m/>
    <m/>
    <m/>
    <m/>
    <m/>
    <m/>
    <m/>
    <m/>
    <m/>
    <m/>
    <m/>
    <m/>
    <m/>
    <m/>
    <m/>
    <m/>
    <m/>
    <m/>
    <m/>
    <m/>
    <m/>
    <m/>
    <m/>
    <m/>
    <m/>
    <m/>
    <m/>
    <m/>
    <m/>
    <m/>
    <m/>
    <m/>
    <m/>
    <m/>
    <m/>
    <m/>
    <m/>
    <m/>
    <n v="1"/>
    <m/>
    <m/>
    <m/>
    <m/>
    <m/>
    <m/>
    <m/>
  </r>
  <r>
    <x v="811"/>
    <n v="2010"/>
    <n v="6"/>
    <x v="45"/>
    <x v="14"/>
    <x v="7"/>
    <n v="4"/>
    <s v="2010_06_046.gif"/>
    <m/>
    <m/>
    <m/>
    <b v="0"/>
    <n v="0"/>
    <x v="1"/>
    <n v="812"/>
    <s v="Electrical Definitions,Electrical Power,Graph Interpretation"/>
    <n v="5379"/>
    <x v="16"/>
    <m/>
    <m/>
    <m/>
    <m/>
    <m/>
    <m/>
    <m/>
    <m/>
    <m/>
    <m/>
    <m/>
    <m/>
    <m/>
    <m/>
    <m/>
    <m/>
    <m/>
    <m/>
    <m/>
    <m/>
    <m/>
    <m/>
    <m/>
    <m/>
    <m/>
    <m/>
    <m/>
    <m/>
    <m/>
    <m/>
    <m/>
    <m/>
    <m/>
    <m/>
    <m/>
    <m/>
    <m/>
    <m/>
    <m/>
    <m/>
    <m/>
    <m/>
    <m/>
    <m/>
    <m/>
    <m/>
    <m/>
    <m/>
    <n v="1"/>
    <n v="1"/>
    <m/>
    <m/>
    <m/>
    <m/>
    <m/>
    <m/>
    <m/>
    <n v="1"/>
    <m/>
    <m/>
  </r>
  <r>
    <x v="812"/>
    <n v="2010"/>
    <n v="6"/>
    <x v="46"/>
    <x v="14"/>
    <x v="13"/>
    <n v="1"/>
    <s v="2010_06_047.gif"/>
    <m/>
    <m/>
    <m/>
    <b v="0"/>
    <n v="0"/>
    <x v="1"/>
    <n v="813"/>
    <s v="Coulomb's Law,Graph Interpretation"/>
    <n v="5380"/>
    <x v="16"/>
    <m/>
    <m/>
    <m/>
    <m/>
    <m/>
    <m/>
    <m/>
    <m/>
    <m/>
    <m/>
    <m/>
    <m/>
    <m/>
    <m/>
    <m/>
    <m/>
    <m/>
    <m/>
    <m/>
    <m/>
    <m/>
    <m/>
    <m/>
    <m/>
    <m/>
    <m/>
    <m/>
    <m/>
    <m/>
    <m/>
    <m/>
    <m/>
    <m/>
    <m/>
    <m/>
    <m/>
    <m/>
    <m/>
    <m/>
    <m/>
    <m/>
    <m/>
    <m/>
    <m/>
    <m/>
    <n v="1"/>
    <m/>
    <m/>
    <m/>
    <m/>
    <m/>
    <m/>
    <m/>
    <m/>
    <m/>
    <m/>
    <m/>
    <n v="1"/>
    <m/>
    <m/>
  </r>
  <r>
    <x v="813"/>
    <n v="2010"/>
    <n v="6"/>
    <x v="47"/>
    <x v="7"/>
    <x v="0"/>
    <n v="3"/>
    <s v="2010_06_048.gif"/>
    <m/>
    <m/>
    <m/>
    <b v="0"/>
    <n v="0"/>
    <x v="1"/>
    <n v="814"/>
    <s v="V=FxLamda"/>
    <n v="5381"/>
    <x v="16"/>
    <m/>
    <m/>
    <m/>
    <m/>
    <m/>
    <m/>
    <m/>
    <m/>
    <m/>
    <m/>
    <m/>
    <m/>
    <m/>
    <m/>
    <m/>
    <m/>
    <m/>
    <m/>
    <m/>
    <m/>
    <m/>
    <m/>
    <m/>
    <m/>
    <m/>
    <m/>
    <m/>
    <m/>
    <m/>
    <m/>
    <m/>
    <m/>
    <m/>
    <m/>
    <m/>
    <m/>
    <m/>
    <m/>
    <n v="1"/>
    <m/>
    <m/>
    <m/>
    <m/>
    <m/>
    <m/>
    <m/>
    <m/>
    <m/>
    <m/>
    <m/>
    <m/>
    <m/>
    <m/>
    <m/>
    <m/>
    <m/>
    <m/>
    <m/>
    <m/>
    <m/>
  </r>
  <r>
    <x v="814"/>
    <n v="2010"/>
    <n v="6"/>
    <x v="48"/>
    <x v="9"/>
    <x v="0"/>
    <n v="1"/>
    <s v="2010_06_049.gif"/>
    <m/>
    <m/>
    <m/>
    <b v="0"/>
    <n v="0"/>
    <x v="1"/>
    <n v="815"/>
    <s v="Light and Sound"/>
    <n v="5382"/>
    <x v="16"/>
    <m/>
    <m/>
    <m/>
    <m/>
    <m/>
    <m/>
    <m/>
    <m/>
    <m/>
    <m/>
    <m/>
    <m/>
    <m/>
    <m/>
    <m/>
    <m/>
    <m/>
    <m/>
    <m/>
    <m/>
    <m/>
    <m/>
    <m/>
    <m/>
    <m/>
    <m/>
    <m/>
    <m/>
    <m/>
    <m/>
    <m/>
    <m/>
    <m/>
    <m/>
    <m/>
    <m/>
    <m/>
    <m/>
    <m/>
    <m/>
    <m/>
    <m/>
    <n v="1"/>
    <m/>
    <m/>
    <m/>
    <m/>
    <m/>
    <m/>
    <m/>
    <m/>
    <m/>
    <m/>
    <m/>
    <m/>
    <m/>
    <m/>
    <m/>
    <m/>
    <m/>
  </r>
  <r>
    <x v="815"/>
    <n v="2010"/>
    <n v="6"/>
    <x v="49"/>
    <x v="7"/>
    <x v="0"/>
    <n v="3"/>
    <s v="2010_06_050.gif"/>
    <m/>
    <m/>
    <m/>
    <b v="0"/>
    <n v="0"/>
    <x v="1"/>
    <n v="816"/>
    <s v="Superposition and Standing Waves"/>
    <n v="5383"/>
    <x v="16"/>
    <m/>
    <m/>
    <m/>
    <m/>
    <m/>
    <m/>
    <m/>
    <m/>
    <m/>
    <m/>
    <m/>
    <m/>
    <m/>
    <m/>
    <m/>
    <m/>
    <m/>
    <m/>
    <m/>
    <m/>
    <m/>
    <m/>
    <m/>
    <m/>
    <m/>
    <m/>
    <m/>
    <m/>
    <m/>
    <m/>
    <m/>
    <m/>
    <m/>
    <m/>
    <m/>
    <m/>
    <m/>
    <n v="1"/>
    <m/>
    <m/>
    <m/>
    <m/>
    <m/>
    <m/>
    <m/>
    <m/>
    <m/>
    <m/>
    <m/>
    <m/>
    <m/>
    <m/>
    <m/>
    <m/>
    <m/>
    <m/>
    <m/>
    <m/>
    <m/>
    <m/>
  </r>
  <r>
    <x v="816"/>
    <n v="2011"/>
    <n v="6"/>
    <x v="0"/>
    <x v="0"/>
    <x v="0"/>
    <n v="1"/>
    <s v="2011_06_001.gif"/>
    <m/>
    <m/>
    <m/>
    <b v="0"/>
    <n v="0"/>
    <x v="0"/>
    <n v="817"/>
    <s v="Vector vs. Scalar"/>
    <n v="5415"/>
    <x v="17"/>
    <m/>
    <m/>
    <m/>
    <m/>
    <m/>
    <m/>
    <m/>
    <m/>
    <m/>
    <m/>
    <m/>
    <m/>
    <m/>
    <n v="1"/>
    <m/>
    <m/>
    <m/>
    <m/>
    <m/>
    <m/>
    <m/>
    <m/>
    <m/>
    <m/>
    <m/>
    <m/>
    <m/>
    <m/>
    <m/>
    <m/>
    <m/>
    <m/>
    <m/>
    <m/>
    <m/>
    <m/>
    <m/>
    <m/>
    <m/>
    <m/>
    <m/>
    <m/>
    <m/>
    <m/>
    <m/>
    <m/>
    <m/>
    <m/>
    <m/>
    <m/>
    <m/>
    <m/>
    <m/>
    <m/>
    <m/>
    <m/>
    <m/>
    <m/>
    <m/>
    <m/>
  </r>
  <r>
    <x v="817"/>
    <n v="2011"/>
    <n v="6"/>
    <x v="1"/>
    <x v="2"/>
    <x v="0"/>
    <n v="2"/>
    <s v="2011_06_002.gif"/>
    <m/>
    <m/>
    <m/>
    <b v="0"/>
    <n v="0"/>
    <x v="0"/>
    <n v="818"/>
    <s v="Horizontal Constant Acceleration Problems"/>
    <n v="5416"/>
    <x v="17"/>
    <m/>
    <m/>
    <m/>
    <m/>
    <m/>
    <m/>
    <m/>
    <m/>
    <m/>
    <n v="1"/>
    <m/>
    <m/>
    <m/>
    <m/>
    <m/>
    <m/>
    <m/>
    <m/>
    <m/>
    <m/>
    <m/>
    <m/>
    <m/>
    <m/>
    <m/>
    <m/>
    <m/>
    <m/>
    <m/>
    <m/>
    <m/>
    <m/>
    <m/>
    <m/>
    <m/>
    <m/>
    <m/>
    <m/>
    <m/>
    <m/>
    <m/>
    <m/>
    <m/>
    <m/>
    <m/>
    <m/>
    <m/>
    <m/>
    <m/>
    <m/>
    <m/>
    <m/>
    <m/>
    <m/>
    <m/>
    <m/>
    <m/>
    <m/>
    <m/>
    <m/>
  </r>
  <r>
    <x v="818"/>
    <n v="2011"/>
    <n v="6"/>
    <x v="2"/>
    <x v="2"/>
    <x v="0"/>
    <n v="1"/>
    <s v="2011_06_003.gif"/>
    <m/>
    <m/>
    <m/>
    <b v="0"/>
    <n v="0"/>
    <x v="0"/>
    <n v="819"/>
    <s v="Horizontal Constant Acceleration Problems"/>
    <n v="5417"/>
    <x v="17"/>
    <m/>
    <m/>
    <m/>
    <m/>
    <m/>
    <m/>
    <m/>
    <m/>
    <m/>
    <n v="1"/>
    <m/>
    <m/>
    <m/>
    <m/>
    <m/>
    <m/>
    <m/>
    <m/>
    <m/>
    <m/>
    <m/>
    <m/>
    <m/>
    <m/>
    <m/>
    <m/>
    <m/>
    <m/>
    <m/>
    <m/>
    <m/>
    <m/>
    <m/>
    <m/>
    <m/>
    <m/>
    <m/>
    <m/>
    <m/>
    <m/>
    <m/>
    <m/>
    <m/>
    <m/>
    <m/>
    <m/>
    <m/>
    <m/>
    <m/>
    <m/>
    <m/>
    <m/>
    <m/>
    <m/>
    <m/>
    <m/>
    <m/>
    <m/>
    <m/>
    <m/>
  </r>
  <r>
    <x v="819"/>
    <n v="2011"/>
    <n v="6"/>
    <x v="3"/>
    <x v="2"/>
    <x v="0"/>
    <n v="4"/>
    <s v="2011_06_004.gif"/>
    <m/>
    <m/>
    <m/>
    <b v="0"/>
    <n v="0"/>
    <x v="0"/>
    <n v="820"/>
    <s v="Basic Motion Concepts,Vertical Constant Acceleration Problems"/>
    <n v="5418"/>
    <x v="17"/>
    <m/>
    <m/>
    <m/>
    <m/>
    <m/>
    <m/>
    <m/>
    <n v="1"/>
    <m/>
    <m/>
    <n v="1"/>
    <m/>
    <m/>
    <m/>
    <m/>
    <m/>
    <m/>
    <m/>
    <m/>
    <m/>
    <m/>
    <m/>
    <m/>
    <m/>
    <m/>
    <m/>
    <m/>
    <m/>
    <m/>
    <m/>
    <m/>
    <m/>
    <m/>
    <m/>
    <m/>
    <m/>
    <m/>
    <m/>
    <m/>
    <m/>
    <m/>
    <m/>
    <m/>
    <m/>
    <m/>
    <m/>
    <m/>
    <m/>
    <m/>
    <m/>
    <m/>
    <m/>
    <m/>
    <m/>
    <m/>
    <m/>
    <m/>
    <m/>
    <m/>
    <m/>
  </r>
  <r>
    <x v="820"/>
    <n v="2011"/>
    <n v="6"/>
    <x v="4"/>
    <x v="3"/>
    <x v="0"/>
    <n v="3"/>
    <s v="2011_06_005.gif"/>
    <m/>
    <m/>
    <m/>
    <b v="0"/>
    <n v="0"/>
    <x v="0"/>
    <n v="821"/>
    <s v="Projectiles at an Angle"/>
    <n v="5419"/>
    <x v="17"/>
    <m/>
    <m/>
    <m/>
    <m/>
    <m/>
    <m/>
    <m/>
    <m/>
    <m/>
    <m/>
    <m/>
    <m/>
    <m/>
    <m/>
    <m/>
    <n v="1"/>
    <m/>
    <m/>
    <m/>
    <m/>
    <m/>
    <m/>
    <m/>
    <m/>
    <m/>
    <m/>
    <m/>
    <m/>
    <m/>
    <m/>
    <m/>
    <m/>
    <m/>
    <m/>
    <m/>
    <m/>
    <m/>
    <m/>
    <m/>
    <m/>
    <m/>
    <m/>
    <m/>
    <m/>
    <m/>
    <m/>
    <m/>
    <m/>
    <m/>
    <m/>
    <m/>
    <m/>
    <m/>
    <m/>
    <m/>
    <m/>
    <m/>
    <m/>
    <m/>
    <m/>
  </r>
  <r>
    <x v="821"/>
    <n v="2011"/>
    <n v="6"/>
    <x v="5"/>
    <x v="4"/>
    <x v="6"/>
    <n v="1"/>
    <s v="2011_06_006.gif"/>
    <m/>
    <m/>
    <m/>
    <b v="0"/>
    <n v="0"/>
    <x v="0"/>
    <n v="822"/>
    <s v="Newton's 2nd Law (F=MA)"/>
    <n v="5420"/>
    <x v="17"/>
    <m/>
    <m/>
    <m/>
    <m/>
    <m/>
    <m/>
    <m/>
    <m/>
    <m/>
    <m/>
    <m/>
    <m/>
    <m/>
    <m/>
    <m/>
    <m/>
    <m/>
    <m/>
    <m/>
    <m/>
    <m/>
    <m/>
    <m/>
    <m/>
    <m/>
    <m/>
    <n v="1"/>
    <m/>
    <m/>
    <m/>
    <m/>
    <m/>
    <m/>
    <m/>
    <m/>
    <m/>
    <m/>
    <m/>
    <m/>
    <m/>
    <m/>
    <m/>
    <m/>
    <m/>
    <m/>
    <m/>
    <m/>
    <m/>
    <m/>
    <m/>
    <m/>
    <m/>
    <m/>
    <m/>
    <m/>
    <m/>
    <m/>
    <m/>
    <m/>
    <m/>
  </r>
  <r>
    <x v="822"/>
    <n v="2011"/>
    <n v="6"/>
    <x v="6"/>
    <x v="3"/>
    <x v="0"/>
    <n v="1"/>
    <s v="2011_06_007.gif"/>
    <m/>
    <m/>
    <m/>
    <b v="0"/>
    <n v="0"/>
    <x v="0"/>
    <n v="823"/>
    <s v="Centripetal Motion - Calculation"/>
    <n v="5421"/>
    <x v="17"/>
    <m/>
    <m/>
    <m/>
    <m/>
    <m/>
    <m/>
    <m/>
    <m/>
    <m/>
    <m/>
    <m/>
    <m/>
    <m/>
    <m/>
    <m/>
    <m/>
    <m/>
    <m/>
    <m/>
    <m/>
    <n v="1"/>
    <m/>
    <m/>
    <m/>
    <m/>
    <m/>
    <m/>
    <m/>
    <m/>
    <m/>
    <m/>
    <m/>
    <m/>
    <m/>
    <m/>
    <m/>
    <m/>
    <m/>
    <m/>
    <m/>
    <m/>
    <m/>
    <m/>
    <m/>
    <m/>
    <m/>
    <m/>
    <m/>
    <m/>
    <m/>
    <m/>
    <m/>
    <m/>
    <m/>
    <m/>
    <m/>
    <m/>
    <m/>
    <m/>
    <m/>
  </r>
  <r>
    <x v="823"/>
    <n v="2011"/>
    <n v="6"/>
    <x v="7"/>
    <x v="3"/>
    <x v="0"/>
    <n v="4"/>
    <s v="2011_06_008.gif"/>
    <m/>
    <m/>
    <m/>
    <b v="0"/>
    <n v="0"/>
    <x v="0"/>
    <n v="824"/>
    <s v="Centripetal Motion - Calculation"/>
    <n v="5422"/>
    <x v="17"/>
    <m/>
    <m/>
    <m/>
    <m/>
    <m/>
    <m/>
    <m/>
    <m/>
    <m/>
    <m/>
    <m/>
    <m/>
    <m/>
    <m/>
    <m/>
    <m/>
    <m/>
    <m/>
    <m/>
    <m/>
    <n v="1"/>
    <m/>
    <m/>
    <m/>
    <m/>
    <m/>
    <m/>
    <m/>
    <m/>
    <m/>
    <m/>
    <m/>
    <m/>
    <m/>
    <m/>
    <m/>
    <m/>
    <m/>
    <m/>
    <m/>
    <m/>
    <m/>
    <m/>
    <m/>
    <m/>
    <m/>
    <m/>
    <m/>
    <m/>
    <m/>
    <m/>
    <m/>
    <m/>
    <m/>
    <m/>
    <m/>
    <m/>
    <m/>
    <m/>
    <m/>
  </r>
  <r>
    <x v="824"/>
    <n v="2011"/>
    <n v="6"/>
    <x v="8"/>
    <x v="5"/>
    <x v="0"/>
    <n v="3"/>
    <s v="2011_06_009.gif"/>
    <m/>
    <m/>
    <m/>
    <b v="0"/>
    <n v="0"/>
    <x v="0"/>
    <n v="825"/>
    <s v="Conservation of Energy,Work/Power"/>
    <n v="5423"/>
    <x v="17"/>
    <m/>
    <m/>
    <m/>
    <m/>
    <m/>
    <m/>
    <m/>
    <m/>
    <m/>
    <m/>
    <m/>
    <m/>
    <m/>
    <m/>
    <m/>
    <m/>
    <m/>
    <m/>
    <m/>
    <m/>
    <m/>
    <m/>
    <m/>
    <m/>
    <m/>
    <m/>
    <m/>
    <m/>
    <m/>
    <m/>
    <m/>
    <n v="1"/>
    <m/>
    <m/>
    <m/>
    <n v="1"/>
    <m/>
    <m/>
    <m/>
    <m/>
    <m/>
    <m/>
    <m/>
    <m/>
    <m/>
    <m/>
    <m/>
    <m/>
    <m/>
    <m/>
    <m/>
    <m/>
    <m/>
    <m/>
    <m/>
    <m/>
    <m/>
    <m/>
    <m/>
    <m/>
  </r>
  <r>
    <x v="825"/>
    <n v="2011"/>
    <n v="6"/>
    <x v="9"/>
    <x v="5"/>
    <x v="0"/>
    <n v="4"/>
    <s v="2011_06_010.gif"/>
    <m/>
    <m/>
    <m/>
    <b v="0"/>
    <n v="0"/>
    <x v="0"/>
    <n v="826"/>
    <s v="Gravitational PE,Work/Power"/>
    <n v="5424"/>
    <x v="17"/>
    <m/>
    <m/>
    <m/>
    <m/>
    <m/>
    <m/>
    <m/>
    <m/>
    <m/>
    <m/>
    <m/>
    <m/>
    <m/>
    <m/>
    <m/>
    <m/>
    <m/>
    <m/>
    <m/>
    <m/>
    <m/>
    <m/>
    <m/>
    <m/>
    <m/>
    <m/>
    <m/>
    <m/>
    <m/>
    <m/>
    <m/>
    <m/>
    <n v="1"/>
    <m/>
    <m/>
    <n v="1"/>
    <m/>
    <m/>
    <m/>
    <m/>
    <m/>
    <m/>
    <m/>
    <m/>
    <m/>
    <m/>
    <m/>
    <m/>
    <m/>
    <m/>
    <m/>
    <m/>
    <m/>
    <m/>
    <m/>
    <m/>
    <m/>
    <m/>
    <m/>
    <m/>
  </r>
  <r>
    <x v="826"/>
    <n v="2011"/>
    <n v="6"/>
    <x v="10"/>
    <x v="3"/>
    <x v="0"/>
    <n v="2"/>
    <s v="2011_06_011.gif"/>
    <m/>
    <m/>
    <m/>
    <b v="0"/>
    <n v="0"/>
    <x v="0"/>
    <n v="827"/>
    <s v="Projectiles at an Angle"/>
    <n v="5425"/>
    <x v="17"/>
    <m/>
    <m/>
    <m/>
    <m/>
    <m/>
    <m/>
    <m/>
    <m/>
    <m/>
    <m/>
    <m/>
    <m/>
    <m/>
    <m/>
    <m/>
    <n v="1"/>
    <m/>
    <m/>
    <m/>
    <m/>
    <m/>
    <m/>
    <m/>
    <m/>
    <m/>
    <m/>
    <m/>
    <m/>
    <m/>
    <m/>
    <m/>
    <m/>
    <m/>
    <m/>
    <m/>
    <m/>
    <m/>
    <m/>
    <m/>
    <m/>
    <m/>
    <m/>
    <m/>
    <m/>
    <m/>
    <m/>
    <m/>
    <m/>
    <m/>
    <m/>
    <m/>
    <m/>
    <m/>
    <m/>
    <m/>
    <m/>
    <m/>
    <m/>
    <m/>
    <m/>
  </r>
  <r>
    <x v="827"/>
    <n v="2011"/>
    <n v="6"/>
    <x v="11"/>
    <x v="1"/>
    <x v="0"/>
    <n v="4"/>
    <s v="2011_06_012.gif"/>
    <m/>
    <m/>
    <m/>
    <b v="0"/>
    <n v="0"/>
    <x v="0"/>
    <n v="828"/>
    <s v="Newton's 2nd Law (F=MA)"/>
    <n v="5426"/>
    <x v="17"/>
    <m/>
    <m/>
    <m/>
    <m/>
    <m/>
    <m/>
    <m/>
    <m/>
    <m/>
    <m/>
    <m/>
    <m/>
    <m/>
    <m/>
    <m/>
    <m/>
    <m/>
    <m/>
    <m/>
    <m/>
    <m/>
    <m/>
    <m/>
    <m/>
    <m/>
    <m/>
    <n v="1"/>
    <m/>
    <m/>
    <m/>
    <m/>
    <m/>
    <m/>
    <m/>
    <m/>
    <m/>
    <m/>
    <m/>
    <m/>
    <m/>
    <m/>
    <m/>
    <m/>
    <m/>
    <m/>
    <m/>
    <m/>
    <m/>
    <m/>
    <m/>
    <m/>
    <m/>
    <m/>
    <m/>
    <m/>
    <m/>
    <m/>
    <m/>
    <m/>
    <m/>
  </r>
  <r>
    <x v="828"/>
    <n v="2011"/>
    <n v="6"/>
    <x v="12"/>
    <x v="1"/>
    <x v="0"/>
    <n v="2"/>
    <s v="2011_06_013.gif"/>
    <m/>
    <m/>
    <m/>
    <b v="0"/>
    <n v="0"/>
    <x v="0"/>
    <n v="829"/>
    <s v="Newton's 1st Law (Inertia)"/>
    <n v="5427"/>
    <x v="17"/>
    <m/>
    <m/>
    <m/>
    <m/>
    <m/>
    <m/>
    <m/>
    <m/>
    <m/>
    <m/>
    <m/>
    <m/>
    <m/>
    <m/>
    <m/>
    <m/>
    <m/>
    <m/>
    <m/>
    <m/>
    <m/>
    <m/>
    <m/>
    <m/>
    <m/>
    <n v="1"/>
    <m/>
    <m/>
    <m/>
    <m/>
    <m/>
    <m/>
    <m/>
    <m/>
    <m/>
    <m/>
    <m/>
    <m/>
    <m/>
    <m/>
    <m/>
    <m/>
    <m/>
    <m/>
    <m/>
    <m/>
    <m/>
    <m/>
    <m/>
    <m/>
    <m/>
    <m/>
    <m/>
    <m/>
    <m/>
    <m/>
    <m/>
    <m/>
    <m/>
    <m/>
  </r>
  <r>
    <x v="829"/>
    <n v="2011"/>
    <n v="6"/>
    <x v="13"/>
    <x v="5"/>
    <x v="0"/>
    <n v="3"/>
    <s v="2011_06_014.gif"/>
    <m/>
    <m/>
    <m/>
    <b v="0"/>
    <n v="0"/>
    <x v="0"/>
    <n v="830"/>
    <s v="Conservation of Energy"/>
    <n v="5428"/>
    <x v="17"/>
    <m/>
    <m/>
    <m/>
    <m/>
    <m/>
    <m/>
    <m/>
    <m/>
    <m/>
    <m/>
    <m/>
    <m/>
    <m/>
    <m/>
    <m/>
    <m/>
    <m/>
    <m/>
    <m/>
    <m/>
    <m/>
    <m/>
    <m/>
    <m/>
    <m/>
    <m/>
    <m/>
    <m/>
    <m/>
    <m/>
    <m/>
    <n v="1"/>
    <m/>
    <m/>
    <m/>
    <m/>
    <m/>
    <m/>
    <m/>
    <m/>
    <m/>
    <m/>
    <m/>
    <m/>
    <m/>
    <m/>
    <m/>
    <m/>
    <m/>
    <m/>
    <m/>
    <m/>
    <m/>
    <m/>
    <m/>
    <m/>
    <m/>
    <m/>
    <m/>
    <m/>
  </r>
  <r>
    <x v="830"/>
    <n v="2011"/>
    <n v="6"/>
    <x v="14"/>
    <x v="6"/>
    <x v="0"/>
    <n v="2"/>
    <s v="2011_06_015.gif"/>
    <m/>
    <m/>
    <m/>
    <b v="0"/>
    <n v="0"/>
    <x v="0"/>
    <n v="831"/>
    <s v="Electric Fields and Potential"/>
    <n v="5429"/>
    <x v="17"/>
    <m/>
    <m/>
    <m/>
    <m/>
    <m/>
    <m/>
    <m/>
    <m/>
    <m/>
    <m/>
    <m/>
    <m/>
    <m/>
    <m/>
    <m/>
    <m/>
    <m/>
    <m/>
    <m/>
    <m/>
    <m/>
    <m/>
    <m/>
    <m/>
    <m/>
    <m/>
    <m/>
    <m/>
    <m/>
    <m/>
    <m/>
    <m/>
    <m/>
    <m/>
    <m/>
    <m/>
    <m/>
    <m/>
    <m/>
    <m/>
    <m/>
    <m/>
    <m/>
    <m/>
    <m/>
    <m/>
    <m/>
    <n v="1"/>
    <m/>
    <m/>
    <m/>
    <m/>
    <m/>
    <m/>
    <m/>
    <m/>
    <m/>
    <m/>
    <m/>
    <m/>
  </r>
  <r>
    <x v="831"/>
    <n v="2011"/>
    <n v="6"/>
    <x v="15"/>
    <x v="9"/>
    <x v="0"/>
    <n v="3"/>
    <s v="2011_06_016.gif"/>
    <m/>
    <m/>
    <m/>
    <b v="0"/>
    <n v="0"/>
    <x v="0"/>
    <n v="832"/>
    <s v="Light and Sound"/>
    <n v="5430"/>
    <x v="17"/>
    <m/>
    <m/>
    <m/>
    <m/>
    <m/>
    <m/>
    <m/>
    <m/>
    <m/>
    <m/>
    <m/>
    <m/>
    <m/>
    <m/>
    <m/>
    <m/>
    <m/>
    <m/>
    <m/>
    <m/>
    <m/>
    <m/>
    <m/>
    <m/>
    <m/>
    <m/>
    <m/>
    <m/>
    <m/>
    <m/>
    <m/>
    <m/>
    <m/>
    <m/>
    <m/>
    <m/>
    <m/>
    <m/>
    <m/>
    <m/>
    <m/>
    <m/>
    <n v="1"/>
    <m/>
    <m/>
    <m/>
    <m/>
    <m/>
    <m/>
    <m/>
    <m/>
    <m/>
    <m/>
    <m/>
    <m/>
    <m/>
    <m/>
    <m/>
    <m/>
    <m/>
  </r>
  <r>
    <x v="832"/>
    <n v="2011"/>
    <n v="6"/>
    <x v="16"/>
    <x v="4"/>
    <x v="0"/>
    <n v="1"/>
    <s v="2011_06_017.gif"/>
    <m/>
    <m/>
    <m/>
    <b v="0"/>
    <n v="0"/>
    <x v="0"/>
    <n v="833"/>
    <s v="Newton's 3rd Law (Equal But Opposite)"/>
    <n v="5431"/>
    <x v="17"/>
    <m/>
    <m/>
    <m/>
    <m/>
    <m/>
    <m/>
    <m/>
    <m/>
    <m/>
    <m/>
    <m/>
    <m/>
    <m/>
    <m/>
    <m/>
    <m/>
    <m/>
    <m/>
    <m/>
    <m/>
    <m/>
    <m/>
    <m/>
    <m/>
    <m/>
    <m/>
    <m/>
    <m/>
    <m/>
    <m/>
    <n v="1"/>
    <m/>
    <m/>
    <m/>
    <m/>
    <m/>
    <m/>
    <m/>
    <m/>
    <m/>
    <m/>
    <m/>
    <m/>
    <m/>
    <m/>
    <m/>
    <m/>
    <m/>
    <m/>
    <m/>
    <m/>
    <m/>
    <m/>
    <m/>
    <m/>
    <m/>
    <m/>
    <m/>
    <m/>
    <m/>
  </r>
  <r>
    <x v="833"/>
    <n v="2011"/>
    <n v="6"/>
    <x v="17"/>
    <x v="6"/>
    <x v="0"/>
    <n v="4"/>
    <s v="2011_06_018.gif"/>
    <m/>
    <m/>
    <m/>
    <b v="0"/>
    <n v="0"/>
    <x v="0"/>
    <n v="834"/>
    <s v="Electric Fields and Potential"/>
    <n v="5432"/>
    <x v="17"/>
    <m/>
    <m/>
    <m/>
    <m/>
    <m/>
    <m/>
    <m/>
    <m/>
    <m/>
    <m/>
    <m/>
    <m/>
    <m/>
    <m/>
    <m/>
    <m/>
    <m/>
    <m/>
    <m/>
    <m/>
    <m/>
    <m/>
    <m/>
    <m/>
    <m/>
    <m/>
    <m/>
    <m/>
    <m/>
    <m/>
    <m/>
    <m/>
    <m/>
    <m/>
    <m/>
    <m/>
    <m/>
    <m/>
    <m/>
    <m/>
    <m/>
    <m/>
    <m/>
    <m/>
    <m/>
    <m/>
    <m/>
    <n v="1"/>
    <m/>
    <m/>
    <m/>
    <m/>
    <m/>
    <m/>
    <m/>
    <m/>
    <m/>
    <m/>
    <m/>
    <m/>
  </r>
  <r>
    <x v="834"/>
    <n v="2011"/>
    <n v="6"/>
    <x v="18"/>
    <x v="8"/>
    <x v="13"/>
    <n v="2"/>
    <s v="2011_06_019.gif"/>
    <m/>
    <m/>
    <m/>
    <b v="0"/>
    <n v="0"/>
    <x v="0"/>
    <n v="835"/>
    <s v="Electric Fields and Potential,Electrical Definitions"/>
    <n v="5433"/>
    <x v="17"/>
    <m/>
    <m/>
    <m/>
    <m/>
    <m/>
    <m/>
    <m/>
    <m/>
    <m/>
    <m/>
    <m/>
    <m/>
    <m/>
    <m/>
    <m/>
    <m/>
    <m/>
    <m/>
    <m/>
    <m/>
    <m/>
    <m/>
    <m/>
    <m/>
    <m/>
    <m/>
    <m/>
    <m/>
    <m/>
    <m/>
    <m/>
    <m/>
    <m/>
    <m/>
    <m/>
    <m/>
    <m/>
    <m/>
    <m/>
    <m/>
    <m/>
    <m/>
    <m/>
    <m/>
    <m/>
    <m/>
    <m/>
    <n v="1"/>
    <n v="1"/>
    <m/>
    <m/>
    <m/>
    <m/>
    <m/>
    <m/>
    <m/>
    <m/>
    <m/>
    <m/>
    <m/>
  </r>
  <r>
    <x v="835"/>
    <n v="2011"/>
    <n v="6"/>
    <x v="19"/>
    <x v="8"/>
    <x v="0"/>
    <n v="2"/>
    <s v="2011_06_020.gif"/>
    <m/>
    <m/>
    <m/>
    <b v="0"/>
    <n v="0"/>
    <x v="0"/>
    <n v="836"/>
    <s v="Electrical Definitions"/>
    <n v="5434"/>
    <x v="17"/>
    <m/>
    <m/>
    <m/>
    <m/>
    <m/>
    <m/>
    <m/>
    <m/>
    <m/>
    <m/>
    <m/>
    <m/>
    <m/>
    <m/>
    <m/>
    <m/>
    <m/>
    <m/>
    <m/>
    <m/>
    <m/>
    <m/>
    <m/>
    <m/>
    <m/>
    <m/>
    <m/>
    <m/>
    <m/>
    <m/>
    <m/>
    <m/>
    <m/>
    <m/>
    <m/>
    <m/>
    <m/>
    <m/>
    <m/>
    <m/>
    <m/>
    <m/>
    <m/>
    <m/>
    <m/>
    <m/>
    <m/>
    <m/>
    <n v="1"/>
    <m/>
    <m/>
    <m/>
    <m/>
    <m/>
    <m/>
    <m/>
    <m/>
    <m/>
    <m/>
    <m/>
  </r>
  <r>
    <x v="836"/>
    <n v="2011"/>
    <n v="6"/>
    <x v="20"/>
    <x v="14"/>
    <x v="7"/>
    <n v="1"/>
    <s v="2011_06_021.gif"/>
    <m/>
    <m/>
    <m/>
    <b v="0"/>
    <n v="0"/>
    <x v="0"/>
    <n v="837"/>
    <s v="Ohm's Law,Mathematical Relationships (Numberless Problems)"/>
    <n v="5435"/>
    <x v="17"/>
    <m/>
    <m/>
    <m/>
    <m/>
    <m/>
    <m/>
    <m/>
    <m/>
    <m/>
    <m/>
    <m/>
    <m/>
    <m/>
    <m/>
    <m/>
    <m/>
    <m/>
    <m/>
    <m/>
    <m/>
    <m/>
    <m/>
    <m/>
    <m/>
    <m/>
    <m/>
    <m/>
    <m/>
    <m/>
    <m/>
    <m/>
    <m/>
    <m/>
    <m/>
    <m/>
    <m/>
    <m/>
    <m/>
    <m/>
    <m/>
    <m/>
    <m/>
    <m/>
    <m/>
    <m/>
    <m/>
    <m/>
    <m/>
    <m/>
    <m/>
    <n v="1"/>
    <m/>
    <m/>
    <m/>
    <m/>
    <m/>
    <m/>
    <m/>
    <n v="1"/>
    <m/>
  </r>
  <r>
    <x v="837"/>
    <n v="2011"/>
    <n v="6"/>
    <x v="21"/>
    <x v="8"/>
    <x v="0"/>
    <n v="3"/>
    <s v="2011_06_022.gif"/>
    <m/>
    <m/>
    <m/>
    <b v="0"/>
    <n v="0"/>
    <x v="0"/>
    <n v="838"/>
    <s v="Series and Parallel"/>
    <n v="5436"/>
    <x v="17"/>
    <m/>
    <m/>
    <m/>
    <m/>
    <m/>
    <m/>
    <m/>
    <m/>
    <m/>
    <m/>
    <m/>
    <m/>
    <m/>
    <m/>
    <m/>
    <m/>
    <m/>
    <m/>
    <m/>
    <m/>
    <m/>
    <m/>
    <m/>
    <m/>
    <m/>
    <m/>
    <m/>
    <m/>
    <m/>
    <m/>
    <m/>
    <m/>
    <m/>
    <m/>
    <m/>
    <m/>
    <m/>
    <m/>
    <m/>
    <m/>
    <m/>
    <m/>
    <m/>
    <m/>
    <m/>
    <m/>
    <m/>
    <m/>
    <m/>
    <m/>
    <m/>
    <m/>
    <n v="1"/>
    <m/>
    <m/>
    <m/>
    <m/>
    <m/>
    <m/>
    <m/>
  </r>
  <r>
    <x v="838"/>
    <n v="2011"/>
    <n v="6"/>
    <x v="22"/>
    <x v="8"/>
    <x v="0"/>
    <n v="3"/>
    <s v="2011_06_023.gif"/>
    <m/>
    <m/>
    <m/>
    <b v="0"/>
    <n v="0"/>
    <x v="0"/>
    <n v="839"/>
    <s v="Electrical Power"/>
    <n v="5437"/>
    <x v="17"/>
    <m/>
    <m/>
    <m/>
    <m/>
    <m/>
    <m/>
    <m/>
    <m/>
    <m/>
    <m/>
    <m/>
    <m/>
    <m/>
    <m/>
    <m/>
    <m/>
    <m/>
    <m/>
    <m/>
    <m/>
    <m/>
    <m/>
    <m/>
    <m/>
    <m/>
    <m/>
    <m/>
    <m/>
    <m/>
    <m/>
    <m/>
    <m/>
    <m/>
    <m/>
    <m/>
    <m/>
    <m/>
    <m/>
    <m/>
    <m/>
    <m/>
    <m/>
    <m/>
    <m/>
    <m/>
    <m/>
    <m/>
    <m/>
    <m/>
    <n v="1"/>
    <m/>
    <m/>
    <m/>
    <m/>
    <m/>
    <m/>
    <m/>
    <m/>
    <m/>
    <m/>
  </r>
  <r>
    <x v="839"/>
    <n v="2011"/>
    <n v="6"/>
    <x v="23"/>
    <x v="8"/>
    <x v="0"/>
    <n v="1"/>
    <s v="2011_06_024.gif"/>
    <m/>
    <m/>
    <m/>
    <b v="0"/>
    <n v="0"/>
    <x v="0"/>
    <n v="840"/>
    <s v="Electrical Definitions"/>
    <n v="5438"/>
    <x v="17"/>
    <m/>
    <m/>
    <m/>
    <m/>
    <m/>
    <m/>
    <m/>
    <m/>
    <m/>
    <m/>
    <m/>
    <m/>
    <m/>
    <m/>
    <m/>
    <m/>
    <m/>
    <m/>
    <m/>
    <m/>
    <m/>
    <m/>
    <m/>
    <m/>
    <m/>
    <m/>
    <m/>
    <m/>
    <m/>
    <m/>
    <m/>
    <m/>
    <m/>
    <m/>
    <m/>
    <m/>
    <m/>
    <m/>
    <m/>
    <m/>
    <m/>
    <m/>
    <m/>
    <m/>
    <m/>
    <m/>
    <m/>
    <m/>
    <n v="1"/>
    <m/>
    <m/>
    <m/>
    <m/>
    <m/>
    <m/>
    <m/>
    <m/>
    <m/>
    <m/>
    <m/>
  </r>
  <r>
    <x v="840"/>
    <n v="2011"/>
    <n v="6"/>
    <x v="24"/>
    <x v="7"/>
    <x v="0"/>
    <n v="1"/>
    <s v="2011_06_025.gif"/>
    <m/>
    <m/>
    <m/>
    <b v="0"/>
    <n v="0"/>
    <x v="0"/>
    <n v="841"/>
    <s v="Wave Vocabulary"/>
    <n v="5439"/>
    <x v="17"/>
    <m/>
    <m/>
    <m/>
    <m/>
    <m/>
    <m/>
    <m/>
    <m/>
    <m/>
    <m/>
    <m/>
    <m/>
    <m/>
    <m/>
    <m/>
    <m/>
    <m/>
    <m/>
    <m/>
    <m/>
    <m/>
    <m/>
    <m/>
    <m/>
    <m/>
    <m/>
    <m/>
    <m/>
    <m/>
    <m/>
    <m/>
    <m/>
    <m/>
    <m/>
    <m/>
    <m/>
    <m/>
    <m/>
    <m/>
    <n v="1"/>
    <m/>
    <m/>
    <m/>
    <m/>
    <m/>
    <m/>
    <m/>
    <m/>
    <m/>
    <m/>
    <m/>
    <m/>
    <m/>
    <m/>
    <m/>
    <m/>
    <m/>
    <m/>
    <m/>
    <m/>
  </r>
  <r>
    <x v="841"/>
    <n v="2011"/>
    <n v="6"/>
    <x v="25"/>
    <x v="7"/>
    <x v="0"/>
    <n v="4"/>
    <s v="2011_06_026.gif"/>
    <m/>
    <m/>
    <m/>
    <b v="0"/>
    <n v="0"/>
    <x v="0"/>
    <n v="842"/>
    <s v="Wave Vocabulary"/>
    <n v="5440"/>
    <x v="17"/>
    <m/>
    <m/>
    <m/>
    <m/>
    <m/>
    <m/>
    <m/>
    <m/>
    <m/>
    <m/>
    <m/>
    <m/>
    <m/>
    <m/>
    <m/>
    <m/>
    <m/>
    <m/>
    <m/>
    <m/>
    <m/>
    <m/>
    <m/>
    <m/>
    <m/>
    <m/>
    <m/>
    <m/>
    <m/>
    <m/>
    <m/>
    <m/>
    <m/>
    <m/>
    <m/>
    <m/>
    <m/>
    <m/>
    <m/>
    <n v="1"/>
    <m/>
    <m/>
    <m/>
    <m/>
    <m/>
    <m/>
    <m/>
    <m/>
    <m/>
    <m/>
    <m/>
    <m/>
    <m/>
    <m/>
    <m/>
    <m/>
    <m/>
    <m/>
    <m/>
    <m/>
  </r>
  <r>
    <x v="842"/>
    <n v="2011"/>
    <n v="6"/>
    <x v="26"/>
    <x v="7"/>
    <x v="0"/>
    <n v="3"/>
    <s v="2011_06_027.gif"/>
    <m/>
    <m/>
    <m/>
    <b v="0"/>
    <n v="0"/>
    <x v="0"/>
    <n v="843"/>
    <s v="Wave Vocabulary"/>
    <n v="5441"/>
    <x v="17"/>
    <m/>
    <m/>
    <m/>
    <m/>
    <m/>
    <m/>
    <m/>
    <m/>
    <m/>
    <m/>
    <m/>
    <m/>
    <m/>
    <m/>
    <m/>
    <m/>
    <m/>
    <m/>
    <m/>
    <m/>
    <m/>
    <m/>
    <m/>
    <m/>
    <m/>
    <m/>
    <m/>
    <m/>
    <m/>
    <m/>
    <m/>
    <m/>
    <m/>
    <m/>
    <m/>
    <m/>
    <m/>
    <m/>
    <m/>
    <n v="1"/>
    <m/>
    <m/>
    <m/>
    <m/>
    <m/>
    <m/>
    <m/>
    <m/>
    <m/>
    <m/>
    <m/>
    <m/>
    <m/>
    <m/>
    <m/>
    <m/>
    <m/>
    <m/>
    <m/>
    <m/>
  </r>
  <r>
    <x v="843"/>
    <n v="2011"/>
    <n v="6"/>
    <x v="27"/>
    <x v="7"/>
    <x v="0"/>
    <n v="2"/>
    <s v="2011_06_028.gif"/>
    <m/>
    <m/>
    <m/>
    <b v="0"/>
    <n v="0"/>
    <x v="0"/>
    <n v="844"/>
    <s v="Wave Vocabulary"/>
    <n v="5442"/>
    <x v="17"/>
    <m/>
    <m/>
    <m/>
    <m/>
    <m/>
    <m/>
    <m/>
    <m/>
    <m/>
    <m/>
    <m/>
    <m/>
    <m/>
    <m/>
    <m/>
    <m/>
    <m/>
    <m/>
    <m/>
    <m/>
    <m/>
    <m/>
    <m/>
    <m/>
    <m/>
    <m/>
    <m/>
    <m/>
    <m/>
    <m/>
    <m/>
    <m/>
    <m/>
    <m/>
    <m/>
    <m/>
    <m/>
    <m/>
    <m/>
    <n v="1"/>
    <m/>
    <m/>
    <m/>
    <m/>
    <m/>
    <m/>
    <m/>
    <m/>
    <m/>
    <m/>
    <m/>
    <m/>
    <m/>
    <m/>
    <m/>
    <m/>
    <m/>
    <m/>
    <m/>
    <m/>
  </r>
  <r>
    <x v="844"/>
    <n v="2011"/>
    <n v="6"/>
    <x v="28"/>
    <x v="7"/>
    <x v="0"/>
    <n v="2"/>
    <s v="2011_06_029.gif"/>
    <m/>
    <m/>
    <m/>
    <b v="0"/>
    <n v="0"/>
    <x v="0"/>
    <n v="845"/>
    <s v="V=FxLamda"/>
    <n v="5443"/>
    <x v="17"/>
    <m/>
    <m/>
    <m/>
    <m/>
    <m/>
    <m/>
    <m/>
    <m/>
    <m/>
    <m/>
    <m/>
    <m/>
    <m/>
    <m/>
    <m/>
    <m/>
    <m/>
    <m/>
    <m/>
    <m/>
    <m/>
    <m/>
    <m/>
    <m/>
    <m/>
    <m/>
    <m/>
    <m/>
    <m/>
    <m/>
    <m/>
    <m/>
    <m/>
    <m/>
    <m/>
    <m/>
    <m/>
    <m/>
    <n v="1"/>
    <m/>
    <m/>
    <m/>
    <m/>
    <m/>
    <m/>
    <m/>
    <m/>
    <m/>
    <m/>
    <m/>
    <m/>
    <m/>
    <m/>
    <m/>
    <m/>
    <m/>
    <m/>
    <m/>
    <m/>
    <m/>
  </r>
  <r>
    <x v="845"/>
    <n v="2011"/>
    <n v="6"/>
    <x v="29"/>
    <x v="10"/>
    <x v="0"/>
    <n v="1"/>
    <s v="2011_06_030.gif"/>
    <m/>
    <m/>
    <m/>
    <b v="0"/>
    <n v="0"/>
    <x v="0"/>
    <n v="846"/>
    <s v="Energy/Mass Equivalency"/>
    <n v="5444"/>
    <x v="17"/>
    <m/>
    <m/>
    <m/>
    <m/>
    <m/>
    <m/>
    <m/>
    <m/>
    <m/>
    <m/>
    <m/>
    <m/>
    <m/>
    <m/>
    <m/>
    <m/>
    <m/>
    <m/>
    <m/>
    <m/>
    <m/>
    <m/>
    <m/>
    <m/>
    <m/>
    <m/>
    <m/>
    <m/>
    <m/>
    <m/>
    <m/>
    <m/>
    <m/>
    <m/>
    <m/>
    <m/>
    <m/>
    <m/>
    <m/>
    <m/>
    <m/>
    <m/>
    <m/>
    <m/>
    <m/>
    <m/>
    <m/>
    <m/>
    <m/>
    <m/>
    <m/>
    <m/>
    <m/>
    <m/>
    <m/>
    <n v="1"/>
    <m/>
    <m/>
    <m/>
    <m/>
  </r>
  <r>
    <x v="846"/>
    <n v="2011"/>
    <n v="6"/>
    <x v="30"/>
    <x v="9"/>
    <x v="0"/>
    <n v="3"/>
    <s v="2011_06_031.gif"/>
    <m/>
    <m/>
    <m/>
    <b v="0"/>
    <n v="0"/>
    <x v="0"/>
    <n v="847"/>
    <s v="Light and Sound"/>
    <n v="5445"/>
    <x v="17"/>
    <m/>
    <m/>
    <m/>
    <m/>
    <m/>
    <m/>
    <m/>
    <m/>
    <m/>
    <m/>
    <m/>
    <m/>
    <m/>
    <m/>
    <m/>
    <m/>
    <m/>
    <m/>
    <m/>
    <m/>
    <m/>
    <m/>
    <m/>
    <m/>
    <m/>
    <m/>
    <m/>
    <m/>
    <m/>
    <m/>
    <m/>
    <m/>
    <m/>
    <m/>
    <m/>
    <m/>
    <m/>
    <m/>
    <m/>
    <m/>
    <m/>
    <m/>
    <n v="1"/>
    <m/>
    <m/>
    <m/>
    <m/>
    <m/>
    <m/>
    <m/>
    <m/>
    <m/>
    <m/>
    <m/>
    <m/>
    <m/>
    <m/>
    <m/>
    <m/>
    <m/>
  </r>
  <r>
    <x v="847"/>
    <n v="2011"/>
    <n v="6"/>
    <x v="31"/>
    <x v="7"/>
    <x v="0"/>
    <n v="2"/>
    <s v="2011_06_032.gif"/>
    <m/>
    <m/>
    <m/>
    <b v="0"/>
    <n v="0"/>
    <x v="0"/>
    <n v="848"/>
    <s v="Resonance"/>
    <n v="5446"/>
    <x v="17"/>
    <m/>
    <m/>
    <m/>
    <m/>
    <m/>
    <m/>
    <m/>
    <m/>
    <m/>
    <m/>
    <m/>
    <m/>
    <m/>
    <m/>
    <m/>
    <m/>
    <m/>
    <m/>
    <m/>
    <m/>
    <m/>
    <m/>
    <m/>
    <m/>
    <m/>
    <m/>
    <m/>
    <m/>
    <m/>
    <m/>
    <m/>
    <m/>
    <m/>
    <m/>
    <m/>
    <m/>
    <n v="1"/>
    <m/>
    <m/>
    <m/>
    <m/>
    <m/>
    <m/>
    <m/>
    <m/>
    <m/>
    <m/>
    <m/>
    <m/>
    <m/>
    <m/>
    <m/>
    <m/>
    <m/>
    <m/>
    <m/>
    <m/>
    <m/>
    <m/>
    <m/>
  </r>
  <r>
    <x v="848"/>
    <n v="2011"/>
    <n v="6"/>
    <x v="32"/>
    <x v="9"/>
    <x v="0"/>
    <n v="3"/>
    <s v="2011_06_033.gif"/>
    <m/>
    <m/>
    <m/>
    <b v="0"/>
    <n v="0"/>
    <x v="0"/>
    <n v="849"/>
    <s v="Doppler Effect"/>
    <n v="5447"/>
    <x v="17"/>
    <m/>
    <m/>
    <m/>
    <m/>
    <m/>
    <m/>
    <m/>
    <m/>
    <m/>
    <m/>
    <m/>
    <m/>
    <m/>
    <m/>
    <m/>
    <m/>
    <m/>
    <m/>
    <m/>
    <m/>
    <m/>
    <m/>
    <m/>
    <m/>
    <m/>
    <m/>
    <m/>
    <m/>
    <m/>
    <m/>
    <m/>
    <m/>
    <m/>
    <m/>
    <m/>
    <m/>
    <m/>
    <m/>
    <m/>
    <m/>
    <m/>
    <n v="1"/>
    <m/>
    <m/>
    <m/>
    <m/>
    <m/>
    <m/>
    <m/>
    <m/>
    <m/>
    <m/>
    <m/>
    <m/>
    <m/>
    <m/>
    <m/>
    <m/>
    <m/>
    <m/>
  </r>
  <r>
    <x v="849"/>
    <n v="2011"/>
    <n v="6"/>
    <x v="33"/>
    <x v="10"/>
    <x v="0"/>
    <n v="4"/>
    <s v="2011_06_034.gif"/>
    <m/>
    <m/>
    <m/>
    <b v="0"/>
    <n v="0"/>
    <x v="0"/>
    <n v="850"/>
    <s v="Particle Physics"/>
    <n v="5448"/>
    <x v="17"/>
    <m/>
    <m/>
    <m/>
    <m/>
    <m/>
    <m/>
    <m/>
    <m/>
    <m/>
    <m/>
    <m/>
    <m/>
    <m/>
    <m/>
    <m/>
    <m/>
    <m/>
    <m/>
    <m/>
    <m/>
    <m/>
    <m/>
    <m/>
    <m/>
    <m/>
    <m/>
    <m/>
    <m/>
    <m/>
    <m/>
    <m/>
    <m/>
    <m/>
    <m/>
    <m/>
    <m/>
    <m/>
    <m/>
    <m/>
    <m/>
    <m/>
    <m/>
    <m/>
    <m/>
    <m/>
    <m/>
    <m/>
    <m/>
    <m/>
    <m/>
    <m/>
    <m/>
    <m/>
    <m/>
    <m/>
    <m/>
    <n v="1"/>
    <m/>
    <m/>
    <m/>
  </r>
  <r>
    <x v="850"/>
    <n v="2011"/>
    <n v="6"/>
    <x v="34"/>
    <x v="10"/>
    <x v="0"/>
    <n v="4"/>
    <s v="2011_06_035.gif"/>
    <m/>
    <m/>
    <m/>
    <b v="0"/>
    <n v="0"/>
    <x v="0"/>
    <n v="851"/>
    <s v="Particle Physics"/>
    <n v="5449"/>
    <x v="17"/>
    <m/>
    <m/>
    <m/>
    <m/>
    <m/>
    <m/>
    <m/>
    <m/>
    <m/>
    <m/>
    <m/>
    <m/>
    <m/>
    <m/>
    <m/>
    <m/>
    <m/>
    <m/>
    <m/>
    <m/>
    <m/>
    <m/>
    <m/>
    <m/>
    <m/>
    <m/>
    <m/>
    <m/>
    <m/>
    <m/>
    <m/>
    <m/>
    <m/>
    <m/>
    <m/>
    <m/>
    <m/>
    <m/>
    <m/>
    <m/>
    <m/>
    <m/>
    <m/>
    <m/>
    <m/>
    <m/>
    <m/>
    <m/>
    <m/>
    <m/>
    <m/>
    <m/>
    <m/>
    <m/>
    <m/>
    <m/>
    <n v="1"/>
    <m/>
    <m/>
    <m/>
  </r>
  <r>
    <x v="851"/>
    <n v="2011"/>
    <n v="6"/>
    <x v="35"/>
    <x v="11"/>
    <x v="0"/>
    <n v="2"/>
    <s v="2011_06_036.gif"/>
    <m/>
    <m/>
    <m/>
    <b v="0"/>
    <n v="0"/>
    <x v="1"/>
    <n v="852"/>
    <s v="Estimation"/>
    <n v="5450"/>
    <x v="17"/>
    <m/>
    <m/>
    <n v="1"/>
    <m/>
    <m/>
    <m/>
    <m/>
    <m/>
    <m/>
    <m/>
    <m/>
    <m/>
    <m/>
    <m/>
    <m/>
    <m/>
    <m/>
    <m/>
    <m/>
    <m/>
    <m/>
    <m/>
    <m/>
    <m/>
    <m/>
    <m/>
    <m/>
    <m/>
    <m/>
    <m/>
    <m/>
    <m/>
    <m/>
    <m/>
    <m/>
    <m/>
    <m/>
    <m/>
    <m/>
    <m/>
    <m/>
    <m/>
    <m/>
    <m/>
    <m/>
    <m/>
    <m/>
    <m/>
    <m/>
    <m/>
    <m/>
    <m/>
    <m/>
    <m/>
    <m/>
    <m/>
    <m/>
    <m/>
    <m/>
    <m/>
  </r>
  <r>
    <x v="852"/>
    <n v="2011"/>
    <n v="6"/>
    <x v="36"/>
    <x v="2"/>
    <x v="0"/>
    <n v="1"/>
    <s v="2011_06_037.gif"/>
    <m/>
    <m/>
    <m/>
    <b v="0"/>
    <n v="0"/>
    <x v="1"/>
    <n v="853"/>
    <s v="DT/VT Graphs"/>
    <n v="5451"/>
    <x v="17"/>
    <m/>
    <m/>
    <m/>
    <m/>
    <n v="1"/>
    <m/>
    <m/>
    <m/>
    <m/>
    <m/>
    <m/>
    <m/>
    <m/>
    <m/>
    <m/>
    <m/>
    <m/>
    <m/>
    <m/>
    <m/>
    <m/>
    <m/>
    <m/>
    <m/>
    <m/>
    <m/>
    <m/>
    <m/>
    <m/>
    <m/>
    <m/>
    <m/>
    <m/>
    <m/>
    <m/>
    <m/>
    <m/>
    <m/>
    <m/>
    <m/>
    <m/>
    <m/>
    <m/>
    <m/>
    <m/>
    <m/>
    <m/>
    <m/>
    <m/>
    <m/>
    <m/>
    <m/>
    <m/>
    <m/>
    <m/>
    <m/>
    <m/>
    <m/>
    <m/>
    <m/>
  </r>
  <r>
    <x v="853"/>
    <n v="2011"/>
    <n v="6"/>
    <x v="37"/>
    <x v="4"/>
    <x v="0"/>
    <n v="3"/>
    <s v="2011_06_038.gif"/>
    <m/>
    <m/>
    <m/>
    <b v="0"/>
    <n v="0"/>
    <x v="1"/>
    <n v="854"/>
    <s v="Impulse"/>
    <n v="5452"/>
    <x v="17"/>
    <m/>
    <m/>
    <m/>
    <m/>
    <m/>
    <m/>
    <m/>
    <m/>
    <m/>
    <m/>
    <m/>
    <m/>
    <m/>
    <m/>
    <m/>
    <m/>
    <m/>
    <m/>
    <m/>
    <m/>
    <m/>
    <m/>
    <m/>
    <m/>
    <m/>
    <m/>
    <m/>
    <m/>
    <m/>
    <n v="1"/>
    <m/>
    <m/>
    <m/>
    <m/>
    <m/>
    <m/>
    <m/>
    <m/>
    <m/>
    <m/>
    <m/>
    <m/>
    <m/>
    <m/>
    <m/>
    <m/>
    <m/>
    <m/>
    <m/>
    <m/>
    <m/>
    <m/>
    <m/>
    <m/>
    <m/>
    <m/>
    <m/>
    <m/>
    <m/>
    <m/>
  </r>
  <r>
    <x v="854"/>
    <n v="2011"/>
    <n v="6"/>
    <x v="38"/>
    <x v="0"/>
    <x v="6"/>
    <n v="3"/>
    <s v="2011_06_039.gif"/>
    <m/>
    <m/>
    <m/>
    <b v="0"/>
    <n v="0"/>
    <x v="1"/>
    <n v="855"/>
    <s v="Vector Components"/>
    <n v="5453"/>
    <x v="17"/>
    <m/>
    <m/>
    <m/>
    <m/>
    <m/>
    <m/>
    <m/>
    <m/>
    <m/>
    <m/>
    <m/>
    <m/>
    <n v="1"/>
    <m/>
    <m/>
    <m/>
    <m/>
    <m/>
    <m/>
    <m/>
    <m/>
    <m/>
    <m/>
    <m/>
    <m/>
    <m/>
    <m/>
    <m/>
    <m/>
    <m/>
    <m/>
    <m/>
    <m/>
    <m/>
    <m/>
    <m/>
    <m/>
    <m/>
    <m/>
    <m/>
    <m/>
    <m/>
    <m/>
    <m/>
    <m/>
    <m/>
    <m/>
    <m/>
    <m/>
    <m/>
    <m/>
    <m/>
    <m/>
    <m/>
    <m/>
    <m/>
    <m/>
    <m/>
    <m/>
    <m/>
  </r>
  <r>
    <x v="855"/>
    <n v="2011"/>
    <n v="6"/>
    <x v="39"/>
    <x v="14"/>
    <x v="13"/>
    <n v="3"/>
    <s v="2011_06_040.gif"/>
    <m/>
    <m/>
    <m/>
    <b v="0"/>
    <n v="0"/>
    <x v="1"/>
    <n v="856"/>
    <s v="Coulomb's Law,Mathematical Relationships (Numberless Problems)"/>
    <n v="5454"/>
    <x v="17"/>
    <m/>
    <m/>
    <m/>
    <m/>
    <m/>
    <m/>
    <m/>
    <m/>
    <m/>
    <m/>
    <m/>
    <m/>
    <m/>
    <m/>
    <m/>
    <m/>
    <m/>
    <m/>
    <m/>
    <m/>
    <m/>
    <m/>
    <m/>
    <m/>
    <m/>
    <m/>
    <m/>
    <m/>
    <m/>
    <m/>
    <m/>
    <m/>
    <m/>
    <m/>
    <m/>
    <m/>
    <m/>
    <m/>
    <m/>
    <m/>
    <m/>
    <m/>
    <m/>
    <m/>
    <m/>
    <n v="1"/>
    <m/>
    <m/>
    <m/>
    <m/>
    <m/>
    <m/>
    <m/>
    <m/>
    <m/>
    <m/>
    <m/>
    <m/>
    <n v="1"/>
    <m/>
  </r>
  <r>
    <x v="856"/>
    <n v="2011"/>
    <n v="6"/>
    <x v="40"/>
    <x v="14"/>
    <x v="6"/>
    <n v="2"/>
    <s v="2011_06_041.gif"/>
    <m/>
    <m/>
    <m/>
    <b v="0"/>
    <n v="0"/>
    <x v="1"/>
    <n v="857"/>
    <s v="Law of Gravity,Graph Interpretation,Mathematical Relationships (Numberless Problems)"/>
    <n v="5455"/>
    <x v="17"/>
    <m/>
    <m/>
    <m/>
    <m/>
    <m/>
    <m/>
    <m/>
    <m/>
    <m/>
    <m/>
    <m/>
    <m/>
    <m/>
    <m/>
    <m/>
    <m/>
    <m/>
    <m/>
    <m/>
    <m/>
    <m/>
    <m/>
    <m/>
    <m/>
    <n v="1"/>
    <m/>
    <m/>
    <m/>
    <m/>
    <m/>
    <m/>
    <m/>
    <m/>
    <m/>
    <m/>
    <m/>
    <m/>
    <m/>
    <m/>
    <m/>
    <m/>
    <m/>
    <m/>
    <m/>
    <m/>
    <m/>
    <m/>
    <m/>
    <m/>
    <m/>
    <m/>
    <m/>
    <m/>
    <m/>
    <m/>
    <m/>
    <m/>
    <n v="1"/>
    <n v="1"/>
    <m/>
  </r>
  <r>
    <x v="857"/>
    <n v="2011"/>
    <n v="6"/>
    <x v="41"/>
    <x v="5"/>
    <x v="2"/>
    <n v="2"/>
    <s v="2011_06_042.gif"/>
    <m/>
    <m/>
    <m/>
    <b v="0"/>
    <n v="0"/>
    <x v="1"/>
    <n v="858"/>
    <s v="Gravitational PE,Graph Interpretation,Mathematical Relationships (Numberless Problems)"/>
    <n v="5456"/>
    <x v="17"/>
    <m/>
    <m/>
    <m/>
    <m/>
    <m/>
    <m/>
    <m/>
    <m/>
    <m/>
    <m/>
    <m/>
    <m/>
    <m/>
    <m/>
    <m/>
    <m/>
    <m/>
    <m/>
    <m/>
    <m/>
    <m/>
    <m/>
    <m/>
    <m/>
    <m/>
    <m/>
    <m/>
    <m/>
    <m/>
    <m/>
    <m/>
    <m/>
    <n v="1"/>
    <m/>
    <m/>
    <m/>
    <m/>
    <m/>
    <m/>
    <m/>
    <m/>
    <m/>
    <m/>
    <m/>
    <m/>
    <m/>
    <m/>
    <m/>
    <m/>
    <m/>
    <m/>
    <m/>
    <m/>
    <m/>
    <m/>
    <m/>
    <m/>
    <n v="1"/>
    <n v="1"/>
    <m/>
  </r>
  <r>
    <x v="858"/>
    <n v="2011"/>
    <n v="6"/>
    <x v="42"/>
    <x v="14"/>
    <x v="13"/>
    <n v="4"/>
    <s v="2011_06_043.gif"/>
    <m/>
    <m/>
    <m/>
    <b v="0"/>
    <n v="0"/>
    <x v="1"/>
    <n v="859"/>
    <s v="Electric Fields and Potential,Graph Interpretation,Mathematical Relationships (Numberless Problems)"/>
    <n v="5457"/>
    <x v="17"/>
    <m/>
    <m/>
    <m/>
    <m/>
    <m/>
    <m/>
    <m/>
    <m/>
    <m/>
    <m/>
    <m/>
    <m/>
    <m/>
    <m/>
    <m/>
    <m/>
    <m/>
    <m/>
    <m/>
    <m/>
    <m/>
    <m/>
    <m/>
    <m/>
    <m/>
    <m/>
    <m/>
    <m/>
    <m/>
    <m/>
    <m/>
    <m/>
    <m/>
    <m/>
    <m/>
    <m/>
    <m/>
    <m/>
    <m/>
    <m/>
    <m/>
    <m/>
    <m/>
    <m/>
    <m/>
    <m/>
    <m/>
    <n v="1"/>
    <m/>
    <m/>
    <m/>
    <m/>
    <m/>
    <m/>
    <m/>
    <m/>
    <m/>
    <n v="1"/>
    <n v="1"/>
    <m/>
  </r>
  <r>
    <x v="859"/>
    <n v="2011"/>
    <n v="6"/>
    <x v="43"/>
    <x v="8"/>
    <x v="0"/>
    <n v="4"/>
    <s v="2011_06_044.gif"/>
    <m/>
    <m/>
    <m/>
    <b v="0"/>
    <n v="0"/>
    <x v="1"/>
    <n v="860"/>
    <s v="Series and Parallel"/>
    <n v="5458"/>
    <x v="17"/>
    <m/>
    <m/>
    <m/>
    <m/>
    <m/>
    <m/>
    <m/>
    <m/>
    <m/>
    <m/>
    <m/>
    <m/>
    <m/>
    <m/>
    <m/>
    <m/>
    <m/>
    <m/>
    <m/>
    <m/>
    <m/>
    <m/>
    <m/>
    <m/>
    <m/>
    <m/>
    <m/>
    <m/>
    <m/>
    <m/>
    <m/>
    <m/>
    <m/>
    <m/>
    <m/>
    <m/>
    <m/>
    <m/>
    <m/>
    <m/>
    <m/>
    <m/>
    <m/>
    <m/>
    <m/>
    <m/>
    <m/>
    <m/>
    <m/>
    <m/>
    <m/>
    <m/>
    <n v="1"/>
    <m/>
    <m/>
    <m/>
    <m/>
    <m/>
    <m/>
    <m/>
  </r>
  <r>
    <x v="860"/>
    <n v="2011"/>
    <n v="6"/>
    <x v="44"/>
    <x v="13"/>
    <x v="0"/>
    <n v="1"/>
    <s v="2011_06_045.gif"/>
    <m/>
    <m/>
    <m/>
    <b v="0"/>
    <n v="0"/>
    <x v="1"/>
    <n v="861"/>
    <s v="Magnetism"/>
    <n v="5459"/>
    <x v="17"/>
    <m/>
    <m/>
    <m/>
    <m/>
    <m/>
    <m/>
    <m/>
    <m/>
    <m/>
    <m/>
    <m/>
    <m/>
    <m/>
    <m/>
    <m/>
    <m/>
    <m/>
    <m/>
    <m/>
    <m/>
    <m/>
    <m/>
    <m/>
    <m/>
    <m/>
    <m/>
    <m/>
    <m/>
    <m/>
    <m/>
    <m/>
    <m/>
    <m/>
    <m/>
    <m/>
    <m/>
    <m/>
    <m/>
    <m/>
    <m/>
    <m/>
    <m/>
    <m/>
    <m/>
    <m/>
    <m/>
    <m/>
    <m/>
    <m/>
    <m/>
    <m/>
    <m/>
    <m/>
    <m/>
    <m/>
    <m/>
    <m/>
    <m/>
    <m/>
    <n v="1"/>
  </r>
  <r>
    <x v="861"/>
    <n v="2011"/>
    <n v="6"/>
    <x v="45"/>
    <x v="7"/>
    <x v="0"/>
    <n v="2"/>
    <s v="2011_06_046.gif"/>
    <m/>
    <m/>
    <m/>
    <b v="0"/>
    <n v="0"/>
    <x v="1"/>
    <n v="862"/>
    <s v="Superposition and Standing Waves"/>
    <n v="5460"/>
    <x v="17"/>
    <m/>
    <m/>
    <m/>
    <m/>
    <m/>
    <m/>
    <m/>
    <m/>
    <m/>
    <m/>
    <m/>
    <m/>
    <m/>
    <m/>
    <m/>
    <m/>
    <m/>
    <m/>
    <m/>
    <m/>
    <m/>
    <m/>
    <m/>
    <m/>
    <m/>
    <m/>
    <m/>
    <m/>
    <m/>
    <m/>
    <m/>
    <m/>
    <m/>
    <m/>
    <m/>
    <m/>
    <m/>
    <n v="1"/>
    <m/>
    <m/>
    <m/>
    <m/>
    <m/>
    <m/>
    <m/>
    <m/>
    <m/>
    <m/>
    <m/>
    <m/>
    <m/>
    <m/>
    <m/>
    <m/>
    <m/>
    <m/>
    <m/>
    <m/>
    <m/>
    <m/>
  </r>
  <r>
    <x v="862"/>
    <n v="2011"/>
    <n v="6"/>
    <x v="46"/>
    <x v="9"/>
    <x v="0"/>
    <n v="4"/>
    <s v="2011_06_047.gif"/>
    <m/>
    <m/>
    <m/>
    <b v="0"/>
    <n v="0"/>
    <x v="1"/>
    <n v="863"/>
    <s v="Diffraction"/>
    <n v="5461"/>
    <x v="17"/>
    <m/>
    <m/>
    <m/>
    <m/>
    <m/>
    <m/>
    <m/>
    <m/>
    <m/>
    <m/>
    <m/>
    <m/>
    <m/>
    <m/>
    <m/>
    <m/>
    <m/>
    <m/>
    <m/>
    <m/>
    <m/>
    <m/>
    <m/>
    <m/>
    <m/>
    <m/>
    <m/>
    <m/>
    <m/>
    <m/>
    <m/>
    <m/>
    <m/>
    <m/>
    <m/>
    <m/>
    <m/>
    <m/>
    <m/>
    <m/>
    <n v="1"/>
    <m/>
    <m/>
    <m/>
    <m/>
    <m/>
    <m/>
    <m/>
    <m/>
    <m/>
    <m/>
    <m/>
    <m/>
    <m/>
    <m/>
    <m/>
    <m/>
    <m/>
    <m/>
    <m/>
  </r>
  <r>
    <x v="863"/>
    <n v="2011"/>
    <n v="6"/>
    <x v="47"/>
    <x v="7"/>
    <x v="0"/>
    <n v="3"/>
    <s v="2011_06_048.gif"/>
    <m/>
    <m/>
    <m/>
    <b v="0"/>
    <n v="0"/>
    <x v="1"/>
    <n v="864"/>
    <s v="Superposition and Standing Waves,Wave Vocabulary"/>
    <n v="5462"/>
    <x v="17"/>
    <m/>
    <m/>
    <m/>
    <m/>
    <m/>
    <m/>
    <m/>
    <m/>
    <m/>
    <m/>
    <m/>
    <m/>
    <m/>
    <m/>
    <m/>
    <m/>
    <m/>
    <m/>
    <m/>
    <m/>
    <m/>
    <m/>
    <m/>
    <m/>
    <m/>
    <m/>
    <m/>
    <m/>
    <m/>
    <m/>
    <m/>
    <m/>
    <m/>
    <m/>
    <m/>
    <m/>
    <m/>
    <n v="1"/>
    <m/>
    <n v="1"/>
    <m/>
    <m/>
    <m/>
    <m/>
    <m/>
    <m/>
    <m/>
    <m/>
    <m/>
    <m/>
    <m/>
    <m/>
    <m/>
    <m/>
    <m/>
    <m/>
    <m/>
    <m/>
    <m/>
    <m/>
  </r>
  <r>
    <x v="864"/>
    <n v="2011"/>
    <n v="6"/>
    <x v="48"/>
    <x v="10"/>
    <x v="0"/>
    <n v="3"/>
    <s v="2011_06_049.gif"/>
    <m/>
    <m/>
    <m/>
    <b v="0"/>
    <n v="0"/>
    <x v="1"/>
    <n v="865"/>
    <s v="Particle Physics"/>
    <n v="5463"/>
    <x v="17"/>
    <m/>
    <m/>
    <m/>
    <m/>
    <m/>
    <m/>
    <m/>
    <m/>
    <m/>
    <m/>
    <m/>
    <m/>
    <m/>
    <m/>
    <m/>
    <m/>
    <m/>
    <m/>
    <m/>
    <m/>
    <m/>
    <m/>
    <m/>
    <m/>
    <m/>
    <m/>
    <m/>
    <m/>
    <m/>
    <m/>
    <m/>
    <m/>
    <m/>
    <m/>
    <m/>
    <m/>
    <m/>
    <m/>
    <m/>
    <m/>
    <m/>
    <m/>
    <m/>
    <m/>
    <m/>
    <m/>
    <m/>
    <m/>
    <m/>
    <m/>
    <m/>
    <m/>
    <m/>
    <m/>
    <m/>
    <m/>
    <n v="1"/>
    <m/>
    <m/>
    <m/>
  </r>
  <r>
    <x v="865"/>
    <n v="2011"/>
    <n v="6"/>
    <x v="49"/>
    <x v="7"/>
    <x v="0"/>
    <n v="1"/>
    <s v="2011_06_050.gif"/>
    <m/>
    <m/>
    <m/>
    <b v="0"/>
    <n v="0"/>
    <x v="1"/>
    <n v="866"/>
    <s v="Superposition and Standing Waves"/>
    <n v="5464"/>
    <x v="17"/>
    <m/>
    <m/>
    <m/>
    <m/>
    <m/>
    <m/>
    <m/>
    <m/>
    <m/>
    <m/>
    <m/>
    <m/>
    <m/>
    <m/>
    <m/>
    <m/>
    <m/>
    <m/>
    <m/>
    <m/>
    <m/>
    <m/>
    <m/>
    <m/>
    <m/>
    <m/>
    <m/>
    <m/>
    <m/>
    <m/>
    <m/>
    <m/>
    <m/>
    <m/>
    <m/>
    <m/>
    <m/>
    <n v="1"/>
    <m/>
    <m/>
    <m/>
    <m/>
    <m/>
    <m/>
    <m/>
    <m/>
    <m/>
    <m/>
    <m/>
    <m/>
    <m/>
    <m/>
    <m/>
    <m/>
    <m/>
    <m/>
    <m/>
    <m/>
    <m/>
    <m/>
  </r>
  <r>
    <x v="866"/>
    <n v="2012"/>
    <n v="6"/>
    <x v="0"/>
    <x v="2"/>
    <x v="0"/>
    <n v="1"/>
    <s v="2012_06_001.gif"/>
    <m/>
    <m/>
    <m/>
    <b v="0"/>
    <n v="0"/>
    <x v="0"/>
    <n v="867"/>
    <s v="Basic Motion Concepts"/>
    <n v="5497"/>
    <x v="18"/>
    <m/>
    <m/>
    <m/>
    <m/>
    <m/>
    <m/>
    <m/>
    <n v="1"/>
    <m/>
    <m/>
    <m/>
    <m/>
    <m/>
    <m/>
    <m/>
    <m/>
    <m/>
    <m/>
    <m/>
    <m/>
    <m/>
    <m/>
    <m/>
    <m/>
    <m/>
    <m/>
    <m/>
    <m/>
    <m/>
    <m/>
    <m/>
    <m/>
    <m/>
    <m/>
    <m/>
    <m/>
    <m/>
    <m/>
    <m/>
    <m/>
    <m/>
    <m/>
    <m/>
    <m/>
    <m/>
    <m/>
    <m/>
    <m/>
    <m/>
    <m/>
    <m/>
    <m/>
    <m/>
    <m/>
    <m/>
    <m/>
    <m/>
    <m/>
    <m/>
    <m/>
  </r>
  <r>
    <x v="867"/>
    <n v="2012"/>
    <n v="6"/>
    <x v="1"/>
    <x v="2"/>
    <x v="0"/>
    <n v="3"/>
    <s v="2012_06_002.gif"/>
    <m/>
    <m/>
    <m/>
    <b v="0"/>
    <n v="0"/>
    <x v="0"/>
    <n v="868"/>
    <s v="Basic Motion Concepts"/>
    <n v="5498"/>
    <x v="18"/>
    <m/>
    <m/>
    <m/>
    <m/>
    <m/>
    <m/>
    <m/>
    <n v="1"/>
    <m/>
    <m/>
    <m/>
    <m/>
    <m/>
    <m/>
    <m/>
    <m/>
    <m/>
    <m/>
    <m/>
    <m/>
    <m/>
    <m/>
    <m/>
    <m/>
    <m/>
    <m/>
    <m/>
    <m/>
    <m/>
    <m/>
    <m/>
    <m/>
    <m/>
    <m/>
    <m/>
    <m/>
    <m/>
    <m/>
    <m/>
    <m/>
    <m/>
    <m/>
    <m/>
    <m/>
    <m/>
    <m/>
    <m/>
    <m/>
    <m/>
    <m/>
    <m/>
    <m/>
    <m/>
    <m/>
    <m/>
    <m/>
    <m/>
    <m/>
    <m/>
    <m/>
  </r>
  <r>
    <x v="868"/>
    <n v="2012"/>
    <n v="6"/>
    <x v="2"/>
    <x v="3"/>
    <x v="1"/>
    <n v="3"/>
    <s v="2012_06_003.gif"/>
    <m/>
    <m/>
    <m/>
    <b v="0"/>
    <n v="0"/>
    <x v="0"/>
    <n v="869"/>
    <s v="Vector Components,Projectiles at an Angle"/>
    <n v="5499"/>
    <x v="18"/>
    <m/>
    <m/>
    <m/>
    <m/>
    <m/>
    <m/>
    <m/>
    <m/>
    <m/>
    <m/>
    <m/>
    <m/>
    <n v="1"/>
    <m/>
    <m/>
    <n v="1"/>
    <m/>
    <m/>
    <m/>
    <m/>
    <m/>
    <m/>
    <m/>
    <m/>
    <m/>
    <m/>
    <m/>
    <m/>
    <m/>
    <m/>
    <m/>
    <m/>
    <m/>
    <m/>
    <m/>
    <m/>
    <m/>
    <m/>
    <m/>
    <m/>
    <m/>
    <m/>
    <m/>
    <m/>
    <m/>
    <m/>
    <m/>
    <m/>
    <m/>
    <m/>
    <m/>
    <m/>
    <m/>
    <m/>
    <m/>
    <m/>
    <m/>
    <m/>
    <m/>
    <m/>
  </r>
  <r>
    <x v="869"/>
    <n v="2012"/>
    <n v="6"/>
    <x v="3"/>
    <x v="6"/>
    <x v="0"/>
    <n v="3"/>
    <s v="2012_06_004.gif"/>
    <m/>
    <m/>
    <m/>
    <b v="0"/>
    <n v="0"/>
    <x v="0"/>
    <n v="870"/>
    <s v="Conservation of Charge"/>
    <n v="5500"/>
    <x v="18"/>
    <m/>
    <m/>
    <m/>
    <m/>
    <m/>
    <m/>
    <m/>
    <m/>
    <m/>
    <m/>
    <m/>
    <m/>
    <m/>
    <m/>
    <m/>
    <m/>
    <m/>
    <m/>
    <m/>
    <m/>
    <m/>
    <m/>
    <m/>
    <m/>
    <m/>
    <m/>
    <m/>
    <m/>
    <m/>
    <m/>
    <m/>
    <m/>
    <m/>
    <m/>
    <m/>
    <m/>
    <m/>
    <m/>
    <m/>
    <m/>
    <m/>
    <m/>
    <m/>
    <m/>
    <n v="1"/>
    <m/>
    <m/>
    <m/>
    <m/>
    <m/>
    <m/>
    <m/>
    <m/>
    <m/>
    <m/>
    <m/>
    <m/>
    <m/>
    <m/>
    <m/>
  </r>
  <r>
    <x v="870"/>
    <n v="2012"/>
    <n v="6"/>
    <x v="4"/>
    <x v="1"/>
    <x v="0"/>
    <n v="1"/>
    <s v="2012_06_005.gif"/>
    <m/>
    <m/>
    <m/>
    <b v="0"/>
    <n v="0"/>
    <x v="0"/>
    <n v="871"/>
    <s v="Newton's 1st Law (Inertia)"/>
    <n v="5501"/>
    <x v="18"/>
    <m/>
    <m/>
    <m/>
    <m/>
    <m/>
    <m/>
    <m/>
    <m/>
    <m/>
    <m/>
    <m/>
    <m/>
    <m/>
    <m/>
    <m/>
    <m/>
    <m/>
    <m/>
    <m/>
    <m/>
    <m/>
    <m/>
    <m/>
    <m/>
    <m/>
    <n v="1"/>
    <m/>
    <m/>
    <m/>
    <m/>
    <m/>
    <m/>
    <m/>
    <m/>
    <m/>
    <m/>
    <m/>
    <m/>
    <m/>
    <m/>
    <m/>
    <m/>
    <m/>
    <m/>
    <m/>
    <m/>
    <m/>
    <m/>
    <m/>
    <m/>
    <m/>
    <m/>
    <m/>
    <m/>
    <m/>
    <m/>
    <m/>
    <m/>
    <m/>
    <m/>
  </r>
  <r>
    <x v="871"/>
    <n v="2012"/>
    <n v="6"/>
    <x v="5"/>
    <x v="2"/>
    <x v="0"/>
    <n v="4"/>
    <s v="2012_06_006.gif"/>
    <m/>
    <m/>
    <m/>
    <b v="0"/>
    <n v="0"/>
    <x v="0"/>
    <n v="872"/>
    <s v="Horizontal Constant Acceleration Problems"/>
    <n v="5502"/>
    <x v="18"/>
    <m/>
    <m/>
    <m/>
    <m/>
    <m/>
    <m/>
    <m/>
    <m/>
    <m/>
    <n v="1"/>
    <m/>
    <m/>
    <m/>
    <m/>
    <m/>
    <m/>
    <m/>
    <m/>
    <m/>
    <m/>
    <m/>
    <m/>
    <m/>
    <m/>
    <m/>
    <m/>
    <m/>
    <m/>
    <m/>
    <m/>
    <m/>
    <m/>
    <m/>
    <m/>
    <m/>
    <m/>
    <m/>
    <m/>
    <m/>
    <m/>
    <m/>
    <m/>
    <m/>
    <m/>
    <m/>
    <m/>
    <m/>
    <m/>
    <m/>
    <m/>
    <m/>
    <m/>
    <m/>
    <m/>
    <m/>
    <m/>
    <m/>
    <m/>
    <m/>
    <m/>
  </r>
  <r>
    <x v="872"/>
    <n v="2012"/>
    <n v="6"/>
    <x v="6"/>
    <x v="1"/>
    <x v="0"/>
    <n v="3"/>
    <s v="2012_06_007.gif"/>
    <m/>
    <m/>
    <m/>
    <b v="0"/>
    <n v="0"/>
    <x v="0"/>
    <n v="873"/>
    <s v="Newton's 2nd Law (F=MA)"/>
    <n v="5503"/>
    <x v="18"/>
    <m/>
    <m/>
    <m/>
    <m/>
    <m/>
    <m/>
    <m/>
    <m/>
    <m/>
    <m/>
    <m/>
    <m/>
    <m/>
    <m/>
    <m/>
    <m/>
    <m/>
    <m/>
    <m/>
    <m/>
    <m/>
    <m/>
    <m/>
    <m/>
    <m/>
    <m/>
    <n v="1"/>
    <m/>
    <m/>
    <m/>
    <m/>
    <m/>
    <m/>
    <m/>
    <m/>
    <m/>
    <m/>
    <m/>
    <m/>
    <m/>
    <m/>
    <m/>
    <m/>
    <m/>
    <m/>
    <m/>
    <m/>
    <m/>
    <m/>
    <m/>
    <m/>
    <m/>
    <m/>
    <m/>
    <m/>
    <m/>
    <m/>
    <m/>
    <m/>
    <m/>
  </r>
  <r>
    <x v="873"/>
    <n v="2012"/>
    <n v="6"/>
    <x v="7"/>
    <x v="3"/>
    <x v="11"/>
    <n v="3"/>
    <s v="2012_06_008.gif"/>
    <m/>
    <m/>
    <m/>
    <b v="0"/>
    <n v="0"/>
    <x v="0"/>
    <n v="874"/>
    <s v="Horizontal Constant Acceleration Problems"/>
    <n v="5504"/>
    <x v="18"/>
    <m/>
    <m/>
    <m/>
    <m/>
    <m/>
    <m/>
    <m/>
    <m/>
    <m/>
    <n v="1"/>
    <m/>
    <m/>
    <m/>
    <m/>
    <m/>
    <m/>
    <m/>
    <m/>
    <m/>
    <m/>
    <m/>
    <m/>
    <m/>
    <m/>
    <m/>
    <m/>
    <m/>
    <m/>
    <m/>
    <m/>
    <m/>
    <m/>
    <m/>
    <m/>
    <m/>
    <m/>
    <m/>
    <m/>
    <m/>
    <m/>
    <m/>
    <m/>
    <m/>
    <m/>
    <m/>
    <m/>
    <m/>
    <m/>
    <m/>
    <m/>
    <m/>
    <m/>
    <m/>
    <m/>
    <m/>
    <m/>
    <m/>
    <m/>
    <m/>
    <m/>
  </r>
  <r>
    <x v="874"/>
    <n v="2012"/>
    <n v="6"/>
    <x v="8"/>
    <x v="3"/>
    <x v="0"/>
    <n v="4"/>
    <s v="2012_06_009.gif"/>
    <m/>
    <m/>
    <m/>
    <b v="0"/>
    <n v="0"/>
    <x v="0"/>
    <n v="875"/>
    <s v="Centripetal Motion - Calculation"/>
    <n v="5505"/>
    <x v="18"/>
    <m/>
    <m/>
    <m/>
    <m/>
    <m/>
    <m/>
    <m/>
    <m/>
    <m/>
    <m/>
    <m/>
    <m/>
    <m/>
    <m/>
    <m/>
    <m/>
    <m/>
    <m/>
    <m/>
    <m/>
    <n v="1"/>
    <m/>
    <m/>
    <m/>
    <m/>
    <m/>
    <m/>
    <m/>
    <m/>
    <m/>
    <m/>
    <m/>
    <m/>
    <m/>
    <m/>
    <m/>
    <m/>
    <m/>
    <m/>
    <m/>
    <m/>
    <m/>
    <m/>
    <m/>
    <m/>
    <m/>
    <m/>
    <m/>
    <m/>
    <m/>
    <m/>
    <m/>
    <m/>
    <m/>
    <m/>
    <m/>
    <m/>
    <m/>
    <m/>
    <m/>
  </r>
  <r>
    <x v="875"/>
    <n v="2012"/>
    <n v="6"/>
    <x v="9"/>
    <x v="4"/>
    <x v="0"/>
    <n v="2"/>
    <s v="2012_06_010.gif"/>
    <m/>
    <m/>
    <m/>
    <b v="0"/>
    <n v="0"/>
    <x v="0"/>
    <n v="876"/>
    <s v="Conservation of Momentum"/>
    <n v="5506"/>
    <x v="18"/>
    <m/>
    <m/>
    <m/>
    <m/>
    <m/>
    <m/>
    <m/>
    <m/>
    <m/>
    <m/>
    <m/>
    <m/>
    <m/>
    <m/>
    <m/>
    <m/>
    <m/>
    <m/>
    <m/>
    <m/>
    <m/>
    <m/>
    <m/>
    <m/>
    <m/>
    <m/>
    <m/>
    <m/>
    <n v="1"/>
    <m/>
    <m/>
    <m/>
    <m/>
    <m/>
    <m/>
    <m/>
    <m/>
    <m/>
    <m/>
    <m/>
    <m/>
    <m/>
    <m/>
    <m/>
    <m/>
    <m/>
    <m/>
    <m/>
    <m/>
    <m/>
    <m/>
    <m/>
    <m/>
    <m/>
    <m/>
    <m/>
    <m/>
    <m/>
    <m/>
    <m/>
  </r>
  <r>
    <x v="876"/>
    <n v="2012"/>
    <n v="6"/>
    <x v="10"/>
    <x v="1"/>
    <x v="0"/>
    <n v="1"/>
    <s v="2012_06_011.gif"/>
    <m/>
    <m/>
    <m/>
    <b v="0"/>
    <n v="0"/>
    <x v="0"/>
    <n v="877"/>
    <s v="Friction"/>
    <n v="5507"/>
    <x v="18"/>
    <m/>
    <m/>
    <m/>
    <m/>
    <m/>
    <m/>
    <m/>
    <m/>
    <m/>
    <m/>
    <m/>
    <m/>
    <m/>
    <m/>
    <m/>
    <m/>
    <m/>
    <m/>
    <m/>
    <m/>
    <m/>
    <n v="1"/>
    <m/>
    <m/>
    <m/>
    <m/>
    <m/>
    <m/>
    <m/>
    <m/>
    <m/>
    <m/>
    <m/>
    <m/>
    <m/>
    <m/>
    <m/>
    <m/>
    <m/>
    <m/>
    <m/>
    <m/>
    <m/>
    <m/>
    <m/>
    <m/>
    <m/>
    <m/>
    <m/>
    <m/>
    <m/>
    <m/>
    <m/>
    <m/>
    <m/>
    <m/>
    <m/>
    <m/>
    <m/>
    <m/>
  </r>
  <r>
    <x v="877"/>
    <n v="2012"/>
    <n v="6"/>
    <x v="11"/>
    <x v="1"/>
    <x v="1"/>
    <n v="1"/>
    <s v="2012_06_012.gif"/>
    <m/>
    <m/>
    <m/>
    <b v="0"/>
    <n v="0"/>
    <x v="0"/>
    <n v="878"/>
    <s v="Adding Vectors,Newton's 2nd Law (F=MA)"/>
    <n v="5508"/>
    <x v="18"/>
    <m/>
    <m/>
    <m/>
    <m/>
    <m/>
    <m/>
    <m/>
    <m/>
    <m/>
    <m/>
    <m/>
    <n v="1"/>
    <m/>
    <m/>
    <m/>
    <m/>
    <m/>
    <m/>
    <m/>
    <m/>
    <m/>
    <m/>
    <m/>
    <m/>
    <m/>
    <m/>
    <n v="1"/>
    <m/>
    <m/>
    <m/>
    <m/>
    <m/>
    <m/>
    <m/>
    <m/>
    <m/>
    <m/>
    <m/>
    <m/>
    <m/>
    <m/>
    <m/>
    <m/>
    <m/>
    <m/>
    <m/>
    <m/>
    <m/>
    <m/>
    <m/>
    <m/>
    <m/>
    <m/>
    <m/>
    <m/>
    <m/>
    <m/>
    <m/>
    <m/>
    <m/>
  </r>
  <r>
    <x v="878"/>
    <n v="2012"/>
    <n v="6"/>
    <x v="12"/>
    <x v="1"/>
    <x v="15"/>
    <n v="2"/>
    <s v="2012_06_013.gif"/>
    <m/>
    <m/>
    <m/>
    <b v="0"/>
    <n v="0"/>
    <x v="0"/>
    <n v="879"/>
    <s v="Gravitational PE"/>
    <n v="5509"/>
    <x v="18"/>
    <m/>
    <m/>
    <m/>
    <m/>
    <m/>
    <m/>
    <m/>
    <m/>
    <m/>
    <m/>
    <m/>
    <m/>
    <m/>
    <m/>
    <m/>
    <m/>
    <m/>
    <m/>
    <m/>
    <m/>
    <m/>
    <m/>
    <m/>
    <m/>
    <m/>
    <m/>
    <m/>
    <m/>
    <m/>
    <m/>
    <m/>
    <m/>
    <n v="1"/>
    <m/>
    <m/>
    <m/>
    <m/>
    <m/>
    <m/>
    <m/>
    <m/>
    <m/>
    <m/>
    <m/>
    <m/>
    <m/>
    <m/>
    <m/>
    <m/>
    <m/>
    <m/>
    <m/>
    <m/>
    <m/>
    <m/>
    <m/>
    <m/>
    <m/>
    <m/>
    <m/>
  </r>
  <r>
    <x v="879"/>
    <n v="2012"/>
    <n v="6"/>
    <x v="13"/>
    <x v="5"/>
    <x v="0"/>
    <n v="4"/>
    <s v="2012_06_014.gif"/>
    <m/>
    <m/>
    <m/>
    <b v="0"/>
    <n v="0"/>
    <x v="0"/>
    <n v="880"/>
    <s v="Conservation of Energy"/>
    <n v="5510"/>
    <x v="18"/>
    <m/>
    <m/>
    <m/>
    <m/>
    <m/>
    <m/>
    <m/>
    <m/>
    <m/>
    <m/>
    <m/>
    <m/>
    <m/>
    <m/>
    <m/>
    <m/>
    <m/>
    <m/>
    <m/>
    <m/>
    <m/>
    <m/>
    <m/>
    <m/>
    <m/>
    <m/>
    <m/>
    <m/>
    <m/>
    <m/>
    <m/>
    <n v="1"/>
    <m/>
    <m/>
    <m/>
    <m/>
    <m/>
    <m/>
    <m/>
    <m/>
    <m/>
    <m/>
    <m/>
    <m/>
    <m/>
    <m/>
    <m/>
    <m/>
    <m/>
    <m/>
    <m/>
    <m/>
    <m/>
    <m/>
    <m/>
    <m/>
    <m/>
    <m/>
    <m/>
    <m/>
  </r>
  <r>
    <x v="880"/>
    <n v="2012"/>
    <n v="6"/>
    <x v="14"/>
    <x v="8"/>
    <x v="0"/>
    <n v="3"/>
    <s v="2012_06_015.gif"/>
    <m/>
    <m/>
    <m/>
    <b v="0"/>
    <n v="0"/>
    <x v="0"/>
    <n v="881"/>
    <s v="Resistance of Wire"/>
    <n v="5511"/>
    <x v="18"/>
    <m/>
    <m/>
    <m/>
    <m/>
    <m/>
    <m/>
    <m/>
    <m/>
    <m/>
    <m/>
    <m/>
    <m/>
    <m/>
    <m/>
    <m/>
    <m/>
    <m/>
    <m/>
    <m/>
    <m/>
    <m/>
    <m/>
    <m/>
    <m/>
    <m/>
    <m/>
    <m/>
    <m/>
    <m/>
    <m/>
    <m/>
    <m/>
    <m/>
    <m/>
    <m/>
    <m/>
    <m/>
    <m/>
    <m/>
    <m/>
    <m/>
    <m/>
    <m/>
    <m/>
    <m/>
    <m/>
    <m/>
    <m/>
    <m/>
    <m/>
    <m/>
    <n v="1"/>
    <m/>
    <m/>
    <m/>
    <m/>
    <m/>
    <m/>
    <m/>
    <m/>
  </r>
  <r>
    <x v="881"/>
    <n v="2012"/>
    <n v="6"/>
    <x v="15"/>
    <x v="3"/>
    <x v="0"/>
    <n v="4"/>
    <s v="2012_06_016.gif"/>
    <m/>
    <m/>
    <m/>
    <b v="0"/>
    <n v="0"/>
    <x v="0"/>
    <n v="882"/>
    <s v="Centripetal Motion - Direction F,A,V"/>
    <n v="5512"/>
    <x v="18"/>
    <m/>
    <m/>
    <m/>
    <m/>
    <m/>
    <m/>
    <m/>
    <m/>
    <m/>
    <m/>
    <m/>
    <m/>
    <m/>
    <m/>
    <m/>
    <m/>
    <m/>
    <m/>
    <m/>
    <n v="1"/>
    <m/>
    <m/>
    <m/>
    <m/>
    <m/>
    <m/>
    <m/>
    <m/>
    <m/>
    <m/>
    <m/>
    <m/>
    <m/>
    <m/>
    <m/>
    <m/>
    <m/>
    <m/>
    <m/>
    <m/>
    <m/>
    <m/>
    <m/>
    <m/>
    <m/>
    <m/>
    <m/>
    <m/>
    <m/>
    <m/>
    <m/>
    <m/>
    <m/>
    <m/>
    <m/>
    <m/>
    <m/>
    <m/>
    <m/>
    <m/>
  </r>
  <r>
    <x v="882"/>
    <n v="2012"/>
    <n v="6"/>
    <x v="16"/>
    <x v="5"/>
    <x v="0"/>
    <n v="3"/>
    <s v="2012_06_017.gif"/>
    <m/>
    <m/>
    <m/>
    <b v="0"/>
    <n v="0"/>
    <x v="0"/>
    <n v="883"/>
    <s v="Gravitational PE,Work/Power"/>
    <n v="5513"/>
    <x v="18"/>
    <m/>
    <m/>
    <m/>
    <m/>
    <m/>
    <m/>
    <m/>
    <m/>
    <m/>
    <m/>
    <m/>
    <m/>
    <m/>
    <m/>
    <m/>
    <m/>
    <m/>
    <m/>
    <m/>
    <m/>
    <m/>
    <m/>
    <m/>
    <m/>
    <m/>
    <m/>
    <m/>
    <m/>
    <m/>
    <m/>
    <m/>
    <m/>
    <n v="1"/>
    <m/>
    <m/>
    <n v="1"/>
    <m/>
    <m/>
    <m/>
    <m/>
    <m/>
    <m/>
    <m/>
    <m/>
    <m/>
    <m/>
    <m/>
    <m/>
    <m/>
    <m/>
    <m/>
    <m/>
    <m/>
    <m/>
    <m/>
    <m/>
    <m/>
    <m/>
    <m/>
    <m/>
  </r>
  <r>
    <x v="883"/>
    <n v="2012"/>
    <n v="6"/>
    <x v="17"/>
    <x v="4"/>
    <x v="13"/>
    <n v="1"/>
    <s v="2012_06_018.gif"/>
    <m/>
    <m/>
    <m/>
    <b v="0"/>
    <n v="0"/>
    <x v="0"/>
    <n v="884"/>
    <s v="Newton's 3rd Law (Equal But Opposite),Coulomb's Law"/>
    <n v="5514"/>
    <x v="18"/>
    <m/>
    <m/>
    <m/>
    <m/>
    <m/>
    <m/>
    <m/>
    <m/>
    <m/>
    <m/>
    <m/>
    <m/>
    <m/>
    <m/>
    <m/>
    <m/>
    <m/>
    <m/>
    <m/>
    <m/>
    <m/>
    <m/>
    <m/>
    <m/>
    <m/>
    <m/>
    <m/>
    <m/>
    <m/>
    <m/>
    <n v="1"/>
    <m/>
    <m/>
    <m/>
    <m/>
    <m/>
    <m/>
    <m/>
    <m/>
    <m/>
    <m/>
    <m/>
    <m/>
    <m/>
    <m/>
    <n v="1"/>
    <m/>
    <m/>
    <m/>
    <m/>
    <m/>
    <m/>
    <m/>
    <m/>
    <m/>
    <m/>
    <m/>
    <m/>
    <m/>
    <m/>
  </r>
  <r>
    <x v="884"/>
    <n v="2012"/>
    <n v="6"/>
    <x v="18"/>
    <x v="6"/>
    <x v="7"/>
    <n v="4"/>
    <s v="2012_06_019.gif"/>
    <m/>
    <m/>
    <m/>
    <b v="0"/>
    <n v="0"/>
    <x v="0"/>
    <n v="885"/>
    <s v="Electric Fields and Potential,Electrical Definitions"/>
    <n v="5515"/>
    <x v="18"/>
    <m/>
    <m/>
    <m/>
    <m/>
    <m/>
    <m/>
    <m/>
    <m/>
    <m/>
    <m/>
    <m/>
    <m/>
    <m/>
    <m/>
    <m/>
    <m/>
    <m/>
    <m/>
    <m/>
    <m/>
    <m/>
    <m/>
    <m/>
    <m/>
    <m/>
    <m/>
    <m/>
    <m/>
    <m/>
    <m/>
    <m/>
    <m/>
    <m/>
    <m/>
    <m/>
    <m/>
    <m/>
    <m/>
    <m/>
    <m/>
    <m/>
    <m/>
    <m/>
    <m/>
    <m/>
    <m/>
    <m/>
    <n v="1"/>
    <n v="1"/>
    <m/>
    <m/>
    <m/>
    <m/>
    <m/>
    <m/>
    <m/>
    <m/>
    <m/>
    <m/>
    <m/>
  </r>
  <r>
    <x v="885"/>
    <n v="2012"/>
    <n v="6"/>
    <x v="19"/>
    <x v="8"/>
    <x v="2"/>
    <n v="4"/>
    <s v="2012_06_020.gif"/>
    <m/>
    <m/>
    <m/>
    <b v="0"/>
    <n v="0"/>
    <x v="0"/>
    <n v="886"/>
    <s v="Ohm's Law,Graph Interpretation,Mathematical Relationships (Numberless Problems)"/>
    <n v="5516"/>
    <x v="18"/>
    <m/>
    <m/>
    <m/>
    <m/>
    <m/>
    <m/>
    <m/>
    <m/>
    <m/>
    <m/>
    <m/>
    <m/>
    <m/>
    <m/>
    <m/>
    <m/>
    <m/>
    <m/>
    <m/>
    <m/>
    <m/>
    <m/>
    <m/>
    <m/>
    <m/>
    <m/>
    <m/>
    <m/>
    <m/>
    <m/>
    <m/>
    <m/>
    <m/>
    <m/>
    <m/>
    <m/>
    <m/>
    <m/>
    <m/>
    <m/>
    <m/>
    <m/>
    <m/>
    <m/>
    <m/>
    <m/>
    <m/>
    <m/>
    <m/>
    <m/>
    <n v="1"/>
    <m/>
    <m/>
    <m/>
    <m/>
    <m/>
    <m/>
    <n v="1"/>
    <n v="1"/>
    <m/>
  </r>
  <r>
    <x v="886"/>
    <n v="2012"/>
    <n v="6"/>
    <x v="20"/>
    <x v="7"/>
    <x v="12"/>
    <n v="2"/>
    <s v="2012_06_021.gif"/>
    <m/>
    <m/>
    <m/>
    <b v="0"/>
    <n v="0"/>
    <x v="0"/>
    <n v="887"/>
    <s v="V=FxLamda,Wave Vocabulary"/>
    <n v="5517"/>
    <x v="18"/>
    <m/>
    <m/>
    <m/>
    <m/>
    <m/>
    <m/>
    <m/>
    <m/>
    <m/>
    <m/>
    <m/>
    <m/>
    <m/>
    <m/>
    <m/>
    <m/>
    <m/>
    <m/>
    <m/>
    <m/>
    <m/>
    <m/>
    <m/>
    <m/>
    <m/>
    <m/>
    <m/>
    <m/>
    <m/>
    <m/>
    <m/>
    <m/>
    <m/>
    <m/>
    <m/>
    <m/>
    <m/>
    <m/>
    <n v="1"/>
    <n v="1"/>
    <m/>
    <m/>
    <m/>
    <m/>
    <m/>
    <m/>
    <m/>
    <m/>
    <m/>
    <m/>
    <m/>
    <m/>
    <m/>
    <m/>
    <m/>
    <m/>
    <m/>
    <m/>
    <m/>
    <m/>
  </r>
  <r>
    <x v="887"/>
    <n v="2012"/>
    <n v="6"/>
    <x v="21"/>
    <x v="11"/>
    <x v="7"/>
    <n v="2"/>
    <s v="2012_06_022.gif"/>
    <m/>
    <m/>
    <m/>
    <b v="0"/>
    <n v="0"/>
    <x v="0"/>
    <n v="888"/>
    <s v="Units,Electrical Definitions"/>
    <n v="5518"/>
    <x v="18"/>
    <m/>
    <m/>
    <m/>
    <n v="1"/>
    <m/>
    <m/>
    <m/>
    <m/>
    <m/>
    <m/>
    <m/>
    <m/>
    <m/>
    <m/>
    <m/>
    <m/>
    <m/>
    <m/>
    <m/>
    <m/>
    <m/>
    <m/>
    <m/>
    <m/>
    <m/>
    <m/>
    <m/>
    <m/>
    <m/>
    <m/>
    <m/>
    <m/>
    <m/>
    <m/>
    <m/>
    <m/>
    <m/>
    <m/>
    <m/>
    <m/>
    <m/>
    <m/>
    <m/>
    <m/>
    <m/>
    <m/>
    <m/>
    <m/>
    <n v="1"/>
    <m/>
    <m/>
    <m/>
    <m/>
    <m/>
    <m/>
    <m/>
    <m/>
    <m/>
    <m/>
    <m/>
  </r>
  <r>
    <x v="888"/>
    <n v="2012"/>
    <n v="6"/>
    <x v="22"/>
    <x v="0"/>
    <x v="0"/>
    <n v="2"/>
    <s v="2012_06_023.gif"/>
    <m/>
    <m/>
    <m/>
    <b v="0"/>
    <n v="0"/>
    <x v="0"/>
    <n v="889"/>
    <s v="Vector vs. Scalar"/>
    <n v="5519"/>
    <x v="18"/>
    <m/>
    <m/>
    <m/>
    <m/>
    <m/>
    <m/>
    <m/>
    <m/>
    <m/>
    <m/>
    <m/>
    <m/>
    <m/>
    <n v="1"/>
    <m/>
    <m/>
    <m/>
    <m/>
    <m/>
    <m/>
    <m/>
    <m/>
    <m/>
    <m/>
    <m/>
    <m/>
    <m/>
    <m/>
    <m/>
    <m/>
    <m/>
    <m/>
    <m/>
    <m/>
    <m/>
    <m/>
    <m/>
    <m/>
    <m/>
    <m/>
    <m/>
    <m/>
    <m/>
    <m/>
    <m/>
    <m/>
    <m/>
    <m/>
    <m/>
    <m/>
    <m/>
    <m/>
    <m/>
    <m/>
    <m/>
    <m/>
    <m/>
    <m/>
    <m/>
    <m/>
  </r>
  <r>
    <x v="889"/>
    <n v="2012"/>
    <n v="6"/>
    <x v="23"/>
    <x v="9"/>
    <x v="0"/>
    <n v="1"/>
    <s v="2012_06_024.gif"/>
    <m/>
    <m/>
    <m/>
    <b v="0"/>
    <n v="0"/>
    <x v="0"/>
    <n v="890"/>
    <s v="Light and Sound"/>
    <n v="5520"/>
    <x v="18"/>
    <m/>
    <m/>
    <m/>
    <m/>
    <m/>
    <m/>
    <m/>
    <m/>
    <m/>
    <m/>
    <m/>
    <m/>
    <m/>
    <m/>
    <m/>
    <m/>
    <m/>
    <m/>
    <m/>
    <m/>
    <m/>
    <m/>
    <m/>
    <m/>
    <m/>
    <m/>
    <m/>
    <m/>
    <m/>
    <m/>
    <m/>
    <m/>
    <m/>
    <m/>
    <m/>
    <m/>
    <m/>
    <m/>
    <m/>
    <m/>
    <m/>
    <m/>
    <n v="1"/>
    <m/>
    <m/>
    <m/>
    <m/>
    <m/>
    <m/>
    <m/>
    <m/>
    <m/>
    <m/>
    <m/>
    <m/>
    <m/>
    <m/>
    <m/>
    <m/>
    <m/>
  </r>
  <r>
    <x v="890"/>
    <n v="2012"/>
    <n v="6"/>
    <x v="24"/>
    <x v="8"/>
    <x v="0"/>
    <n v="1"/>
    <s v="2012_06_025.gif"/>
    <m/>
    <m/>
    <m/>
    <b v="0"/>
    <n v="0"/>
    <x v="0"/>
    <n v="891"/>
    <s v="Series and Parallel"/>
    <n v="5521"/>
    <x v="18"/>
    <m/>
    <m/>
    <m/>
    <m/>
    <m/>
    <m/>
    <m/>
    <m/>
    <m/>
    <m/>
    <m/>
    <m/>
    <m/>
    <m/>
    <m/>
    <m/>
    <m/>
    <m/>
    <m/>
    <m/>
    <m/>
    <m/>
    <m/>
    <m/>
    <m/>
    <m/>
    <m/>
    <m/>
    <m/>
    <m/>
    <m/>
    <m/>
    <m/>
    <m/>
    <m/>
    <m/>
    <m/>
    <m/>
    <m/>
    <m/>
    <m/>
    <m/>
    <m/>
    <m/>
    <m/>
    <m/>
    <m/>
    <m/>
    <m/>
    <m/>
    <m/>
    <m/>
    <n v="1"/>
    <m/>
    <m/>
    <m/>
    <m/>
    <m/>
    <m/>
    <m/>
  </r>
  <r>
    <x v="891"/>
    <n v="2012"/>
    <n v="6"/>
    <x v="25"/>
    <x v="8"/>
    <x v="0"/>
    <n v="1"/>
    <s v="2012_06_026.gif"/>
    <m/>
    <m/>
    <m/>
    <b v="0"/>
    <n v="0"/>
    <x v="0"/>
    <n v="892"/>
    <s v="Electrical Power"/>
    <n v="5522"/>
    <x v="18"/>
    <m/>
    <m/>
    <m/>
    <m/>
    <m/>
    <m/>
    <m/>
    <m/>
    <m/>
    <m/>
    <m/>
    <m/>
    <m/>
    <m/>
    <m/>
    <m/>
    <m/>
    <m/>
    <m/>
    <m/>
    <m/>
    <m/>
    <m/>
    <m/>
    <m/>
    <m/>
    <m/>
    <m/>
    <m/>
    <m/>
    <m/>
    <m/>
    <m/>
    <m/>
    <m/>
    <m/>
    <m/>
    <m/>
    <m/>
    <m/>
    <m/>
    <m/>
    <m/>
    <m/>
    <m/>
    <m/>
    <m/>
    <m/>
    <m/>
    <n v="1"/>
    <m/>
    <m/>
    <m/>
    <m/>
    <m/>
    <m/>
    <m/>
    <m/>
    <m/>
    <m/>
  </r>
  <r>
    <x v="892"/>
    <n v="2012"/>
    <n v="6"/>
    <x v="26"/>
    <x v="10"/>
    <x v="0"/>
    <n v="3"/>
    <s v="2012_06_027.gif"/>
    <m/>
    <m/>
    <m/>
    <b v="0"/>
    <n v="0"/>
    <x v="0"/>
    <n v="893"/>
    <s v="Energy/Frequency of Photon"/>
    <n v="5523"/>
    <x v="18"/>
    <m/>
    <m/>
    <m/>
    <m/>
    <m/>
    <m/>
    <m/>
    <m/>
    <m/>
    <m/>
    <m/>
    <m/>
    <m/>
    <m/>
    <m/>
    <m/>
    <m/>
    <m/>
    <m/>
    <m/>
    <m/>
    <m/>
    <m/>
    <m/>
    <m/>
    <m/>
    <m/>
    <m/>
    <m/>
    <m/>
    <m/>
    <m/>
    <m/>
    <m/>
    <m/>
    <m/>
    <m/>
    <m/>
    <m/>
    <m/>
    <m/>
    <m/>
    <m/>
    <m/>
    <m/>
    <m/>
    <m/>
    <m/>
    <m/>
    <m/>
    <m/>
    <m/>
    <m/>
    <m/>
    <n v="1"/>
    <m/>
    <m/>
    <m/>
    <m/>
    <m/>
  </r>
  <r>
    <x v="893"/>
    <n v="2012"/>
    <n v="6"/>
    <x v="27"/>
    <x v="6"/>
    <x v="0"/>
    <n v="2"/>
    <s v="2012_06_028.gif"/>
    <m/>
    <m/>
    <m/>
    <b v="0"/>
    <n v="0"/>
    <x v="0"/>
    <n v="894"/>
    <s v="Electric Fields and Potential"/>
    <n v="5524"/>
    <x v="18"/>
    <m/>
    <m/>
    <m/>
    <m/>
    <m/>
    <m/>
    <m/>
    <m/>
    <m/>
    <m/>
    <m/>
    <m/>
    <m/>
    <m/>
    <m/>
    <m/>
    <m/>
    <m/>
    <m/>
    <m/>
    <m/>
    <m/>
    <m/>
    <m/>
    <m/>
    <m/>
    <m/>
    <m/>
    <m/>
    <m/>
    <m/>
    <m/>
    <m/>
    <m/>
    <m/>
    <m/>
    <m/>
    <m/>
    <m/>
    <m/>
    <m/>
    <m/>
    <m/>
    <m/>
    <m/>
    <m/>
    <m/>
    <n v="1"/>
    <m/>
    <m/>
    <m/>
    <m/>
    <m/>
    <m/>
    <m/>
    <m/>
    <m/>
    <m/>
    <m/>
    <m/>
  </r>
  <r>
    <x v="894"/>
    <n v="2012"/>
    <n v="6"/>
    <x v="28"/>
    <x v="9"/>
    <x v="5"/>
    <n v="2"/>
    <s v="2012_06_029.gif"/>
    <m/>
    <m/>
    <m/>
    <b v="0"/>
    <n v="0"/>
    <x v="0"/>
    <n v="895"/>
    <s v="Wave Vocabulary,Light and Sound"/>
    <n v="5525"/>
    <x v="18"/>
    <m/>
    <m/>
    <m/>
    <m/>
    <m/>
    <m/>
    <m/>
    <m/>
    <m/>
    <m/>
    <m/>
    <m/>
    <m/>
    <m/>
    <m/>
    <m/>
    <m/>
    <m/>
    <m/>
    <m/>
    <m/>
    <m/>
    <m/>
    <m/>
    <m/>
    <m/>
    <m/>
    <m/>
    <m/>
    <m/>
    <m/>
    <m/>
    <m/>
    <m/>
    <m/>
    <m/>
    <m/>
    <m/>
    <m/>
    <n v="1"/>
    <m/>
    <m/>
    <n v="1"/>
    <m/>
    <m/>
    <m/>
    <m/>
    <m/>
    <m/>
    <m/>
    <m/>
    <m/>
    <m/>
    <m/>
    <m/>
    <m/>
    <m/>
    <m/>
    <m/>
    <m/>
  </r>
  <r>
    <x v="895"/>
    <n v="2012"/>
    <n v="6"/>
    <x v="29"/>
    <x v="13"/>
    <x v="0"/>
    <n v="2"/>
    <s v="2012_06_030.gif"/>
    <m/>
    <m/>
    <m/>
    <b v="0"/>
    <n v="0"/>
    <x v="0"/>
    <n v="896"/>
    <s v="Magnetism"/>
    <n v="5526"/>
    <x v="18"/>
    <m/>
    <m/>
    <m/>
    <m/>
    <m/>
    <m/>
    <m/>
    <m/>
    <m/>
    <m/>
    <m/>
    <m/>
    <m/>
    <m/>
    <m/>
    <m/>
    <m/>
    <m/>
    <m/>
    <m/>
    <m/>
    <m/>
    <m/>
    <m/>
    <m/>
    <m/>
    <m/>
    <m/>
    <m/>
    <m/>
    <m/>
    <m/>
    <m/>
    <m/>
    <m/>
    <m/>
    <m/>
    <m/>
    <m/>
    <m/>
    <m/>
    <m/>
    <m/>
    <m/>
    <m/>
    <m/>
    <m/>
    <m/>
    <m/>
    <m/>
    <m/>
    <m/>
    <m/>
    <m/>
    <m/>
    <m/>
    <m/>
    <m/>
    <m/>
    <n v="1"/>
  </r>
  <r>
    <x v="896"/>
    <n v="2012"/>
    <n v="6"/>
    <x v="30"/>
    <x v="7"/>
    <x v="0"/>
    <n v="1"/>
    <s v="2012_06_031.gif"/>
    <m/>
    <m/>
    <m/>
    <b v="0"/>
    <n v="0"/>
    <x v="0"/>
    <n v="897"/>
    <s v="V=FxLamda"/>
    <n v="5527"/>
    <x v="18"/>
    <m/>
    <m/>
    <m/>
    <m/>
    <m/>
    <m/>
    <m/>
    <m/>
    <m/>
    <m/>
    <m/>
    <m/>
    <m/>
    <m/>
    <m/>
    <m/>
    <m/>
    <m/>
    <m/>
    <m/>
    <m/>
    <m/>
    <m/>
    <m/>
    <m/>
    <m/>
    <m/>
    <m/>
    <m/>
    <m/>
    <m/>
    <m/>
    <m/>
    <m/>
    <m/>
    <m/>
    <m/>
    <m/>
    <n v="1"/>
    <m/>
    <m/>
    <m/>
    <m/>
    <m/>
    <m/>
    <m/>
    <m/>
    <m/>
    <m/>
    <m/>
    <m/>
    <m/>
    <m/>
    <m/>
    <m/>
    <m/>
    <m/>
    <m/>
    <m/>
    <m/>
  </r>
  <r>
    <x v="897"/>
    <n v="2012"/>
    <n v="6"/>
    <x v="31"/>
    <x v="7"/>
    <x v="0"/>
    <n v="4"/>
    <s v="2012_06_032.gif"/>
    <m/>
    <m/>
    <m/>
    <b v="0"/>
    <n v="0"/>
    <x v="0"/>
    <n v="898"/>
    <s v="Resonance"/>
    <n v="5528"/>
    <x v="18"/>
    <m/>
    <m/>
    <m/>
    <m/>
    <m/>
    <m/>
    <m/>
    <m/>
    <m/>
    <m/>
    <m/>
    <m/>
    <m/>
    <m/>
    <m/>
    <m/>
    <m/>
    <m/>
    <m/>
    <m/>
    <m/>
    <m/>
    <m/>
    <m/>
    <m/>
    <m/>
    <m/>
    <m/>
    <m/>
    <m/>
    <m/>
    <m/>
    <m/>
    <m/>
    <m/>
    <m/>
    <n v="1"/>
    <m/>
    <m/>
    <m/>
    <m/>
    <m/>
    <m/>
    <m/>
    <m/>
    <m/>
    <m/>
    <m/>
    <m/>
    <m/>
    <m/>
    <m/>
    <m/>
    <m/>
    <m/>
    <m/>
    <m/>
    <m/>
    <m/>
    <m/>
  </r>
  <r>
    <x v="898"/>
    <n v="2012"/>
    <n v="6"/>
    <x v="32"/>
    <x v="9"/>
    <x v="0"/>
    <n v="4"/>
    <s v="2012_06_033.gif"/>
    <m/>
    <m/>
    <m/>
    <b v="0"/>
    <n v="0"/>
    <x v="0"/>
    <n v="899"/>
    <s v="Doppler Effect"/>
    <n v="5529"/>
    <x v="18"/>
    <m/>
    <m/>
    <m/>
    <m/>
    <m/>
    <m/>
    <m/>
    <m/>
    <m/>
    <m/>
    <m/>
    <m/>
    <m/>
    <m/>
    <m/>
    <m/>
    <m/>
    <m/>
    <m/>
    <m/>
    <m/>
    <m/>
    <m/>
    <m/>
    <m/>
    <m/>
    <m/>
    <m/>
    <m/>
    <m/>
    <m/>
    <m/>
    <m/>
    <m/>
    <m/>
    <m/>
    <m/>
    <m/>
    <m/>
    <m/>
    <m/>
    <n v="1"/>
    <m/>
    <m/>
    <m/>
    <m/>
    <m/>
    <m/>
    <m/>
    <m/>
    <m/>
    <m/>
    <m/>
    <m/>
    <m/>
    <m/>
    <m/>
    <m/>
    <m/>
    <m/>
  </r>
  <r>
    <x v="899"/>
    <n v="2012"/>
    <n v="6"/>
    <x v="33"/>
    <x v="7"/>
    <x v="0"/>
    <n v="2"/>
    <s v="2012_06_034.gif"/>
    <m/>
    <m/>
    <m/>
    <b v="0"/>
    <n v="0"/>
    <x v="0"/>
    <n v="900"/>
    <s v="Wave Vocabulary"/>
    <n v="5530"/>
    <x v="18"/>
    <m/>
    <m/>
    <m/>
    <m/>
    <m/>
    <m/>
    <m/>
    <m/>
    <m/>
    <m/>
    <m/>
    <m/>
    <m/>
    <m/>
    <m/>
    <m/>
    <m/>
    <m/>
    <m/>
    <m/>
    <m/>
    <m/>
    <m/>
    <m/>
    <m/>
    <m/>
    <m/>
    <m/>
    <m/>
    <m/>
    <m/>
    <m/>
    <m/>
    <m/>
    <m/>
    <m/>
    <m/>
    <m/>
    <m/>
    <n v="1"/>
    <m/>
    <m/>
    <m/>
    <m/>
    <m/>
    <m/>
    <m/>
    <m/>
    <m/>
    <m/>
    <m/>
    <m/>
    <m/>
    <m/>
    <m/>
    <m/>
    <m/>
    <m/>
    <m/>
    <m/>
  </r>
  <r>
    <x v="900"/>
    <n v="2012"/>
    <n v="6"/>
    <x v="34"/>
    <x v="9"/>
    <x v="0"/>
    <n v="2"/>
    <s v="2012_06_035.gif"/>
    <m/>
    <m/>
    <m/>
    <b v="0"/>
    <n v="0"/>
    <x v="0"/>
    <n v="901"/>
    <s v="Diffraction"/>
    <n v="5531"/>
    <x v="18"/>
    <m/>
    <m/>
    <m/>
    <m/>
    <m/>
    <m/>
    <m/>
    <m/>
    <m/>
    <m/>
    <m/>
    <m/>
    <m/>
    <m/>
    <m/>
    <m/>
    <m/>
    <m/>
    <m/>
    <m/>
    <m/>
    <m/>
    <m/>
    <m/>
    <m/>
    <m/>
    <m/>
    <m/>
    <m/>
    <m/>
    <m/>
    <m/>
    <m/>
    <m/>
    <m/>
    <m/>
    <m/>
    <m/>
    <m/>
    <m/>
    <n v="1"/>
    <m/>
    <m/>
    <m/>
    <m/>
    <m/>
    <m/>
    <m/>
    <m/>
    <m/>
    <m/>
    <m/>
    <m/>
    <m/>
    <m/>
    <m/>
    <m/>
    <m/>
    <m/>
    <m/>
  </r>
  <r>
    <x v="901"/>
    <n v="2012"/>
    <n v="6"/>
    <x v="35"/>
    <x v="11"/>
    <x v="0"/>
    <n v="2"/>
    <s v="2012_06_036.gif"/>
    <m/>
    <m/>
    <m/>
    <b v="0"/>
    <n v="0"/>
    <x v="1"/>
    <n v="902"/>
    <s v="Estimation"/>
    <n v="5532"/>
    <x v="18"/>
    <m/>
    <m/>
    <n v="1"/>
    <m/>
    <m/>
    <m/>
    <m/>
    <m/>
    <m/>
    <m/>
    <m/>
    <m/>
    <m/>
    <m/>
    <m/>
    <m/>
    <m/>
    <m/>
    <m/>
    <m/>
    <m/>
    <m/>
    <m/>
    <m/>
    <m/>
    <m/>
    <m/>
    <m/>
    <m/>
    <m/>
    <m/>
    <m/>
    <m/>
    <m/>
    <m/>
    <m/>
    <m/>
    <m/>
    <m/>
    <m/>
    <m/>
    <m/>
    <m/>
    <m/>
    <m/>
    <m/>
    <m/>
    <m/>
    <m/>
    <m/>
    <m/>
    <m/>
    <m/>
    <m/>
    <m/>
    <m/>
    <m/>
    <m/>
    <m/>
    <m/>
  </r>
  <r>
    <x v="902"/>
    <n v="2012"/>
    <n v="6"/>
    <x v="36"/>
    <x v="3"/>
    <x v="0"/>
    <n v="3"/>
    <s v="2012_06_037.gif"/>
    <m/>
    <m/>
    <m/>
    <b v="0"/>
    <n v="0"/>
    <x v="1"/>
    <n v="903"/>
    <s v="Centripetal Motion - Calculation"/>
    <n v="5533"/>
    <x v="18"/>
    <m/>
    <m/>
    <m/>
    <m/>
    <m/>
    <m/>
    <m/>
    <m/>
    <m/>
    <m/>
    <m/>
    <m/>
    <m/>
    <m/>
    <m/>
    <m/>
    <m/>
    <m/>
    <m/>
    <m/>
    <n v="1"/>
    <m/>
    <m/>
    <m/>
    <m/>
    <m/>
    <m/>
    <m/>
    <m/>
    <m/>
    <m/>
    <m/>
    <m/>
    <m/>
    <m/>
    <m/>
    <m/>
    <m/>
    <m/>
    <m/>
    <m/>
    <m/>
    <m/>
    <m/>
    <m/>
    <m/>
    <m/>
    <m/>
    <m/>
    <m/>
    <m/>
    <m/>
    <m/>
    <m/>
    <m/>
    <m/>
    <m/>
    <m/>
    <m/>
    <m/>
  </r>
  <r>
    <x v="903"/>
    <n v="2012"/>
    <n v="6"/>
    <x v="37"/>
    <x v="4"/>
    <x v="0"/>
    <n v="3"/>
    <s v="2012_06_038.gif"/>
    <m/>
    <m/>
    <m/>
    <b v="0"/>
    <n v="0"/>
    <x v="1"/>
    <n v="904"/>
    <s v="Conservation of Momentum"/>
    <n v="5534"/>
    <x v="18"/>
    <m/>
    <m/>
    <m/>
    <m/>
    <m/>
    <m/>
    <m/>
    <m/>
    <m/>
    <m/>
    <m/>
    <m/>
    <m/>
    <m/>
    <m/>
    <m/>
    <m/>
    <m/>
    <m/>
    <m/>
    <m/>
    <m/>
    <m/>
    <m/>
    <m/>
    <m/>
    <m/>
    <m/>
    <n v="1"/>
    <m/>
    <m/>
    <m/>
    <m/>
    <m/>
    <m/>
    <m/>
    <m/>
    <m/>
    <m/>
    <m/>
    <m/>
    <m/>
    <m/>
    <m/>
    <m/>
    <m/>
    <m/>
    <m/>
    <m/>
    <m/>
    <m/>
    <m/>
    <m/>
    <m/>
    <m/>
    <m/>
    <m/>
    <m/>
    <m/>
    <m/>
  </r>
  <r>
    <x v="904"/>
    <n v="2012"/>
    <n v="6"/>
    <x v="38"/>
    <x v="5"/>
    <x v="0"/>
    <n v="4"/>
    <s v="2012_06_039.gif"/>
    <m/>
    <m/>
    <m/>
    <b v="0"/>
    <n v="0"/>
    <x v="1"/>
    <n v="905"/>
    <s v="Work/Power"/>
    <n v="5535"/>
    <x v="18"/>
    <m/>
    <m/>
    <m/>
    <m/>
    <m/>
    <m/>
    <m/>
    <m/>
    <m/>
    <m/>
    <m/>
    <m/>
    <m/>
    <m/>
    <m/>
    <m/>
    <m/>
    <m/>
    <m/>
    <m/>
    <m/>
    <m/>
    <m/>
    <m/>
    <m/>
    <m/>
    <m/>
    <m/>
    <m/>
    <m/>
    <m/>
    <m/>
    <m/>
    <m/>
    <m/>
    <n v="1"/>
    <m/>
    <m/>
    <m/>
    <m/>
    <m/>
    <m/>
    <m/>
    <m/>
    <m/>
    <m/>
    <m/>
    <m/>
    <m/>
    <m/>
    <m/>
    <m/>
    <m/>
    <m/>
    <m/>
    <m/>
    <m/>
    <m/>
    <m/>
    <m/>
  </r>
  <r>
    <x v="905"/>
    <n v="2012"/>
    <n v="6"/>
    <x v="39"/>
    <x v="5"/>
    <x v="0"/>
    <n v="3"/>
    <s v="2012_06_040.gif"/>
    <m/>
    <m/>
    <m/>
    <b v="0"/>
    <n v="0"/>
    <x v="1"/>
    <n v="906"/>
    <s v="Gravitational PE,Work/Power"/>
    <n v="5536"/>
    <x v="18"/>
    <m/>
    <m/>
    <m/>
    <m/>
    <m/>
    <m/>
    <m/>
    <m/>
    <m/>
    <m/>
    <m/>
    <m/>
    <m/>
    <m/>
    <m/>
    <m/>
    <m/>
    <m/>
    <m/>
    <m/>
    <m/>
    <m/>
    <m/>
    <m/>
    <m/>
    <m/>
    <m/>
    <m/>
    <m/>
    <m/>
    <m/>
    <m/>
    <n v="1"/>
    <m/>
    <m/>
    <n v="1"/>
    <m/>
    <m/>
    <m/>
    <m/>
    <m/>
    <m/>
    <m/>
    <m/>
    <m/>
    <m/>
    <m/>
    <m/>
    <m/>
    <m/>
    <m/>
    <m/>
    <m/>
    <m/>
    <m/>
    <m/>
    <m/>
    <m/>
    <m/>
    <m/>
  </r>
  <r>
    <x v="906"/>
    <n v="2012"/>
    <n v="6"/>
    <x v="40"/>
    <x v="8"/>
    <x v="0"/>
    <n v="3"/>
    <s v="2012_06_041.gif"/>
    <m/>
    <m/>
    <m/>
    <b v="0"/>
    <n v="0"/>
    <x v="1"/>
    <n v="907"/>
    <s v="Electrical Definitions"/>
    <n v="5537"/>
    <x v="18"/>
    <m/>
    <m/>
    <m/>
    <m/>
    <m/>
    <m/>
    <m/>
    <m/>
    <m/>
    <m/>
    <m/>
    <m/>
    <m/>
    <m/>
    <m/>
    <m/>
    <m/>
    <m/>
    <m/>
    <m/>
    <m/>
    <m/>
    <m/>
    <m/>
    <m/>
    <m/>
    <m/>
    <m/>
    <m/>
    <m/>
    <m/>
    <m/>
    <m/>
    <m/>
    <m/>
    <m/>
    <m/>
    <m/>
    <m/>
    <m/>
    <m/>
    <m/>
    <m/>
    <m/>
    <m/>
    <m/>
    <m/>
    <m/>
    <n v="1"/>
    <m/>
    <m/>
    <m/>
    <m/>
    <m/>
    <m/>
    <m/>
    <m/>
    <m/>
    <m/>
    <m/>
  </r>
  <r>
    <x v="907"/>
    <n v="2012"/>
    <n v="6"/>
    <x v="41"/>
    <x v="5"/>
    <x v="2"/>
    <n v="4"/>
    <s v="2012_06_042.gif"/>
    <m/>
    <m/>
    <m/>
    <b v="0"/>
    <n v="0"/>
    <x v="1"/>
    <n v="908"/>
    <s v="Gravitational PE,Graph Interpretation,Mathematical Relationships (Numberless Problems)"/>
    <n v="5538"/>
    <x v="18"/>
    <m/>
    <m/>
    <m/>
    <m/>
    <m/>
    <m/>
    <m/>
    <m/>
    <m/>
    <m/>
    <m/>
    <m/>
    <m/>
    <m/>
    <m/>
    <m/>
    <m/>
    <m/>
    <m/>
    <m/>
    <m/>
    <m/>
    <m/>
    <m/>
    <m/>
    <m/>
    <m/>
    <m/>
    <m/>
    <m/>
    <m/>
    <m/>
    <n v="1"/>
    <m/>
    <m/>
    <m/>
    <m/>
    <m/>
    <m/>
    <m/>
    <m/>
    <m/>
    <m/>
    <m/>
    <m/>
    <m/>
    <m/>
    <m/>
    <m/>
    <m/>
    <m/>
    <m/>
    <m/>
    <m/>
    <m/>
    <m/>
    <m/>
    <n v="1"/>
    <n v="1"/>
    <m/>
  </r>
  <r>
    <x v="908"/>
    <n v="2012"/>
    <n v="6"/>
    <x v="42"/>
    <x v="8"/>
    <x v="0"/>
    <n v="1"/>
    <s v="2012_06_043.gif"/>
    <m/>
    <m/>
    <m/>
    <b v="0"/>
    <n v="0"/>
    <x v="1"/>
    <n v="909"/>
    <s v="Electrical Definitions,Electrical Power"/>
    <n v="5539"/>
    <x v="18"/>
    <m/>
    <m/>
    <m/>
    <m/>
    <m/>
    <m/>
    <m/>
    <m/>
    <m/>
    <m/>
    <m/>
    <m/>
    <m/>
    <m/>
    <m/>
    <m/>
    <m/>
    <m/>
    <m/>
    <m/>
    <m/>
    <m/>
    <m/>
    <m/>
    <m/>
    <m/>
    <m/>
    <m/>
    <m/>
    <m/>
    <m/>
    <m/>
    <m/>
    <m/>
    <m/>
    <m/>
    <m/>
    <m/>
    <m/>
    <m/>
    <m/>
    <m/>
    <m/>
    <m/>
    <m/>
    <m/>
    <m/>
    <m/>
    <n v="1"/>
    <n v="1"/>
    <m/>
    <m/>
    <m/>
    <m/>
    <m/>
    <m/>
    <m/>
    <m/>
    <m/>
    <m/>
  </r>
  <r>
    <x v="909"/>
    <n v="2012"/>
    <n v="6"/>
    <x v="43"/>
    <x v="10"/>
    <x v="0"/>
    <n v="3"/>
    <s v="2012_06_044.gif"/>
    <m/>
    <m/>
    <m/>
    <b v="0"/>
    <n v="0"/>
    <x v="1"/>
    <n v="910"/>
    <s v="Energy/Frequency of Photon"/>
    <n v="5540"/>
    <x v="18"/>
    <m/>
    <m/>
    <m/>
    <m/>
    <m/>
    <m/>
    <m/>
    <m/>
    <m/>
    <m/>
    <m/>
    <m/>
    <m/>
    <m/>
    <m/>
    <m/>
    <m/>
    <m/>
    <m/>
    <m/>
    <m/>
    <m/>
    <m/>
    <m/>
    <m/>
    <m/>
    <m/>
    <m/>
    <m/>
    <m/>
    <m/>
    <m/>
    <m/>
    <m/>
    <m/>
    <m/>
    <m/>
    <m/>
    <m/>
    <m/>
    <m/>
    <m/>
    <m/>
    <m/>
    <m/>
    <m/>
    <m/>
    <m/>
    <m/>
    <m/>
    <m/>
    <m/>
    <m/>
    <m/>
    <n v="1"/>
    <m/>
    <m/>
    <m/>
    <m/>
    <m/>
  </r>
  <r>
    <x v="910"/>
    <n v="2012"/>
    <n v="6"/>
    <x v="44"/>
    <x v="3"/>
    <x v="0"/>
    <n v="2"/>
    <s v="2012_06_045.gif"/>
    <m/>
    <m/>
    <m/>
    <b v="0"/>
    <n v="0"/>
    <x v="1"/>
    <n v="911"/>
    <s v="Horizontal Projectile Time of Flight"/>
    <n v="5541"/>
    <x v="18"/>
    <m/>
    <m/>
    <m/>
    <m/>
    <m/>
    <m/>
    <m/>
    <m/>
    <m/>
    <m/>
    <m/>
    <m/>
    <m/>
    <m/>
    <m/>
    <m/>
    <m/>
    <n v="1"/>
    <m/>
    <m/>
    <m/>
    <m/>
    <m/>
    <m/>
    <m/>
    <m/>
    <m/>
    <m/>
    <m/>
    <m/>
    <m/>
    <m/>
    <m/>
    <m/>
    <m/>
    <m/>
    <m/>
    <m/>
    <m/>
    <m/>
    <m/>
    <m/>
    <m/>
    <m/>
    <m/>
    <m/>
    <m/>
    <m/>
    <m/>
    <m/>
    <m/>
    <m/>
    <m/>
    <m/>
    <m/>
    <m/>
    <m/>
    <m/>
    <m/>
    <m/>
  </r>
  <r>
    <x v="911"/>
    <n v="2012"/>
    <n v="6"/>
    <x v="45"/>
    <x v="7"/>
    <x v="0"/>
    <n v="2"/>
    <s v="2012_06_046.gif"/>
    <m/>
    <m/>
    <m/>
    <b v="0"/>
    <n v="0"/>
    <x v="1"/>
    <n v="912"/>
    <s v="Superposition and Standing Waves"/>
    <n v="5542"/>
    <x v="18"/>
    <m/>
    <m/>
    <m/>
    <m/>
    <m/>
    <m/>
    <m/>
    <m/>
    <m/>
    <m/>
    <m/>
    <m/>
    <m/>
    <m/>
    <m/>
    <m/>
    <m/>
    <m/>
    <m/>
    <m/>
    <m/>
    <m/>
    <m/>
    <m/>
    <m/>
    <m/>
    <m/>
    <m/>
    <m/>
    <m/>
    <m/>
    <m/>
    <m/>
    <m/>
    <m/>
    <m/>
    <m/>
    <n v="1"/>
    <m/>
    <m/>
    <m/>
    <m/>
    <m/>
    <m/>
    <m/>
    <m/>
    <m/>
    <m/>
    <m/>
    <m/>
    <m/>
    <m/>
    <m/>
    <m/>
    <m/>
    <m/>
    <m/>
    <m/>
    <m/>
    <m/>
  </r>
  <r>
    <x v="912"/>
    <n v="2012"/>
    <n v="6"/>
    <x v="46"/>
    <x v="14"/>
    <x v="3"/>
    <n v="1"/>
    <s v="2012_06_047.gif"/>
    <m/>
    <m/>
    <m/>
    <b v="0"/>
    <n v="0"/>
    <x v="1"/>
    <n v="913"/>
    <s v="Newton's 3rd Law (Equal But Opposite),Graph Interpretation"/>
    <n v="5543"/>
    <x v="18"/>
    <m/>
    <m/>
    <m/>
    <m/>
    <m/>
    <m/>
    <m/>
    <m/>
    <m/>
    <m/>
    <m/>
    <m/>
    <m/>
    <m/>
    <m/>
    <m/>
    <m/>
    <m/>
    <m/>
    <m/>
    <m/>
    <m/>
    <m/>
    <m/>
    <m/>
    <m/>
    <m/>
    <m/>
    <m/>
    <m/>
    <n v="1"/>
    <m/>
    <m/>
    <m/>
    <m/>
    <m/>
    <m/>
    <m/>
    <m/>
    <m/>
    <m/>
    <m/>
    <m/>
    <m/>
    <m/>
    <m/>
    <m/>
    <m/>
    <m/>
    <m/>
    <m/>
    <m/>
    <m/>
    <m/>
    <m/>
    <m/>
    <m/>
    <n v="1"/>
    <m/>
    <m/>
  </r>
  <r>
    <x v="913"/>
    <n v="2012"/>
    <n v="6"/>
    <x v="47"/>
    <x v="1"/>
    <x v="0"/>
    <n v="1"/>
    <s v="2012_06_048.gif"/>
    <m/>
    <m/>
    <m/>
    <b v="0"/>
    <n v="0"/>
    <x v="1"/>
    <n v="914"/>
    <s v="Law of Gravity"/>
    <n v="5544"/>
    <x v="18"/>
    <m/>
    <m/>
    <m/>
    <m/>
    <m/>
    <m/>
    <m/>
    <m/>
    <m/>
    <m/>
    <m/>
    <m/>
    <m/>
    <m/>
    <m/>
    <m/>
    <m/>
    <m/>
    <m/>
    <m/>
    <m/>
    <m/>
    <m/>
    <m/>
    <n v="1"/>
    <m/>
    <m/>
    <m/>
    <m/>
    <m/>
    <m/>
    <m/>
    <m/>
    <m/>
    <m/>
    <m/>
    <m/>
    <m/>
    <m/>
    <m/>
    <m/>
    <m/>
    <m/>
    <m/>
    <m/>
    <m/>
    <m/>
    <m/>
    <m/>
    <m/>
    <m/>
    <m/>
    <m/>
    <m/>
    <m/>
    <m/>
    <m/>
    <m/>
    <m/>
    <m/>
  </r>
  <r>
    <x v="914"/>
    <n v="2012"/>
    <n v="6"/>
    <x v="48"/>
    <x v="14"/>
    <x v="12"/>
    <n v="4"/>
    <s v="2012_06_049.gif"/>
    <m/>
    <m/>
    <m/>
    <b v="0"/>
    <n v="0"/>
    <x v="1"/>
    <n v="915"/>
    <s v="Refraction and Snell's Law,Graph Interpretation,Mathematical Relationships (Numberless Problems)"/>
    <n v="5545"/>
    <x v="18"/>
    <m/>
    <m/>
    <m/>
    <m/>
    <m/>
    <m/>
    <m/>
    <m/>
    <m/>
    <m/>
    <m/>
    <m/>
    <m/>
    <m/>
    <m/>
    <m/>
    <m/>
    <m/>
    <m/>
    <m/>
    <m/>
    <m/>
    <m/>
    <m/>
    <m/>
    <m/>
    <m/>
    <m/>
    <m/>
    <m/>
    <m/>
    <m/>
    <m/>
    <m/>
    <m/>
    <m/>
    <m/>
    <m/>
    <m/>
    <m/>
    <m/>
    <m/>
    <m/>
    <n v="1"/>
    <m/>
    <m/>
    <m/>
    <m/>
    <m/>
    <m/>
    <m/>
    <m/>
    <m/>
    <m/>
    <m/>
    <m/>
    <m/>
    <n v="1"/>
    <n v="1"/>
    <m/>
  </r>
  <r>
    <x v="915"/>
    <n v="2012"/>
    <n v="6"/>
    <x v="49"/>
    <x v="5"/>
    <x v="0"/>
    <n v="3"/>
    <s v="2012_06_050.gif"/>
    <m/>
    <m/>
    <m/>
    <b v="0"/>
    <n v="0"/>
    <x v="1"/>
    <n v="916"/>
    <s v="Conservation of Energy"/>
    <n v="5546"/>
    <x v="18"/>
    <m/>
    <m/>
    <m/>
    <m/>
    <m/>
    <m/>
    <m/>
    <m/>
    <m/>
    <m/>
    <m/>
    <m/>
    <m/>
    <m/>
    <m/>
    <m/>
    <m/>
    <m/>
    <m/>
    <m/>
    <m/>
    <m/>
    <m/>
    <m/>
    <m/>
    <m/>
    <m/>
    <m/>
    <m/>
    <m/>
    <m/>
    <n v="1"/>
    <m/>
    <m/>
    <m/>
    <m/>
    <m/>
    <m/>
    <m/>
    <m/>
    <m/>
    <m/>
    <m/>
    <m/>
    <m/>
    <m/>
    <m/>
    <m/>
    <m/>
    <m/>
    <m/>
    <m/>
    <m/>
    <m/>
    <m/>
    <m/>
    <m/>
    <m/>
    <m/>
    <m/>
  </r>
  <r>
    <x v="916"/>
    <n v="2013"/>
    <n v="6"/>
    <x v="0"/>
    <x v="0"/>
    <x v="0"/>
    <n v="4"/>
    <s v="2013_06_001.gif"/>
    <m/>
    <m/>
    <m/>
    <b v="0"/>
    <n v="0"/>
    <x v="0"/>
    <n v="917"/>
    <s v="Vector vs. Scalar"/>
    <n v="5572"/>
    <x v="19"/>
    <m/>
    <m/>
    <m/>
    <m/>
    <m/>
    <m/>
    <m/>
    <m/>
    <m/>
    <m/>
    <m/>
    <m/>
    <m/>
    <n v="1"/>
    <m/>
    <m/>
    <m/>
    <m/>
    <m/>
    <m/>
    <m/>
    <m/>
    <m/>
    <m/>
    <m/>
    <m/>
    <m/>
    <m/>
    <m/>
    <m/>
    <m/>
    <m/>
    <m/>
    <m/>
    <m/>
    <m/>
    <m/>
    <m/>
    <m/>
    <m/>
    <m/>
    <m/>
    <m/>
    <m/>
    <m/>
    <m/>
    <m/>
    <m/>
    <m/>
    <m/>
    <m/>
    <m/>
    <m/>
    <m/>
    <m/>
    <m/>
    <m/>
    <m/>
    <m/>
    <m/>
  </r>
  <r>
    <x v="917"/>
    <n v="2013"/>
    <n v="6"/>
    <x v="1"/>
    <x v="0"/>
    <x v="0"/>
    <n v="1"/>
    <s v="2013_06_002.gif"/>
    <m/>
    <m/>
    <m/>
    <b v="0"/>
    <n v="0"/>
    <x v="0"/>
    <n v="918"/>
    <s v="Adding Vectors"/>
    <n v="5573"/>
    <x v="19"/>
    <m/>
    <m/>
    <m/>
    <m/>
    <m/>
    <m/>
    <m/>
    <m/>
    <m/>
    <m/>
    <m/>
    <n v="1"/>
    <m/>
    <m/>
    <m/>
    <m/>
    <m/>
    <m/>
    <m/>
    <m/>
    <m/>
    <m/>
    <m/>
    <m/>
    <m/>
    <m/>
    <m/>
    <m/>
    <m/>
    <m/>
    <m/>
    <m/>
    <m/>
    <m/>
    <m/>
    <m/>
    <m/>
    <m/>
    <m/>
    <m/>
    <m/>
    <m/>
    <m/>
    <m/>
    <m/>
    <m/>
    <m/>
    <m/>
    <m/>
    <m/>
    <m/>
    <m/>
    <m/>
    <m/>
    <m/>
    <m/>
    <m/>
    <m/>
    <m/>
    <m/>
  </r>
  <r>
    <x v="918"/>
    <n v="2013"/>
    <n v="6"/>
    <x v="2"/>
    <x v="2"/>
    <x v="0"/>
    <n v="1"/>
    <s v="2013_06_003.gif"/>
    <m/>
    <m/>
    <m/>
    <b v="0"/>
    <n v="0"/>
    <x v="0"/>
    <n v="919"/>
    <s v="Basic Motion Concepts,Horizontal Constant Acceleration Problems"/>
    <n v="5574"/>
    <x v="19"/>
    <m/>
    <m/>
    <m/>
    <m/>
    <m/>
    <m/>
    <m/>
    <n v="1"/>
    <m/>
    <n v="1"/>
    <m/>
    <m/>
    <m/>
    <m/>
    <m/>
    <m/>
    <m/>
    <m/>
    <m/>
    <m/>
    <m/>
    <m/>
    <m/>
    <m/>
    <m/>
    <m/>
    <m/>
    <m/>
    <m/>
    <m/>
    <m/>
    <m/>
    <m/>
    <m/>
    <m/>
    <m/>
    <m/>
    <m/>
    <m/>
    <m/>
    <m/>
    <m/>
    <m/>
    <m/>
    <m/>
    <m/>
    <m/>
    <m/>
    <m/>
    <m/>
    <m/>
    <m/>
    <m/>
    <m/>
    <m/>
    <m/>
    <m/>
    <m/>
    <m/>
    <m/>
  </r>
  <r>
    <x v="919"/>
    <n v="2013"/>
    <n v="6"/>
    <x v="3"/>
    <x v="2"/>
    <x v="0"/>
    <n v="2"/>
    <s v="2013_06_004.gif"/>
    <m/>
    <m/>
    <m/>
    <b v="0"/>
    <n v="0"/>
    <x v="0"/>
    <n v="920"/>
    <s v="Basic Motion Concepts,Horizontal Constant Acceleration Problems"/>
    <n v="5575"/>
    <x v="19"/>
    <m/>
    <m/>
    <m/>
    <m/>
    <m/>
    <m/>
    <m/>
    <n v="1"/>
    <m/>
    <n v="1"/>
    <m/>
    <m/>
    <m/>
    <m/>
    <m/>
    <m/>
    <m/>
    <m/>
    <m/>
    <m/>
    <m/>
    <m/>
    <m/>
    <m/>
    <m/>
    <m/>
    <m/>
    <m/>
    <m/>
    <m/>
    <m/>
    <m/>
    <m/>
    <m/>
    <m/>
    <m/>
    <m/>
    <m/>
    <m/>
    <m/>
    <m/>
    <m/>
    <m/>
    <m/>
    <m/>
    <m/>
    <m/>
    <m/>
    <m/>
    <m/>
    <m/>
    <m/>
    <m/>
    <m/>
    <m/>
    <m/>
    <m/>
    <m/>
    <m/>
    <m/>
  </r>
  <r>
    <x v="920"/>
    <n v="2013"/>
    <n v="6"/>
    <x v="4"/>
    <x v="3"/>
    <x v="0"/>
    <n v="1"/>
    <s v="2013_06_005.gif"/>
    <m/>
    <m/>
    <m/>
    <b v="0"/>
    <n v="0"/>
    <x v="0"/>
    <n v="921"/>
    <s v="Projectiles at an Angle"/>
    <n v="5576"/>
    <x v="19"/>
    <m/>
    <m/>
    <m/>
    <m/>
    <m/>
    <m/>
    <m/>
    <m/>
    <m/>
    <m/>
    <m/>
    <m/>
    <m/>
    <m/>
    <m/>
    <n v="1"/>
    <m/>
    <m/>
    <m/>
    <m/>
    <m/>
    <m/>
    <m/>
    <m/>
    <m/>
    <m/>
    <m/>
    <m/>
    <m/>
    <m/>
    <m/>
    <m/>
    <m/>
    <m/>
    <m/>
    <m/>
    <m/>
    <m/>
    <m/>
    <m/>
    <m/>
    <m/>
    <m/>
    <m/>
    <m/>
    <m/>
    <m/>
    <m/>
    <m/>
    <m/>
    <m/>
    <m/>
    <m/>
    <m/>
    <m/>
    <m/>
    <m/>
    <m/>
    <m/>
    <m/>
  </r>
  <r>
    <x v="921"/>
    <n v="2013"/>
    <n v="6"/>
    <x v="5"/>
    <x v="3"/>
    <x v="0"/>
    <n v="4"/>
    <s v="2013_06_006.gif"/>
    <m/>
    <m/>
    <m/>
    <b v="0"/>
    <n v="0"/>
    <x v="0"/>
    <n v="922"/>
    <s v="Max Height of Projectile"/>
    <n v="5577"/>
    <x v="19"/>
    <m/>
    <m/>
    <m/>
    <m/>
    <m/>
    <m/>
    <m/>
    <m/>
    <m/>
    <m/>
    <m/>
    <m/>
    <m/>
    <m/>
    <m/>
    <m/>
    <m/>
    <m/>
    <n v="1"/>
    <m/>
    <m/>
    <m/>
    <m/>
    <m/>
    <m/>
    <m/>
    <m/>
    <m/>
    <m/>
    <m/>
    <m/>
    <m/>
    <m/>
    <m/>
    <m/>
    <m/>
    <m/>
    <m/>
    <m/>
    <m/>
    <m/>
    <m/>
    <m/>
    <m/>
    <m/>
    <m/>
    <m/>
    <m/>
    <m/>
    <m/>
    <m/>
    <m/>
    <m/>
    <m/>
    <m/>
    <m/>
    <m/>
    <m/>
    <m/>
    <m/>
  </r>
  <r>
    <x v="922"/>
    <n v="2013"/>
    <n v="6"/>
    <x v="6"/>
    <x v="1"/>
    <x v="0"/>
    <n v="4"/>
    <s v="2013_06_007.gif"/>
    <m/>
    <m/>
    <m/>
    <b v="0"/>
    <n v="0"/>
    <x v="0"/>
    <n v="923"/>
    <s v="Newton's 1st Law (Inertia)"/>
    <n v="5578"/>
    <x v="19"/>
    <m/>
    <m/>
    <m/>
    <m/>
    <m/>
    <m/>
    <m/>
    <m/>
    <m/>
    <m/>
    <m/>
    <m/>
    <m/>
    <m/>
    <m/>
    <m/>
    <m/>
    <m/>
    <m/>
    <m/>
    <m/>
    <m/>
    <m/>
    <m/>
    <m/>
    <n v="1"/>
    <m/>
    <m/>
    <m/>
    <m/>
    <m/>
    <m/>
    <m/>
    <m/>
    <m/>
    <m/>
    <m/>
    <m/>
    <m/>
    <m/>
    <m/>
    <m/>
    <m/>
    <m/>
    <m/>
    <m/>
    <m/>
    <m/>
    <m/>
    <m/>
    <m/>
    <m/>
    <m/>
    <m/>
    <m/>
    <m/>
    <m/>
    <m/>
    <m/>
    <m/>
  </r>
  <r>
    <x v="923"/>
    <n v="2013"/>
    <n v="6"/>
    <x v="7"/>
    <x v="1"/>
    <x v="0"/>
    <n v="1"/>
    <s v="2013_06_008.gif"/>
    <m/>
    <m/>
    <m/>
    <b v="0"/>
    <n v="0"/>
    <x v="0"/>
    <n v="924"/>
    <s v="Friction,Newton's 2nd Law (F=MA)"/>
    <n v="5579"/>
    <x v="19"/>
    <m/>
    <m/>
    <m/>
    <m/>
    <m/>
    <m/>
    <m/>
    <m/>
    <m/>
    <m/>
    <m/>
    <m/>
    <m/>
    <m/>
    <m/>
    <m/>
    <m/>
    <m/>
    <m/>
    <m/>
    <m/>
    <n v="1"/>
    <m/>
    <m/>
    <m/>
    <m/>
    <n v="1"/>
    <m/>
    <m/>
    <m/>
    <m/>
    <m/>
    <m/>
    <m/>
    <m/>
    <m/>
    <m/>
    <m/>
    <m/>
    <m/>
    <m/>
    <m/>
    <m/>
    <m/>
    <m/>
    <m/>
    <m/>
    <m/>
    <m/>
    <m/>
    <m/>
    <m/>
    <m/>
    <m/>
    <m/>
    <m/>
    <m/>
    <m/>
    <m/>
    <m/>
  </r>
  <r>
    <x v="924"/>
    <n v="2013"/>
    <n v="6"/>
    <x v="8"/>
    <x v="1"/>
    <x v="0"/>
    <n v="3"/>
    <s v="2013_06_009.gif"/>
    <m/>
    <m/>
    <m/>
    <b v="0"/>
    <n v="0"/>
    <x v="0"/>
    <n v="925"/>
    <s v="Newton's 2nd Law (F=MA)"/>
    <n v="5580"/>
    <x v="19"/>
    <m/>
    <m/>
    <m/>
    <m/>
    <m/>
    <m/>
    <m/>
    <m/>
    <m/>
    <m/>
    <m/>
    <m/>
    <m/>
    <m/>
    <m/>
    <m/>
    <m/>
    <m/>
    <m/>
    <m/>
    <m/>
    <m/>
    <m/>
    <m/>
    <m/>
    <m/>
    <n v="1"/>
    <m/>
    <m/>
    <m/>
    <m/>
    <m/>
    <m/>
    <m/>
    <m/>
    <m/>
    <m/>
    <m/>
    <m/>
    <m/>
    <m/>
    <m/>
    <m/>
    <m/>
    <m/>
    <m/>
    <m/>
    <m/>
    <m/>
    <m/>
    <m/>
    <m/>
    <m/>
    <m/>
    <m/>
    <m/>
    <m/>
    <m/>
    <m/>
    <m/>
  </r>
  <r>
    <x v="925"/>
    <n v="2013"/>
    <n v="6"/>
    <x v="9"/>
    <x v="1"/>
    <x v="0"/>
    <n v="3"/>
    <s v="2013_06_010.gif"/>
    <m/>
    <m/>
    <m/>
    <b v="0"/>
    <n v="0"/>
    <x v="0"/>
    <n v="926"/>
    <s v="Newton's 2nd Law (F=MA)"/>
    <n v="5581"/>
    <x v="19"/>
    <m/>
    <m/>
    <m/>
    <m/>
    <m/>
    <m/>
    <m/>
    <m/>
    <m/>
    <m/>
    <m/>
    <m/>
    <m/>
    <m/>
    <m/>
    <m/>
    <m/>
    <m/>
    <m/>
    <m/>
    <m/>
    <m/>
    <m/>
    <m/>
    <m/>
    <m/>
    <n v="1"/>
    <m/>
    <m/>
    <m/>
    <m/>
    <m/>
    <m/>
    <m/>
    <m/>
    <m/>
    <m/>
    <m/>
    <m/>
    <m/>
    <m/>
    <m/>
    <m/>
    <m/>
    <m/>
    <m/>
    <m/>
    <m/>
    <m/>
    <m/>
    <m/>
    <m/>
    <m/>
    <m/>
    <m/>
    <m/>
    <m/>
    <m/>
    <m/>
    <m/>
  </r>
  <r>
    <x v="926"/>
    <n v="2013"/>
    <n v="6"/>
    <x v="10"/>
    <x v="4"/>
    <x v="0"/>
    <n v="1"/>
    <s v="2013_06_011.gif"/>
    <m/>
    <m/>
    <m/>
    <b v="0"/>
    <n v="0"/>
    <x v="0"/>
    <n v="927"/>
    <s v="Newton's 3rd Law (Equal But Opposite)"/>
    <n v="5582"/>
    <x v="19"/>
    <m/>
    <m/>
    <m/>
    <m/>
    <m/>
    <m/>
    <m/>
    <m/>
    <m/>
    <m/>
    <m/>
    <m/>
    <m/>
    <m/>
    <m/>
    <m/>
    <m/>
    <m/>
    <m/>
    <m/>
    <m/>
    <m/>
    <m/>
    <m/>
    <m/>
    <m/>
    <m/>
    <m/>
    <m/>
    <m/>
    <n v="1"/>
    <m/>
    <m/>
    <m/>
    <m/>
    <m/>
    <m/>
    <m/>
    <m/>
    <m/>
    <m/>
    <m/>
    <m/>
    <m/>
    <m/>
    <m/>
    <m/>
    <m/>
    <m/>
    <m/>
    <m/>
    <m/>
    <m/>
    <m/>
    <m/>
    <m/>
    <m/>
    <m/>
    <m/>
    <m/>
  </r>
  <r>
    <x v="927"/>
    <n v="2013"/>
    <n v="6"/>
    <x v="11"/>
    <x v="1"/>
    <x v="0"/>
    <n v="2"/>
    <s v="2013_06_012.gif"/>
    <m/>
    <m/>
    <m/>
    <b v="0"/>
    <n v="0"/>
    <x v="0"/>
    <n v="928"/>
    <s v="Inclined Plane"/>
    <n v="5583"/>
    <x v="19"/>
    <m/>
    <m/>
    <m/>
    <m/>
    <m/>
    <m/>
    <m/>
    <m/>
    <m/>
    <m/>
    <m/>
    <m/>
    <m/>
    <m/>
    <m/>
    <m/>
    <m/>
    <m/>
    <m/>
    <m/>
    <m/>
    <m/>
    <n v="1"/>
    <m/>
    <m/>
    <m/>
    <m/>
    <m/>
    <m/>
    <m/>
    <m/>
    <m/>
    <m/>
    <m/>
    <m/>
    <m/>
    <m/>
    <m/>
    <m/>
    <m/>
    <m/>
    <m/>
    <m/>
    <m/>
    <m/>
    <m/>
    <m/>
    <m/>
    <m/>
    <m/>
    <m/>
    <m/>
    <m/>
    <m/>
    <m/>
    <m/>
    <m/>
    <m/>
    <m/>
    <m/>
  </r>
  <r>
    <x v="928"/>
    <n v="2013"/>
    <n v="6"/>
    <x v="12"/>
    <x v="1"/>
    <x v="0"/>
    <n v="2"/>
    <s v="2013_06_013.gif"/>
    <m/>
    <m/>
    <m/>
    <b v="0"/>
    <n v="0"/>
    <x v="0"/>
    <n v="929"/>
    <s v="Weight and Mass"/>
    <n v="5584"/>
    <x v="19"/>
    <m/>
    <m/>
    <m/>
    <m/>
    <m/>
    <m/>
    <m/>
    <m/>
    <m/>
    <m/>
    <m/>
    <m/>
    <m/>
    <m/>
    <m/>
    <m/>
    <m/>
    <m/>
    <m/>
    <m/>
    <m/>
    <m/>
    <m/>
    <m/>
    <m/>
    <m/>
    <m/>
    <n v="1"/>
    <m/>
    <m/>
    <m/>
    <m/>
    <m/>
    <m/>
    <m/>
    <m/>
    <m/>
    <m/>
    <m/>
    <m/>
    <m/>
    <m/>
    <m/>
    <m/>
    <m/>
    <m/>
    <m/>
    <m/>
    <m/>
    <m/>
    <m/>
    <m/>
    <m/>
    <m/>
    <m/>
    <m/>
    <m/>
    <m/>
    <m/>
    <m/>
  </r>
  <r>
    <x v="929"/>
    <n v="2013"/>
    <n v="6"/>
    <x v="13"/>
    <x v="5"/>
    <x v="0"/>
    <n v="4"/>
    <s v="2013_06_014.gif"/>
    <m/>
    <m/>
    <m/>
    <b v="0"/>
    <n v="0"/>
    <x v="0"/>
    <n v="930"/>
    <s v="PE of Spring"/>
    <n v="5585"/>
    <x v="19"/>
    <m/>
    <m/>
    <m/>
    <m/>
    <m/>
    <m/>
    <m/>
    <m/>
    <m/>
    <m/>
    <m/>
    <m/>
    <m/>
    <m/>
    <m/>
    <m/>
    <m/>
    <m/>
    <m/>
    <m/>
    <m/>
    <m/>
    <m/>
    <m/>
    <m/>
    <m/>
    <m/>
    <m/>
    <m/>
    <m/>
    <m/>
    <m/>
    <m/>
    <m/>
    <n v="1"/>
    <m/>
    <m/>
    <m/>
    <m/>
    <m/>
    <m/>
    <m/>
    <m/>
    <m/>
    <m/>
    <m/>
    <m/>
    <m/>
    <m/>
    <m/>
    <m/>
    <m/>
    <m/>
    <m/>
    <m/>
    <m/>
    <m/>
    <m/>
    <m/>
    <m/>
  </r>
  <r>
    <x v="930"/>
    <n v="2013"/>
    <n v="6"/>
    <x v="14"/>
    <x v="5"/>
    <x v="0"/>
    <n v="3"/>
    <s v="2013_06_015.gif"/>
    <m/>
    <m/>
    <m/>
    <b v="0"/>
    <n v="0"/>
    <x v="0"/>
    <n v="931"/>
    <s v="Conservation of Energy"/>
    <n v="5586"/>
    <x v="19"/>
    <m/>
    <m/>
    <m/>
    <m/>
    <m/>
    <m/>
    <m/>
    <m/>
    <m/>
    <m/>
    <m/>
    <m/>
    <m/>
    <m/>
    <m/>
    <m/>
    <m/>
    <m/>
    <m/>
    <m/>
    <m/>
    <m/>
    <m/>
    <m/>
    <m/>
    <m/>
    <m/>
    <m/>
    <m/>
    <m/>
    <m/>
    <n v="1"/>
    <m/>
    <m/>
    <m/>
    <m/>
    <m/>
    <m/>
    <m/>
    <m/>
    <m/>
    <m/>
    <m/>
    <m/>
    <m/>
    <m/>
    <m/>
    <m/>
    <m/>
    <m/>
    <m/>
    <m/>
    <m/>
    <m/>
    <m/>
    <m/>
    <m/>
    <m/>
    <m/>
    <m/>
  </r>
  <r>
    <x v="931"/>
    <n v="2013"/>
    <n v="6"/>
    <x v="15"/>
    <x v="7"/>
    <x v="12"/>
    <n v="4"/>
    <s v="2013_06_016.gif"/>
    <m/>
    <m/>
    <m/>
    <b v="0"/>
    <n v="0"/>
    <x v="0"/>
    <n v="932"/>
    <s v="Wave Vocabulary,Light and Sound"/>
    <n v="5587"/>
    <x v="19"/>
    <m/>
    <m/>
    <m/>
    <m/>
    <m/>
    <m/>
    <m/>
    <m/>
    <m/>
    <m/>
    <m/>
    <m/>
    <m/>
    <m/>
    <m/>
    <m/>
    <m/>
    <m/>
    <m/>
    <m/>
    <m/>
    <m/>
    <m/>
    <m/>
    <m/>
    <m/>
    <m/>
    <m/>
    <m/>
    <m/>
    <m/>
    <m/>
    <m/>
    <m/>
    <m/>
    <m/>
    <m/>
    <m/>
    <m/>
    <n v="1"/>
    <m/>
    <m/>
    <n v="1"/>
    <m/>
    <m/>
    <m/>
    <m/>
    <m/>
    <m/>
    <m/>
    <m/>
    <m/>
    <m/>
    <m/>
    <m/>
    <m/>
    <m/>
    <m/>
    <m/>
    <m/>
  </r>
  <r>
    <x v="932"/>
    <n v="2013"/>
    <n v="6"/>
    <x v="16"/>
    <x v="7"/>
    <x v="0"/>
    <n v="1"/>
    <s v="2013_06_017.gif"/>
    <m/>
    <m/>
    <m/>
    <b v="0"/>
    <n v="0"/>
    <x v="0"/>
    <n v="933"/>
    <s v="Wave Vocabulary"/>
    <n v="5588"/>
    <x v="19"/>
    <m/>
    <m/>
    <m/>
    <m/>
    <m/>
    <m/>
    <m/>
    <m/>
    <m/>
    <m/>
    <m/>
    <m/>
    <m/>
    <m/>
    <m/>
    <m/>
    <m/>
    <m/>
    <m/>
    <m/>
    <m/>
    <m/>
    <m/>
    <m/>
    <m/>
    <m/>
    <m/>
    <m/>
    <m/>
    <m/>
    <m/>
    <m/>
    <m/>
    <m/>
    <m/>
    <m/>
    <m/>
    <m/>
    <m/>
    <n v="1"/>
    <m/>
    <m/>
    <m/>
    <m/>
    <m/>
    <m/>
    <m/>
    <m/>
    <m/>
    <m/>
    <m/>
    <m/>
    <m/>
    <m/>
    <m/>
    <m/>
    <m/>
    <m/>
    <m/>
    <m/>
  </r>
  <r>
    <x v="933"/>
    <n v="2013"/>
    <n v="6"/>
    <x v="17"/>
    <x v="9"/>
    <x v="5"/>
    <n v="2"/>
    <s v="2013_06_018.gif"/>
    <m/>
    <m/>
    <m/>
    <b v="0"/>
    <n v="0"/>
    <x v="0"/>
    <n v="934"/>
    <s v="Wave Vocabulary,Light and Sound"/>
    <n v="5589"/>
    <x v="19"/>
    <m/>
    <m/>
    <m/>
    <m/>
    <m/>
    <m/>
    <m/>
    <m/>
    <m/>
    <m/>
    <m/>
    <m/>
    <m/>
    <m/>
    <m/>
    <m/>
    <m/>
    <m/>
    <m/>
    <m/>
    <m/>
    <m/>
    <m/>
    <m/>
    <m/>
    <m/>
    <m/>
    <m/>
    <m/>
    <m/>
    <m/>
    <m/>
    <m/>
    <m/>
    <m/>
    <m/>
    <m/>
    <m/>
    <m/>
    <n v="1"/>
    <m/>
    <m/>
    <n v="1"/>
    <m/>
    <m/>
    <m/>
    <m/>
    <m/>
    <m/>
    <m/>
    <m/>
    <m/>
    <m/>
    <m/>
    <m/>
    <m/>
    <m/>
    <m/>
    <m/>
    <m/>
  </r>
  <r>
    <x v="934"/>
    <n v="2013"/>
    <n v="6"/>
    <x v="18"/>
    <x v="9"/>
    <x v="5"/>
    <n v="1"/>
    <s v="2013_06_019.gif"/>
    <m/>
    <m/>
    <m/>
    <b v="0"/>
    <n v="0"/>
    <x v="0"/>
    <n v="935"/>
    <s v="Wave Vocabulary,Light and Sound"/>
    <n v="5590"/>
    <x v="19"/>
    <m/>
    <m/>
    <m/>
    <m/>
    <m/>
    <m/>
    <m/>
    <m/>
    <m/>
    <m/>
    <m/>
    <m/>
    <m/>
    <m/>
    <m/>
    <m/>
    <m/>
    <m/>
    <m/>
    <m/>
    <m/>
    <m/>
    <m/>
    <m/>
    <m/>
    <m/>
    <m/>
    <m/>
    <m/>
    <m/>
    <m/>
    <m/>
    <m/>
    <m/>
    <m/>
    <m/>
    <m/>
    <m/>
    <m/>
    <n v="1"/>
    <m/>
    <m/>
    <n v="1"/>
    <m/>
    <m/>
    <m/>
    <m/>
    <m/>
    <m/>
    <m/>
    <m/>
    <m/>
    <m/>
    <m/>
    <m/>
    <m/>
    <m/>
    <m/>
    <m/>
    <m/>
  </r>
  <r>
    <x v="935"/>
    <n v="2013"/>
    <n v="6"/>
    <x v="19"/>
    <x v="9"/>
    <x v="0"/>
    <n v="4"/>
    <s v="2013_06_020.gif"/>
    <m/>
    <m/>
    <m/>
    <b v="0"/>
    <n v="0"/>
    <x v="0"/>
    <n v="936"/>
    <s v="Light and Sound,Refraction and Snell's Law"/>
    <n v="5591"/>
    <x v="19"/>
    <m/>
    <m/>
    <m/>
    <m/>
    <m/>
    <m/>
    <m/>
    <m/>
    <m/>
    <m/>
    <m/>
    <m/>
    <m/>
    <m/>
    <m/>
    <m/>
    <m/>
    <m/>
    <m/>
    <m/>
    <m/>
    <m/>
    <m/>
    <m/>
    <m/>
    <m/>
    <m/>
    <m/>
    <m/>
    <m/>
    <m/>
    <m/>
    <m/>
    <m/>
    <m/>
    <m/>
    <m/>
    <m/>
    <m/>
    <m/>
    <m/>
    <m/>
    <n v="1"/>
    <n v="1"/>
    <m/>
    <m/>
    <m/>
    <m/>
    <m/>
    <m/>
    <m/>
    <m/>
    <m/>
    <m/>
    <m/>
    <m/>
    <m/>
    <m/>
    <m/>
    <m/>
  </r>
  <r>
    <x v="936"/>
    <n v="2013"/>
    <n v="6"/>
    <x v="20"/>
    <x v="5"/>
    <x v="0"/>
    <n v="4"/>
    <s v="2013_06_021.gif"/>
    <m/>
    <m/>
    <m/>
    <b v="0"/>
    <n v="0"/>
    <x v="0"/>
    <n v="937"/>
    <s v="Conservation of Energy"/>
    <n v="5592"/>
    <x v="19"/>
    <m/>
    <m/>
    <m/>
    <m/>
    <m/>
    <m/>
    <m/>
    <m/>
    <m/>
    <m/>
    <m/>
    <m/>
    <m/>
    <m/>
    <m/>
    <m/>
    <m/>
    <m/>
    <m/>
    <m/>
    <m/>
    <m/>
    <m/>
    <m/>
    <m/>
    <m/>
    <m/>
    <m/>
    <m/>
    <m/>
    <m/>
    <n v="1"/>
    <m/>
    <m/>
    <m/>
    <m/>
    <m/>
    <m/>
    <m/>
    <m/>
    <m/>
    <m/>
    <m/>
    <m/>
    <m/>
    <m/>
    <m/>
    <m/>
    <m/>
    <m/>
    <m/>
    <m/>
    <m/>
    <m/>
    <m/>
    <m/>
    <m/>
    <m/>
    <m/>
    <m/>
  </r>
  <r>
    <x v="937"/>
    <n v="2013"/>
    <n v="6"/>
    <x v="21"/>
    <x v="7"/>
    <x v="0"/>
    <n v="4"/>
    <s v="2013_06_022.gif"/>
    <m/>
    <m/>
    <m/>
    <b v="0"/>
    <n v="0"/>
    <x v="0"/>
    <n v="938"/>
    <s v="Wave Vocabulary"/>
    <n v="5593"/>
    <x v="19"/>
    <m/>
    <m/>
    <m/>
    <m/>
    <m/>
    <m/>
    <m/>
    <m/>
    <m/>
    <m/>
    <m/>
    <m/>
    <m/>
    <m/>
    <m/>
    <m/>
    <m/>
    <m/>
    <m/>
    <m/>
    <m/>
    <m/>
    <m/>
    <m/>
    <m/>
    <m/>
    <m/>
    <m/>
    <m/>
    <m/>
    <m/>
    <m/>
    <m/>
    <m/>
    <m/>
    <m/>
    <m/>
    <m/>
    <m/>
    <n v="1"/>
    <m/>
    <m/>
    <m/>
    <m/>
    <m/>
    <m/>
    <m/>
    <m/>
    <m/>
    <m/>
    <m/>
    <m/>
    <m/>
    <m/>
    <m/>
    <m/>
    <m/>
    <m/>
    <m/>
    <m/>
  </r>
  <r>
    <x v="938"/>
    <n v="2013"/>
    <n v="6"/>
    <x v="22"/>
    <x v="6"/>
    <x v="0"/>
    <n v="3"/>
    <s v="2013_06_023.gif"/>
    <m/>
    <m/>
    <m/>
    <b v="0"/>
    <n v="0"/>
    <x v="0"/>
    <n v="939"/>
    <s v="Induction, Conduction, Polarization"/>
    <n v="5594"/>
    <x v="19"/>
    <m/>
    <m/>
    <m/>
    <m/>
    <m/>
    <m/>
    <m/>
    <m/>
    <m/>
    <m/>
    <m/>
    <m/>
    <m/>
    <m/>
    <m/>
    <m/>
    <m/>
    <m/>
    <m/>
    <m/>
    <m/>
    <m/>
    <m/>
    <m/>
    <m/>
    <m/>
    <m/>
    <m/>
    <m/>
    <m/>
    <m/>
    <m/>
    <m/>
    <m/>
    <m/>
    <m/>
    <m/>
    <m/>
    <m/>
    <m/>
    <m/>
    <m/>
    <m/>
    <m/>
    <m/>
    <m/>
    <n v="1"/>
    <m/>
    <m/>
    <m/>
    <m/>
    <m/>
    <m/>
    <m/>
    <m/>
    <m/>
    <m/>
    <m/>
    <m/>
    <m/>
  </r>
  <r>
    <x v="939"/>
    <n v="2013"/>
    <n v="6"/>
    <x v="23"/>
    <x v="7"/>
    <x v="0"/>
    <n v="3"/>
    <s v="2013_06_024.gif"/>
    <m/>
    <m/>
    <m/>
    <b v="0"/>
    <n v="0"/>
    <x v="0"/>
    <n v="940"/>
    <s v="V=FxLamda"/>
    <n v="5595"/>
    <x v="19"/>
    <m/>
    <m/>
    <m/>
    <m/>
    <m/>
    <m/>
    <m/>
    <m/>
    <m/>
    <m/>
    <m/>
    <m/>
    <m/>
    <m/>
    <m/>
    <m/>
    <m/>
    <m/>
    <m/>
    <m/>
    <m/>
    <m/>
    <m/>
    <m/>
    <m/>
    <m/>
    <m/>
    <m/>
    <m/>
    <m/>
    <m/>
    <m/>
    <m/>
    <m/>
    <m/>
    <m/>
    <m/>
    <m/>
    <n v="1"/>
    <m/>
    <m/>
    <m/>
    <m/>
    <m/>
    <m/>
    <m/>
    <m/>
    <m/>
    <m/>
    <m/>
    <m/>
    <m/>
    <m/>
    <m/>
    <m/>
    <m/>
    <m/>
    <m/>
    <m/>
    <m/>
  </r>
  <r>
    <x v="940"/>
    <n v="2013"/>
    <n v="6"/>
    <x v="24"/>
    <x v="7"/>
    <x v="0"/>
    <n v="4"/>
    <s v="2013_06_025.gif"/>
    <m/>
    <m/>
    <m/>
    <b v="0"/>
    <n v="0"/>
    <x v="0"/>
    <n v="941"/>
    <s v="Resonance"/>
    <n v="5596"/>
    <x v="19"/>
    <m/>
    <m/>
    <m/>
    <m/>
    <m/>
    <m/>
    <m/>
    <m/>
    <m/>
    <m/>
    <m/>
    <m/>
    <m/>
    <m/>
    <m/>
    <m/>
    <m/>
    <m/>
    <m/>
    <m/>
    <m/>
    <m/>
    <m/>
    <m/>
    <m/>
    <m/>
    <m/>
    <m/>
    <m/>
    <m/>
    <m/>
    <m/>
    <m/>
    <m/>
    <m/>
    <m/>
    <n v="1"/>
    <m/>
    <m/>
    <m/>
    <m/>
    <m/>
    <m/>
    <m/>
    <m/>
    <m/>
    <m/>
    <m/>
    <m/>
    <m/>
    <m/>
    <m/>
    <m/>
    <m/>
    <m/>
    <m/>
    <m/>
    <m/>
    <m/>
    <m/>
  </r>
  <r>
    <x v="941"/>
    <n v="2013"/>
    <n v="6"/>
    <x v="25"/>
    <x v="9"/>
    <x v="0"/>
    <n v="2"/>
    <s v="2013_06_026.gif"/>
    <m/>
    <m/>
    <m/>
    <b v="0"/>
    <n v="0"/>
    <x v="0"/>
    <n v="942"/>
    <s v="Doppler Effect"/>
    <n v="5597"/>
    <x v="19"/>
    <m/>
    <m/>
    <m/>
    <m/>
    <m/>
    <m/>
    <m/>
    <m/>
    <m/>
    <m/>
    <m/>
    <m/>
    <m/>
    <m/>
    <m/>
    <m/>
    <m/>
    <m/>
    <m/>
    <m/>
    <m/>
    <m/>
    <m/>
    <m/>
    <m/>
    <m/>
    <m/>
    <m/>
    <m/>
    <m/>
    <m/>
    <m/>
    <m/>
    <m/>
    <m/>
    <m/>
    <m/>
    <m/>
    <m/>
    <m/>
    <m/>
    <n v="1"/>
    <m/>
    <m/>
    <m/>
    <m/>
    <m/>
    <m/>
    <m/>
    <m/>
    <m/>
    <m/>
    <m/>
    <m/>
    <m/>
    <m/>
    <m/>
    <m/>
    <m/>
    <m/>
  </r>
  <r>
    <x v="942"/>
    <n v="2013"/>
    <n v="6"/>
    <x v="26"/>
    <x v="11"/>
    <x v="7"/>
    <n v="1"/>
    <s v="2013_06_027.gif"/>
    <m/>
    <m/>
    <m/>
    <b v="0"/>
    <n v="0"/>
    <x v="0"/>
    <n v="943"/>
    <s v="Units,Electrical Power"/>
    <n v="5598"/>
    <x v="19"/>
    <m/>
    <m/>
    <m/>
    <n v="1"/>
    <m/>
    <m/>
    <m/>
    <m/>
    <m/>
    <m/>
    <m/>
    <m/>
    <m/>
    <m/>
    <m/>
    <m/>
    <m/>
    <m/>
    <m/>
    <m/>
    <m/>
    <m/>
    <m/>
    <m/>
    <m/>
    <m/>
    <m/>
    <m/>
    <m/>
    <m/>
    <m/>
    <m/>
    <m/>
    <m/>
    <m/>
    <m/>
    <m/>
    <m/>
    <m/>
    <m/>
    <m/>
    <m/>
    <m/>
    <m/>
    <m/>
    <m/>
    <m/>
    <m/>
    <m/>
    <n v="1"/>
    <m/>
    <m/>
    <m/>
    <m/>
    <m/>
    <m/>
    <m/>
    <m/>
    <m/>
    <m/>
  </r>
  <r>
    <x v="943"/>
    <n v="2013"/>
    <n v="6"/>
    <x v="27"/>
    <x v="13"/>
    <x v="0"/>
    <n v="4"/>
    <s v="2013_06_028.gif"/>
    <m/>
    <m/>
    <m/>
    <b v="0"/>
    <n v="0"/>
    <x v="0"/>
    <n v="944"/>
    <s v="Magnetism"/>
    <n v="5599"/>
    <x v="19"/>
    <m/>
    <m/>
    <m/>
    <m/>
    <m/>
    <m/>
    <m/>
    <m/>
    <m/>
    <m/>
    <m/>
    <m/>
    <m/>
    <m/>
    <m/>
    <m/>
    <m/>
    <m/>
    <m/>
    <m/>
    <m/>
    <m/>
    <m/>
    <m/>
    <m/>
    <m/>
    <m/>
    <m/>
    <m/>
    <m/>
    <m/>
    <m/>
    <m/>
    <m/>
    <m/>
    <m/>
    <m/>
    <m/>
    <m/>
    <m/>
    <m/>
    <m/>
    <m/>
    <m/>
    <m/>
    <m/>
    <m/>
    <m/>
    <m/>
    <m/>
    <m/>
    <m/>
    <m/>
    <m/>
    <m/>
    <m/>
    <m/>
    <m/>
    <m/>
    <n v="1"/>
  </r>
  <r>
    <x v="944"/>
    <n v="2013"/>
    <n v="6"/>
    <x v="28"/>
    <x v="7"/>
    <x v="0"/>
    <n v="3"/>
    <s v="2013_06_029.gif"/>
    <m/>
    <m/>
    <m/>
    <b v="0"/>
    <n v="0"/>
    <x v="0"/>
    <n v="945"/>
    <s v="Wave Vocabulary"/>
    <n v="5600"/>
    <x v="19"/>
    <m/>
    <m/>
    <m/>
    <m/>
    <m/>
    <m/>
    <m/>
    <m/>
    <m/>
    <m/>
    <m/>
    <m/>
    <m/>
    <m/>
    <m/>
    <m/>
    <m/>
    <m/>
    <m/>
    <m/>
    <m/>
    <m/>
    <m/>
    <m/>
    <m/>
    <m/>
    <m/>
    <m/>
    <m/>
    <m/>
    <m/>
    <m/>
    <m/>
    <m/>
    <m/>
    <m/>
    <m/>
    <m/>
    <m/>
    <n v="1"/>
    <m/>
    <m/>
    <m/>
    <m/>
    <m/>
    <m/>
    <m/>
    <m/>
    <m/>
    <m/>
    <m/>
    <m/>
    <m/>
    <m/>
    <m/>
    <m/>
    <m/>
    <m/>
    <m/>
    <m/>
  </r>
  <r>
    <x v="945"/>
    <n v="2013"/>
    <n v="6"/>
    <x v="29"/>
    <x v="8"/>
    <x v="13"/>
    <n v="3"/>
    <s v="2013_06_030.gif"/>
    <m/>
    <m/>
    <m/>
    <b v="0"/>
    <n v="0"/>
    <x v="0"/>
    <n v="946"/>
    <s v="Electric Fields and Potential,Electrical Power"/>
    <n v="5601"/>
    <x v="19"/>
    <m/>
    <m/>
    <m/>
    <m/>
    <m/>
    <m/>
    <m/>
    <m/>
    <m/>
    <m/>
    <m/>
    <m/>
    <m/>
    <m/>
    <m/>
    <m/>
    <m/>
    <m/>
    <m/>
    <m/>
    <m/>
    <m/>
    <m/>
    <m/>
    <m/>
    <m/>
    <m/>
    <m/>
    <m/>
    <m/>
    <m/>
    <m/>
    <m/>
    <m/>
    <m/>
    <m/>
    <m/>
    <m/>
    <m/>
    <m/>
    <m/>
    <m/>
    <m/>
    <m/>
    <m/>
    <m/>
    <m/>
    <n v="1"/>
    <m/>
    <n v="1"/>
    <m/>
    <m/>
    <m/>
    <m/>
    <m/>
    <m/>
    <m/>
    <m/>
    <m/>
    <m/>
  </r>
  <r>
    <x v="946"/>
    <n v="2013"/>
    <n v="6"/>
    <x v="30"/>
    <x v="8"/>
    <x v="0"/>
    <n v="3"/>
    <s v="2013_06_031.gif"/>
    <m/>
    <m/>
    <m/>
    <b v="0"/>
    <n v="0"/>
    <x v="0"/>
    <n v="947"/>
    <s v="Electrical Definitions,Series and Parallel"/>
    <n v="5602"/>
    <x v="19"/>
    <m/>
    <m/>
    <m/>
    <m/>
    <m/>
    <m/>
    <m/>
    <m/>
    <m/>
    <m/>
    <m/>
    <m/>
    <m/>
    <m/>
    <m/>
    <m/>
    <m/>
    <m/>
    <m/>
    <m/>
    <m/>
    <m/>
    <m/>
    <m/>
    <m/>
    <m/>
    <m/>
    <m/>
    <m/>
    <m/>
    <m/>
    <m/>
    <m/>
    <m/>
    <m/>
    <m/>
    <m/>
    <m/>
    <m/>
    <m/>
    <m/>
    <m/>
    <m/>
    <m/>
    <m/>
    <m/>
    <m/>
    <m/>
    <n v="1"/>
    <m/>
    <m/>
    <m/>
    <n v="1"/>
    <m/>
    <m/>
    <m/>
    <m/>
    <m/>
    <m/>
    <m/>
  </r>
  <r>
    <x v="947"/>
    <n v="2013"/>
    <n v="6"/>
    <x v="31"/>
    <x v="8"/>
    <x v="0"/>
    <n v="2"/>
    <s v="2013_06_032.gif"/>
    <m/>
    <m/>
    <m/>
    <b v="0"/>
    <n v="0"/>
    <x v="0"/>
    <n v="948"/>
    <s v="Electrical Power"/>
    <n v="5603"/>
    <x v="19"/>
    <m/>
    <m/>
    <m/>
    <m/>
    <m/>
    <m/>
    <m/>
    <m/>
    <m/>
    <m/>
    <m/>
    <m/>
    <m/>
    <m/>
    <m/>
    <m/>
    <m/>
    <m/>
    <m/>
    <m/>
    <m/>
    <m/>
    <m/>
    <m/>
    <m/>
    <m/>
    <m/>
    <m/>
    <m/>
    <m/>
    <m/>
    <m/>
    <m/>
    <m/>
    <m/>
    <m/>
    <m/>
    <m/>
    <m/>
    <m/>
    <m/>
    <m/>
    <m/>
    <m/>
    <m/>
    <m/>
    <m/>
    <m/>
    <m/>
    <n v="1"/>
    <m/>
    <m/>
    <m/>
    <m/>
    <m/>
    <m/>
    <m/>
    <m/>
    <m/>
    <m/>
  </r>
  <r>
    <x v="948"/>
    <n v="2013"/>
    <n v="6"/>
    <x v="32"/>
    <x v="6"/>
    <x v="0"/>
    <n v="1"/>
    <s v="2013_06_033.gif"/>
    <m/>
    <m/>
    <m/>
    <b v="0"/>
    <n v="0"/>
    <x v="0"/>
    <n v="949"/>
    <s v="Conservation of Charge"/>
    <n v="5604"/>
    <x v="19"/>
    <m/>
    <m/>
    <m/>
    <m/>
    <m/>
    <m/>
    <m/>
    <m/>
    <m/>
    <m/>
    <m/>
    <m/>
    <m/>
    <m/>
    <m/>
    <m/>
    <m/>
    <m/>
    <m/>
    <m/>
    <m/>
    <m/>
    <m/>
    <m/>
    <m/>
    <m/>
    <m/>
    <m/>
    <m/>
    <m/>
    <m/>
    <m/>
    <m/>
    <m/>
    <m/>
    <m/>
    <m/>
    <m/>
    <m/>
    <m/>
    <m/>
    <m/>
    <m/>
    <m/>
    <n v="1"/>
    <m/>
    <m/>
    <m/>
    <m/>
    <m/>
    <m/>
    <m/>
    <m/>
    <m/>
    <m/>
    <m/>
    <m/>
    <m/>
    <m/>
    <m/>
  </r>
  <r>
    <x v="949"/>
    <n v="2013"/>
    <n v="6"/>
    <x v="33"/>
    <x v="10"/>
    <x v="0"/>
    <n v="2"/>
    <s v="2013_06_034.gif"/>
    <m/>
    <m/>
    <m/>
    <b v="0"/>
    <n v="0"/>
    <x v="0"/>
    <n v="950"/>
    <s v="Energy/Frequency of Photon"/>
    <n v="5605"/>
    <x v="19"/>
    <m/>
    <m/>
    <m/>
    <m/>
    <m/>
    <m/>
    <m/>
    <m/>
    <m/>
    <m/>
    <m/>
    <m/>
    <m/>
    <m/>
    <m/>
    <m/>
    <m/>
    <m/>
    <m/>
    <m/>
    <m/>
    <m/>
    <m/>
    <m/>
    <m/>
    <m/>
    <m/>
    <m/>
    <m/>
    <m/>
    <m/>
    <m/>
    <m/>
    <m/>
    <m/>
    <m/>
    <m/>
    <m/>
    <m/>
    <m/>
    <m/>
    <m/>
    <m/>
    <m/>
    <m/>
    <m/>
    <m/>
    <m/>
    <m/>
    <m/>
    <m/>
    <m/>
    <m/>
    <m/>
    <n v="1"/>
    <m/>
    <m/>
    <m/>
    <m/>
    <m/>
  </r>
  <r>
    <x v="950"/>
    <n v="2013"/>
    <n v="6"/>
    <x v="34"/>
    <x v="10"/>
    <x v="0"/>
    <n v="1"/>
    <s v="2013_06_035.gif"/>
    <m/>
    <m/>
    <m/>
    <b v="0"/>
    <n v="0"/>
    <x v="0"/>
    <n v="951"/>
    <s v="Particle Physics"/>
    <n v="5606"/>
    <x v="19"/>
    <m/>
    <m/>
    <m/>
    <m/>
    <m/>
    <m/>
    <m/>
    <m/>
    <m/>
    <m/>
    <m/>
    <m/>
    <m/>
    <m/>
    <m/>
    <m/>
    <m/>
    <m/>
    <m/>
    <m/>
    <m/>
    <m/>
    <m/>
    <m/>
    <m/>
    <m/>
    <m/>
    <m/>
    <m/>
    <m/>
    <m/>
    <m/>
    <m/>
    <m/>
    <m/>
    <m/>
    <m/>
    <m/>
    <m/>
    <m/>
    <m/>
    <m/>
    <m/>
    <m/>
    <m/>
    <m/>
    <m/>
    <m/>
    <m/>
    <m/>
    <m/>
    <m/>
    <m/>
    <m/>
    <m/>
    <m/>
    <n v="1"/>
    <m/>
    <m/>
    <m/>
  </r>
  <r>
    <x v="951"/>
    <n v="2013"/>
    <n v="6"/>
    <x v="35"/>
    <x v="11"/>
    <x v="0"/>
    <n v="2"/>
    <s v="2013_06_036.gif"/>
    <m/>
    <m/>
    <m/>
    <b v="0"/>
    <n v="0"/>
    <x v="1"/>
    <n v="952"/>
    <s v="Estimation"/>
    <n v="5607"/>
    <x v="19"/>
    <m/>
    <m/>
    <n v="1"/>
    <m/>
    <m/>
    <m/>
    <m/>
    <m/>
    <m/>
    <m/>
    <m/>
    <m/>
    <m/>
    <m/>
    <m/>
    <m/>
    <m/>
    <m/>
    <m/>
    <m/>
    <m/>
    <m/>
    <m/>
    <m/>
    <m/>
    <m/>
    <m/>
    <m/>
    <m/>
    <m/>
    <m/>
    <m/>
    <m/>
    <m/>
    <m/>
    <m/>
    <m/>
    <m/>
    <m/>
    <m/>
    <m/>
    <m/>
    <m/>
    <m/>
    <m/>
    <m/>
    <m/>
    <m/>
    <m/>
    <m/>
    <m/>
    <m/>
    <m/>
    <m/>
    <m/>
    <m/>
    <m/>
    <m/>
    <m/>
    <m/>
  </r>
  <r>
    <x v="952"/>
    <n v="2013"/>
    <n v="6"/>
    <x v="36"/>
    <x v="4"/>
    <x v="0"/>
    <n v="1"/>
    <s v="2013_06_037.gif"/>
    <m/>
    <m/>
    <m/>
    <b v="0"/>
    <n v="0"/>
    <x v="1"/>
    <n v="953"/>
    <s v="Conservation of Momentum"/>
    <n v="5608"/>
    <x v="19"/>
    <m/>
    <m/>
    <m/>
    <m/>
    <m/>
    <m/>
    <m/>
    <m/>
    <m/>
    <m/>
    <m/>
    <m/>
    <m/>
    <m/>
    <m/>
    <m/>
    <m/>
    <m/>
    <m/>
    <m/>
    <m/>
    <m/>
    <m/>
    <m/>
    <m/>
    <m/>
    <m/>
    <m/>
    <n v="1"/>
    <m/>
    <m/>
    <m/>
    <m/>
    <m/>
    <m/>
    <m/>
    <m/>
    <m/>
    <m/>
    <m/>
    <m/>
    <m/>
    <m/>
    <m/>
    <m/>
    <m/>
    <m/>
    <m/>
    <m/>
    <m/>
    <m/>
    <m/>
    <m/>
    <m/>
    <m/>
    <m/>
    <m/>
    <m/>
    <m/>
    <m/>
  </r>
  <r>
    <x v="953"/>
    <n v="2013"/>
    <n v="6"/>
    <x v="37"/>
    <x v="1"/>
    <x v="0"/>
    <n v="4"/>
    <s v="2013_06_038.gif"/>
    <m/>
    <m/>
    <m/>
    <b v="0"/>
    <n v="0"/>
    <x v="1"/>
    <n v="954"/>
    <s v="Newton's 2nd Law (F=MA)"/>
    <n v="5609"/>
    <x v="19"/>
    <m/>
    <m/>
    <m/>
    <m/>
    <m/>
    <m/>
    <m/>
    <m/>
    <m/>
    <m/>
    <m/>
    <m/>
    <m/>
    <m/>
    <m/>
    <m/>
    <m/>
    <m/>
    <m/>
    <m/>
    <m/>
    <m/>
    <m/>
    <m/>
    <m/>
    <m/>
    <n v="1"/>
    <m/>
    <m/>
    <m/>
    <m/>
    <m/>
    <m/>
    <m/>
    <m/>
    <m/>
    <m/>
    <m/>
    <m/>
    <m/>
    <m/>
    <m/>
    <m/>
    <m/>
    <m/>
    <m/>
    <m/>
    <m/>
    <m/>
    <m/>
    <m/>
    <m/>
    <m/>
    <m/>
    <m/>
    <m/>
    <m/>
    <m/>
    <m/>
    <m/>
  </r>
  <r>
    <x v="954"/>
    <n v="2013"/>
    <n v="6"/>
    <x v="38"/>
    <x v="5"/>
    <x v="0"/>
    <n v="3"/>
    <s v="2013_06_039.gif"/>
    <m/>
    <m/>
    <m/>
    <b v="0"/>
    <n v="0"/>
    <x v="1"/>
    <n v="955"/>
    <s v="Work/Power"/>
    <n v="5610"/>
    <x v="19"/>
    <m/>
    <m/>
    <m/>
    <m/>
    <m/>
    <m/>
    <m/>
    <m/>
    <m/>
    <m/>
    <m/>
    <m/>
    <m/>
    <m/>
    <m/>
    <m/>
    <m/>
    <m/>
    <m/>
    <m/>
    <m/>
    <m/>
    <m/>
    <m/>
    <m/>
    <m/>
    <m/>
    <m/>
    <m/>
    <m/>
    <m/>
    <m/>
    <m/>
    <m/>
    <m/>
    <n v="1"/>
    <m/>
    <m/>
    <m/>
    <m/>
    <m/>
    <m/>
    <m/>
    <m/>
    <m/>
    <m/>
    <m/>
    <m/>
    <m/>
    <m/>
    <m/>
    <m/>
    <m/>
    <m/>
    <m/>
    <m/>
    <m/>
    <m/>
    <m/>
    <m/>
  </r>
  <r>
    <x v="955"/>
    <n v="2013"/>
    <n v="6"/>
    <x v="39"/>
    <x v="1"/>
    <x v="2"/>
    <n v="2"/>
    <s v="2013_06_040.gif"/>
    <m/>
    <m/>
    <m/>
    <b v="0"/>
    <n v="0"/>
    <x v="1"/>
    <n v="956"/>
    <s v="Newton's 2nd Law (F=MA),Mathematical Relationships (Numberless Problems)"/>
    <n v="5611"/>
    <x v="19"/>
    <m/>
    <m/>
    <m/>
    <m/>
    <m/>
    <m/>
    <m/>
    <m/>
    <m/>
    <m/>
    <m/>
    <m/>
    <m/>
    <m/>
    <m/>
    <m/>
    <m/>
    <m/>
    <m/>
    <m/>
    <m/>
    <m/>
    <m/>
    <m/>
    <m/>
    <m/>
    <n v="1"/>
    <m/>
    <m/>
    <m/>
    <m/>
    <m/>
    <m/>
    <m/>
    <m/>
    <m/>
    <m/>
    <m/>
    <m/>
    <m/>
    <m/>
    <m/>
    <m/>
    <m/>
    <m/>
    <m/>
    <m/>
    <m/>
    <m/>
    <m/>
    <m/>
    <m/>
    <m/>
    <m/>
    <m/>
    <m/>
    <m/>
    <m/>
    <n v="1"/>
    <m/>
  </r>
  <r>
    <x v="956"/>
    <n v="2013"/>
    <n v="6"/>
    <x v="40"/>
    <x v="6"/>
    <x v="0"/>
    <n v="3"/>
    <s v="2013_06_041.gif"/>
    <m/>
    <m/>
    <m/>
    <b v="0"/>
    <n v="0"/>
    <x v="1"/>
    <n v="957"/>
    <s v="Electric Fields and Potential"/>
    <n v="5612"/>
    <x v="19"/>
    <m/>
    <m/>
    <m/>
    <m/>
    <m/>
    <m/>
    <m/>
    <m/>
    <m/>
    <m/>
    <m/>
    <m/>
    <m/>
    <m/>
    <m/>
    <m/>
    <m/>
    <m/>
    <m/>
    <m/>
    <m/>
    <m/>
    <m/>
    <m/>
    <m/>
    <m/>
    <m/>
    <m/>
    <m/>
    <m/>
    <m/>
    <m/>
    <m/>
    <m/>
    <m/>
    <m/>
    <m/>
    <m/>
    <m/>
    <m/>
    <m/>
    <m/>
    <m/>
    <m/>
    <m/>
    <m/>
    <m/>
    <n v="1"/>
    <m/>
    <m/>
    <m/>
    <m/>
    <m/>
    <m/>
    <m/>
    <m/>
    <m/>
    <m/>
    <m/>
    <m/>
  </r>
  <r>
    <x v="957"/>
    <n v="2013"/>
    <n v="6"/>
    <x v="41"/>
    <x v="8"/>
    <x v="0"/>
    <n v="1"/>
    <s v="2013_06_042.gif"/>
    <m/>
    <m/>
    <m/>
    <b v="0"/>
    <n v="0"/>
    <x v="1"/>
    <n v="958"/>
    <s v="Electrical Definitions"/>
    <n v="5613"/>
    <x v="19"/>
    <m/>
    <m/>
    <m/>
    <m/>
    <m/>
    <m/>
    <m/>
    <m/>
    <m/>
    <m/>
    <m/>
    <m/>
    <m/>
    <m/>
    <m/>
    <m/>
    <m/>
    <m/>
    <m/>
    <m/>
    <m/>
    <m/>
    <m/>
    <m/>
    <m/>
    <m/>
    <m/>
    <m/>
    <m/>
    <m/>
    <m/>
    <m/>
    <m/>
    <m/>
    <m/>
    <m/>
    <m/>
    <m/>
    <m/>
    <m/>
    <m/>
    <m/>
    <m/>
    <m/>
    <m/>
    <m/>
    <m/>
    <m/>
    <n v="1"/>
    <m/>
    <m/>
    <m/>
    <m/>
    <m/>
    <m/>
    <m/>
    <m/>
    <m/>
    <m/>
    <m/>
  </r>
  <r>
    <x v="958"/>
    <n v="2013"/>
    <n v="6"/>
    <x v="42"/>
    <x v="14"/>
    <x v="13"/>
    <n v="2"/>
    <s v="2013_06_043.gif"/>
    <m/>
    <m/>
    <m/>
    <b v="0"/>
    <n v="0"/>
    <x v="1"/>
    <n v="959"/>
    <s v="Coulomb's Law,Mathematical Relationships (Numberless Problems)"/>
    <n v="5614"/>
    <x v="19"/>
    <m/>
    <m/>
    <m/>
    <m/>
    <m/>
    <m/>
    <m/>
    <m/>
    <m/>
    <m/>
    <m/>
    <m/>
    <m/>
    <m/>
    <m/>
    <m/>
    <m/>
    <m/>
    <m/>
    <m/>
    <m/>
    <m/>
    <m/>
    <m/>
    <m/>
    <m/>
    <m/>
    <m/>
    <m/>
    <m/>
    <m/>
    <m/>
    <m/>
    <m/>
    <m/>
    <m/>
    <m/>
    <m/>
    <m/>
    <m/>
    <m/>
    <m/>
    <m/>
    <m/>
    <m/>
    <n v="1"/>
    <m/>
    <m/>
    <m/>
    <m/>
    <m/>
    <m/>
    <m/>
    <m/>
    <m/>
    <m/>
    <m/>
    <m/>
    <n v="1"/>
    <m/>
  </r>
  <r>
    <x v="959"/>
    <n v="2013"/>
    <n v="6"/>
    <x v="43"/>
    <x v="10"/>
    <x v="0"/>
    <n v="1"/>
    <s v="2013_06_044.gif"/>
    <m/>
    <m/>
    <m/>
    <b v="0"/>
    <n v="0"/>
    <x v="1"/>
    <n v="960"/>
    <s v="Particle Physics"/>
    <n v="5615"/>
    <x v="19"/>
    <m/>
    <m/>
    <m/>
    <m/>
    <m/>
    <m/>
    <m/>
    <m/>
    <m/>
    <m/>
    <m/>
    <m/>
    <m/>
    <m/>
    <m/>
    <m/>
    <m/>
    <m/>
    <m/>
    <m/>
    <m/>
    <m/>
    <m/>
    <m/>
    <m/>
    <m/>
    <m/>
    <m/>
    <m/>
    <m/>
    <m/>
    <m/>
    <m/>
    <m/>
    <m/>
    <m/>
    <m/>
    <m/>
    <m/>
    <m/>
    <m/>
    <m/>
    <m/>
    <m/>
    <m/>
    <m/>
    <m/>
    <m/>
    <m/>
    <m/>
    <m/>
    <m/>
    <m/>
    <m/>
    <m/>
    <m/>
    <n v="1"/>
    <m/>
    <m/>
    <m/>
  </r>
  <r>
    <x v="960"/>
    <n v="2013"/>
    <n v="6"/>
    <x v="44"/>
    <x v="14"/>
    <x v="15"/>
    <n v="3"/>
    <s v="2013_06_045.gif"/>
    <m/>
    <m/>
    <m/>
    <b v="0"/>
    <n v="0"/>
    <x v="1"/>
    <n v="961"/>
    <s v="Kinetic Energy,Graph Interpretation"/>
    <n v="5616"/>
    <x v="19"/>
    <m/>
    <m/>
    <m/>
    <m/>
    <m/>
    <m/>
    <m/>
    <m/>
    <m/>
    <m/>
    <m/>
    <m/>
    <m/>
    <m/>
    <m/>
    <m/>
    <m/>
    <m/>
    <m/>
    <m/>
    <m/>
    <m/>
    <m/>
    <m/>
    <m/>
    <m/>
    <m/>
    <m/>
    <m/>
    <m/>
    <m/>
    <m/>
    <m/>
    <n v="1"/>
    <m/>
    <m/>
    <m/>
    <m/>
    <m/>
    <m/>
    <m/>
    <m/>
    <m/>
    <m/>
    <m/>
    <m/>
    <m/>
    <m/>
    <m/>
    <m/>
    <m/>
    <m/>
    <m/>
    <m/>
    <m/>
    <m/>
    <m/>
    <n v="1"/>
    <m/>
    <m/>
  </r>
  <r>
    <x v="961"/>
    <n v="2013"/>
    <n v="6"/>
    <x v="45"/>
    <x v="6"/>
    <x v="0"/>
    <n v="3"/>
    <s v="2013_06_046.gif"/>
    <m/>
    <m/>
    <m/>
    <b v="0"/>
    <n v="0"/>
    <x v="1"/>
    <n v="962"/>
    <s v="Electric Fields and Potential"/>
    <n v="5617"/>
    <x v="19"/>
    <m/>
    <m/>
    <m/>
    <m/>
    <m/>
    <m/>
    <m/>
    <m/>
    <m/>
    <m/>
    <m/>
    <m/>
    <m/>
    <m/>
    <m/>
    <m/>
    <m/>
    <m/>
    <m/>
    <m/>
    <m/>
    <m/>
    <m/>
    <m/>
    <m/>
    <m/>
    <m/>
    <m/>
    <m/>
    <m/>
    <m/>
    <m/>
    <m/>
    <m/>
    <m/>
    <m/>
    <m/>
    <m/>
    <m/>
    <m/>
    <m/>
    <m/>
    <m/>
    <m/>
    <m/>
    <m/>
    <m/>
    <n v="1"/>
    <m/>
    <m/>
    <m/>
    <m/>
    <m/>
    <m/>
    <m/>
    <m/>
    <m/>
    <m/>
    <m/>
    <m/>
  </r>
  <r>
    <x v="962"/>
    <n v="2013"/>
    <n v="6"/>
    <x v="46"/>
    <x v="14"/>
    <x v="6"/>
    <n v="4"/>
    <s v="2013_06_047.gif"/>
    <m/>
    <m/>
    <m/>
    <b v="0"/>
    <n v="0"/>
    <x v="1"/>
    <n v="963"/>
    <s v="Law of Gravity,Mathematical Relationships (Numberless Problems)"/>
    <n v="5618"/>
    <x v="19"/>
    <m/>
    <m/>
    <m/>
    <m/>
    <m/>
    <m/>
    <m/>
    <m/>
    <m/>
    <m/>
    <m/>
    <m/>
    <m/>
    <m/>
    <m/>
    <m/>
    <m/>
    <m/>
    <m/>
    <m/>
    <m/>
    <m/>
    <m/>
    <m/>
    <n v="1"/>
    <m/>
    <m/>
    <m/>
    <m/>
    <m/>
    <m/>
    <m/>
    <m/>
    <m/>
    <m/>
    <m/>
    <m/>
    <m/>
    <m/>
    <m/>
    <m/>
    <m/>
    <m/>
    <m/>
    <m/>
    <m/>
    <m/>
    <m/>
    <m/>
    <m/>
    <m/>
    <m/>
    <m/>
    <m/>
    <m/>
    <m/>
    <m/>
    <m/>
    <n v="1"/>
    <m/>
  </r>
  <r>
    <x v="963"/>
    <n v="2013"/>
    <n v="6"/>
    <x v="47"/>
    <x v="7"/>
    <x v="0"/>
    <n v="4"/>
    <s v="2013_06_048.gif"/>
    <m/>
    <m/>
    <m/>
    <b v="0"/>
    <n v="0"/>
    <x v="1"/>
    <n v="964"/>
    <s v="Superposition and Standing Waves"/>
    <n v="5619"/>
    <x v="19"/>
    <m/>
    <m/>
    <m/>
    <m/>
    <m/>
    <m/>
    <m/>
    <m/>
    <m/>
    <m/>
    <m/>
    <m/>
    <m/>
    <m/>
    <m/>
    <m/>
    <m/>
    <m/>
    <m/>
    <m/>
    <m/>
    <m/>
    <m/>
    <m/>
    <m/>
    <m/>
    <m/>
    <m/>
    <m/>
    <m/>
    <m/>
    <m/>
    <m/>
    <m/>
    <m/>
    <m/>
    <m/>
    <n v="1"/>
    <m/>
    <m/>
    <m/>
    <m/>
    <m/>
    <m/>
    <m/>
    <m/>
    <m/>
    <m/>
    <m/>
    <m/>
    <m/>
    <m/>
    <m/>
    <m/>
    <m/>
    <m/>
    <m/>
    <m/>
    <m/>
    <m/>
  </r>
  <r>
    <x v="964"/>
    <n v="2013"/>
    <n v="6"/>
    <x v="48"/>
    <x v="9"/>
    <x v="0"/>
    <n v="1"/>
    <s v="2013_06_049.gif"/>
    <m/>
    <m/>
    <m/>
    <b v="0"/>
    <n v="0"/>
    <x v="1"/>
    <n v="965"/>
    <s v="Diffraction"/>
    <n v="5620"/>
    <x v="19"/>
    <m/>
    <m/>
    <m/>
    <m/>
    <m/>
    <m/>
    <m/>
    <m/>
    <m/>
    <m/>
    <m/>
    <m/>
    <m/>
    <m/>
    <m/>
    <m/>
    <m/>
    <m/>
    <m/>
    <m/>
    <m/>
    <m/>
    <m/>
    <m/>
    <m/>
    <m/>
    <m/>
    <m/>
    <m/>
    <m/>
    <m/>
    <m/>
    <m/>
    <m/>
    <m/>
    <m/>
    <m/>
    <m/>
    <m/>
    <m/>
    <n v="1"/>
    <m/>
    <m/>
    <m/>
    <m/>
    <m/>
    <m/>
    <m/>
    <m/>
    <m/>
    <m/>
    <m/>
    <m/>
    <m/>
    <m/>
    <m/>
    <m/>
    <m/>
    <m/>
    <m/>
  </r>
  <r>
    <x v="965"/>
    <n v="2013"/>
    <n v="6"/>
    <x v="49"/>
    <x v="14"/>
    <x v="8"/>
    <n v="2"/>
    <s v="2013_06_050.gif"/>
    <m/>
    <m/>
    <m/>
    <b v="0"/>
    <n v="0"/>
    <x v="1"/>
    <n v="966"/>
    <s v="Energy/Mass Equivalency,Graph Interpretation"/>
    <n v="5621"/>
    <x v="19"/>
    <m/>
    <m/>
    <m/>
    <m/>
    <m/>
    <m/>
    <m/>
    <m/>
    <m/>
    <m/>
    <m/>
    <m/>
    <m/>
    <m/>
    <m/>
    <m/>
    <m/>
    <m/>
    <m/>
    <m/>
    <m/>
    <m/>
    <m/>
    <m/>
    <m/>
    <m/>
    <m/>
    <m/>
    <m/>
    <m/>
    <m/>
    <m/>
    <m/>
    <m/>
    <m/>
    <m/>
    <m/>
    <m/>
    <m/>
    <m/>
    <m/>
    <m/>
    <m/>
    <m/>
    <m/>
    <m/>
    <m/>
    <m/>
    <m/>
    <m/>
    <m/>
    <m/>
    <m/>
    <m/>
    <m/>
    <n v="1"/>
    <m/>
    <n v="1"/>
    <m/>
    <m/>
  </r>
  <r>
    <x v="966"/>
    <n v="2014"/>
    <n v="6"/>
    <x v="0"/>
    <x v="0"/>
    <x v="0"/>
    <n v="1"/>
    <s v="2014_06_001.gif"/>
    <m/>
    <m/>
    <m/>
    <b v="0"/>
    <n v="0"/>
    <x v="0"/>
    <n v="967"/>
    <s v="Vector vs. Scalar"/>
    <n v="5648"/>
    <x v="20"/>
    <m/>
    <m/>
    <m/>
    <m/>
    <m/>
    <m/>
    <m/>
    <m/>
    <m/>
    <m/>
    <m/>
    <m/>
    <m/>
    <n v="1"/>
    <m/>
    <m/>
    <m/>
    <m/>
    <m/>
    <m/>
    <m/>
    <m/>
    <m/>
    <m/>
    <m/>
    <m/>
    <m/>
    <m/>
    <m/>
    <m/>
    <m/>
    <m/>
    <m/>
    <m/>
    <m/>
    <m/>
    <m/>
    <m/>
    <m/>
    <m/>
    <m/>
    <m/>
    <m/>
    <m/>
    <m/>
    <m/>
    <m/>
    <m/>
    <m/>
    <m/>
    <m/>
    <m/>
    <m/>
    <m/>
    <m/>
    <m/>
    <m/>
    <m/>
    <m/>
    <m/>
  </r>
  <r>
    <x v="967"/>
    <n v="2014"/>
    <n v="6"/>
    <x v="1"/>
    <x v="2"/>
    <x v="0"/>
    <n v="1"/>
    <s v="2014_06_002.gif"/>
    <m/>
    <m/>
    <m/>
    <b v="0"/>
    <n v="0"/>
    <x v="0"/>
    <n v="968"/>
    <s v="Horizontal Constant Acceleration Problems"/>
    <n v="5649"/>
    <x v="20"/>
    <m/>
    <m/>
    <m/>
    <m/>
    <m/>
    <m/>
    <m/>
    <m/>
    <m/>
    <n v="1"/>
    <m/>
    <m/>
    <m/>
    <m/>
    <m/>
    <m/>
    <m/>
    <m/>
    <m/>
    <m/>
    <m/>
    <m/>
    <m/>
    <m/>
    <m/>
    <m/>
    <m/>
    <m/>
    <m/>
    <m/>
    <m/>
    <m/>
    <m/>
    <m/>
    <m/>
    <m/>
    <m/>
    <m/>
    <m/>
    <m/>
    <m/>
    <m/>
    <m/>
    <m/>
    <m/>
    <m/>
    <m/>
    <m/>
    <m/>
    <m/>
    <m/>
    <m/>
    <m/>
    <m/>
    <m/>
    <m/>
    <m/>
    <m/>
    <m/>
    <m/>
  </r>
  <r>
    <x v="968"/>
    <n v="2014"/>
    <n v="6"/>
    <x v="2"/>
    <x v="0"/>
    <x v="0"/>
    <n v="2"/>
    <s v="2014_06_003.gif"/>
    <m/>
    <m/>
    <m/>
    <b v="0"/>
    <n v="0"/>
    <x v="0"/>
    <n v="969"/>
    <s v="Vector Components"/>
    <n v="5650"/>
    <x v="20"/>
    <m/>
    <m/>
    <m/>
    <m/>
    <m/>
    <m/>
    <m/>
    <m/>
    <m/>
    <m/>
    <m/>
    <m/>
    <n v="1"/>
    <m/>
    <m/>
    <m/>
    <m/>
    <m/>
    <m/>
    <m/>
    <m/>
    <m/>
    <m/>
    <m/>
    <m/>
    <m/>
    <m/>
    <m/>
    <m/>
    <m/>
    <m/>
    <m/>
    <m/>
    <m/>
    <m/>
    <m/>
    <m/>
    <m/>
    <m/>
    <m/>
    <m/>
    <m/>
    <m/>
    <m/>
    <m/>
    <m/>
    <m/>
    <m/>
    <m/>
    <m/>
    <m/>
    <m/>
    <m/>
    <m/>
    <m/>
    <m/>
    <m/>
    <m/>
    <m/>
    <m/>
  </r>
  <r>
    <x v="969"/>
    <n v="2014"/>
    <n v="6"/>
    <x v="3"/>
    <x v="2"/>
    <x v="0"/>
    <n v="3"/>
    <s v="2014_06_004.gif"/>
    <m/>
    <m/>
    <m/>
    <b v="0"/>
    <n v="0"/>
    <x v="0"/>
    <n v="970"/>
    <s v="Vertical Constant Acceleration Problems"/>
    <n v="5651"/>
    <x v="20"/>
    <m/>
    <m/>
    <m/>
    <m/>
    <m/>
    <m/>
    <m/>
    <m/>
    <m/>
    <m/>
    <n v="1"/>
    <m/>
    <m/>
    <m/>
    <m/>
    <m/>
    <m/>
    <m/>
    <m/>
    <m/>
    <m/>
    <m/>
    <m/>
    <m/>
    <m/>
    <m/>
    <m/>
    <m/>
    <m/>
    <m/>
    <m/>
    <m/>
    <m/>
    <m/>
    <m/>
    <m/>
    <m/>
    <m/>
    <m/>
    <m/>
    <m/>
    <m/>
    <m/>
    <m/>
    <m/>
    <m/>
    <m/>
    <m/>
    <m/>
    <m/>
    <m/>
    <m/>
    <m/>
    <m/>
    <m/>
    <m/>
    <m/>
    <m/>
    <m/>
    <m/>
  </r>
  <r>
    <x v="970"/>
    <n v="2014"/>
    <n v="6"/>
    <x v="4"/>
    <x v="4"/>
    <x v="0"/>
    <n v="1"/>
    <s v="2014_06_005.gif"/>
    <m/>
    <m/>
    <m/>
    <b v="0"/>
    <n v="0"/>
    <x v="0"/>
    <n v="971"/>
    <s v="Newton's 3rd Law (Equal But Opposite)"/>
    <n v="5652"/>
    <x v="20"/>
    <m/>
    <m/>
    <m/>
    <m/>
    <m/>
    <m/>
    <m/>
    <m/>
    <m/>
    <m/>
    <m/>
    <m/>
    <m/>
    <m/>
    <m/>
    <m/>
    <m/>
    <m/>
    <m/>
    <m/>
    <m/>
    <m/>
    <m/>
    <m/>
    <m/>
    <m/>
    <m/>
    <m/>
    <m/>
    <m/>
    <n v="1"/>
    <m/>
    <m/>
    <m/>
    <m/>
    <m/>
    <m/>
    <m/>
    <m/>
    <m/>
    <m/>
    <m/>
    <m/>
    <m/>
    <m/>
    <m/>
    <m/>
    <m/>
    <m/>
    <m/>
    <m/>
    <m/>
    <m/>
    <m/>
    <m/>
    <m/>
    <m/>
    <m/>
    <m/>
    <m/>
  </r>
  <r>
    <x v="971"/>
    <n v="2014"/>
    <n v="6"/>
    <x v="5"/>
    <x v="1"/>
    <x v="0"/>
    <n v="3"/>
    <s v="2014_06_006.gif"/>
    <m/>
    <m/>
    <m/>
    <b v="0"/>
    <n v="0"/>
    <x v="0"/>
    <n v="972"/>
    <s v="Law of Gravity"/>
    <n v="5653"/>
    <x v="20"/>
    <m/>
    <m/>
    <m/>
    <m/>
    <m/>
    <m/>
    <m/>
    <m/>
    <m/>
    <m/>
    <m/>
    <m/>
    <m/>
    <m/>
    <m/>
    <m/>
    <m/>
    <m/>
    <m/>
    <m/>
    <m/>
    <m/>
    <m/>
    <m/>
    <n v="1"/>
    <m/>
    <m/>
    <m/>
    <m/>
    <m/>
    <m/>
    <m/>
    <m/>
    <m/>
    <m/>
    <m/>
    <m/>
    <m/>
    <m/>
    <m/>
    <m/>
    <m/>
    <m/>
    <m/>
    <m/>
    <m/>
    <m/>
    <m/>
    <m/>
    <m/>
    <m/>
    <m/>
    <m/>
    <m/>
    <m/>
    <m/>
    <m/>
    <m/>
    <m/>
    <m/>
  </r>
  <r>
    <x v="972"/>
    <n v="2014"/>
    <n v="6"/>
    <x v="6"/>
    <x v="2"/>
    <x v="0"/>
    <n v="4"/>
    <s v="2014_06_007.gif"/>
    <m/>
    <m/>
    <m/>
    <b v="0"/>
    <n v="0"/>
    <x v="0"/>
    <n v="973"/>
    <s v="Horizontal Constant Acceleration Problems"/>
    <n v="5654"/>
    <x v="20"/>
    <m/>
    <m/>
    <m/>
    <m/>
    <m/>
    <m/>
    <m/>
    <m/>
    <m/>
    <n v="1"/>
    <m/>
    <m/>
    <m/>
    <m/>
    <m/>
    <m/>
    <m/>
    <m/>
    <m/>
    <m/>
    <m/>
    <m/>
    <m/>
    <m/>
    <m/>
    <m/>
    <m/>
    <m/>
    <m/>
    <m/>
    <m/>
    <m/>
    <m/>
    <m/>
    <m/>
    <m/>
    <m/>
    <m/>
    <m/>
    <m/>
    <m/>
    <m/>
    <m/>
    <m/>
    <m/>
    <m/>
    <m/>
    <m/>
    <m/>
    <m/>
    <m/>
    <m/>
    <m/>
    <m/>
    <m/>
    <m/>
    <m/>
    <m/>
    <m/>
    <m/>
  </r>
  <r>
    <x v="973"/>
    <n v="2014"/>
    <n v="6"/>
    <x v="7"/>
    <x v="1"/>
    <x v="0"/>
    <n v="2"/>
    <s v="2014_06_008.gif"/>
    <m/>
    <m/>
    <m/>
    <b v="0"/>
    <n v="0"/>
    <x v="0"/>
    <n v="974"/>
    <s v="Newton's 2nd Law (F=MA)"/>
    <n v="5655"/>
    <x v="20"/>
    <m/>
    <m/>
    <m/>
    <m/>
    <m/>
    <m/>
    <m/>
    <m/>
    <m/>
    <m/>
    <m/>
    <m/>
    <m/>
    <m/>
    <m/>
    <m/>
    <m/>
    <m/>
    <m/>
    <m/>
    <m/>
    <m/>
    <m/>
    <m/>
    <m/>
    <m/>
    <n v="1"/>
    <m/>
    <m/>
    <m/>
    <m/>
    <m/>
    <m/>
    <m/>
    <m/>
    <m/>
    <m/>
    <m/>
    <m/>
    <m/>
    <m/>
    <m/>
    <m/>
    <m/>
    <m/>
    <m/>
    <m/>
    <m/>
    <m/>
    <m/>
    <m/>
    <m/>
    <m/>
    <m/>
    <m/>
    <m/>
    <m/>
    <m/>
    <m/>
    <m/>
  </r>
  <r>
    <x v="974"/>
    <n v="2014"/>
    <n v="6"/>
    <x v="8"/>
    <x v="4"/>
    <x v="0"/>
    <n v="2"/>
    <s v="2014_06_009.gif"/>
    <m/>
    <m/>
    <m/>
    <b v="0"/>
    <n v="0"/>
    <x v="0"/>
    <n v="975"/>
    <s v="Impulse"/>
    <n v="5656"/>
    <x v="20"/>
    <m/>
    <m/>
    <m/>
    <m/>
    <m/>
    <m/>
    <m/>
    <m/>
    <m/>
    <m/>
    <m/>
    <m/>
    <m/>
    <m/>
    <m/>
    <m/>
    <m/>
    <m/>
    <m/>
    <m/>
    <m/>
    <m/>
    <m/>
    <m/>
    <m/>
    <m/>
    <m/>
    <m/>
    <m/>
    <n v="1"/>
    <m/>
    <m/>
    <m/>
    <m/>
    <m/>
    <m/>
    <m/>
    <m/>
    <m/>
    <m/>
    <m/>
    <m/>
    <m/>
    <m/>
    <m/>
    <m/>
    <m/>
    <m/>
    <m/>
    <m/>
    <m/>
    <m/>
    <m/>
    <m/>
    <m/>
    <m/>
    <m/>
    <m/>
    <m/>
    <m/>
  </r>
  <r>
    <x v="975"/>
    <n v="2014"/>
    <n v="6"/>
    <x v="9"/>
    <x v="4"/>
    <x v="0"/>
    <n v="1"/>
    <s v="2014_06_010.gif"/>
    <m/>
    <m/>
    <m/>
    <b v="0"/>
    <n v="0"/>
    <x v="0"/>
    <n v="976"/>
    <s v="Impulse"/>
    <n v="5657"/>
    <x v="20"/>
    <m/>
    <m/>
    <m/>
    <m/>
    <m/>
    <m/>
    <m/>
    <m/>
    <m/>
    <m/>
    <m/>
    <m/>
    <m/>
    <m/>
    <m/>
    <m/>
    <m/>
    <m/>
    <m/>
    <m/>
    <m/>
    <m/>
    <m/>
    <m/>
    <m/>
    <m/>
    <m/>
    <m/>
    <m/>
    <n v="1"/>
    <m/>
    <m/>
    <m/>
    <m/>
    <m/>
    <m/>
    <m/>
    <m/>
    <m/>
    <m/>
    <m/>
    <m/>
    <m/>
    <m/>
    <m/>
    <m/>
    <m/>
    <m/>
    <m/>
    <m/>
    <m/>
    <m/>
    <m/>
    <m/>
    <m/>
    <m/>
    <m/>
    <m/>
    <m/>
    <m/>
  </r>
  <r>
    <x v="976"/>
    <n v="2014"/>
    <n v="6"/>
    <x v="10"/>
    <x v="13"/>
    <x v="13"/>
    <n v="3"/>
    <s v="2014_06_011.gif"/>
    <m/>
    <m/>
    <m/>
    <b v="0"/>
    <n v="0"/>
    <x v="0"/>
    <n v="977"/>
    <s v="Electric Fields and Potential,Magnetism"/>
    <n v="5658"/>
    <x v="20"/>
    <m/>
    <m/>
    <m/>
    <m/>
    <m/>
    <m/>
    <m/>
    <m/>
    <m/>
    <m/>
    <m/>
    <m/>
    <m/>
    <m/>
    <m/>
    <m/>
    <m/>
    <m/>
    <m/>
    <m/>
    <m/>
    <m/>
    <m/>
    <m/>
    <m/>
    <m/>
    <m/>
    <m/>
    <m/>
    <m/>
    <m/>
    <m/>
    <m/>
    <m/>
    <m/>
    <m/>
    <m/>
    <m/>
    <m/>
    <m/>
    <m/>
    <m/>
    <m/>
    <m/>
    <m/>
    <m/>
    <m/>
    <n v="1"/>
    <m/>
    <m/>
    <m/>
    <m/>
    <m/>
    <m/>
    <m/>
    <m/>
    <m/>
    <m/>
    <m/>
    <n v="1"/>
  </r>
  <r>
    <x v="977"/>
    <n v="2014"/>
    <n v="6"/>
    <x v="11"/>
    <x v="6"/>
    <x v="0"/>
    <n v="2"/>
    <s v="2014_06_012.gif"/>
    <m/>
    <m/>
    <m/>
    <b v="0"/>
    <n v="0"/>
    <x v="0"/>
    <n v="978"/>
    <s v="Electric Fields and Potential"/>
    <n v="5659"/>
    <x v="20"/>
    <m/>
    <m/>
    <m/>
    <m/>
    <m/>
    <m/>
    <m/>
    <m/>
    <m/>
    <m/>
    <m/>
    <m/>
    <m/>
    <m/>
    <m/>
    <m/>
    <m/>
    <m/>
    <m/>
    <m/>
    <m/>
    <m/>
    <m/>
    <m/>
    <m/>
    <m/>
    <m/>
    <m/>
    <m/>
    <m/>
    <m/>
    <m/>
    <m/>
    <m/>
    <m/>
    <m/>
    <m/>
    <m/>
    <m/>
    <m/>
    <m/>
    <m/>
    <m/>
    <m/>
    <m/>
    <m/>
    <m/>
    <n v="1"/>
    <m/>
    <m/>
    <m/>
    <m/>
    <m/>
    <m/>
    <m/>
    <m/>
    <m/>
    <m/>
    <m/>
    <m/>
  </r>
  <r>
    <x v="978"/>
    <n v="2014"/>
    <n v="6"/>
    <x v="12"/>
    <x v="6"/>
    <x v="7"/>
    <n v="2"/>
    <s v="2014_06_013.gif"/>
    <m/>
    <m/>
    <m/>
    <b v="0"/>
    <n v="0"/>
    <x v="0"/>
    <n v="979"/>
    <s v="Electric Fields and Potential"/>
    <n v="5660"/>
    <x v="20"/>
    <m/>
    <m/>
    <m/>
    <m/>
    <m/>
    <m/>
    <m/>
    <m/>
    <m/>
    <m/>
    <m/>
    <m/>
    <m/>
    <m/>
    <m/>
    <m/>
    <m/>
    <m/>
    <m/>
    <m/>
    <m/>
    <m/>
    <m/>
    <m/>
    <m/>
    <m/>
    <m/>
    <m/>
    <m/>
    <m/>
    <m/>
    <m/>
    <m/>
    <m/>
    <m/>
    <m/>
    <m/>
    <m/>
    <m/>
    <m/>
    <m/>
    <m/>
    <m/>
    <m/>
    <m/>
    <m/>
    <m/>
    <n v="1"/>
    <m/>
    <m/>
    <m/>
    <m/>
    <m/>
    <m/>
    <m/>
    <m/>
    <m/>
    <m/>
    <m/>
    <m/>
  </r>
  <r>
    <x v="979"/>
    <n v="2014"/>
    <n v="6"/>
    <x v="13"/>
    <x v="8"/>
    <x v="0"/>
    <n v="2"/>
    <s v="2014_06_014.gif"/>
    <m/>
    <m/>
    <m/>
    <b v="0"/>
    <n v="0"/>
    <x v="0"/>
    <n v="980"/>
    <s v="Resistance of Wire"/>
    <n v="5661"/>
    <x v="20"/>
    <m/>
    <m/>
    <m/>
    <m/>
    <m/>
    <m/>
    <m/>
    <m/>
    <m/>
    <m/>
    <m/>
    <m/>
    <m/>
    <m/>
    <m/>
    <m/>
    <m/>
    <m/>
    <m/>
    <m/>
    <m/>
    <m/>
    <m/>
    <m/>
    <m/>
    <m/>
    <m/>
    <m/>
    <m/>
    <m/>
    <m/>
    <m/>
    <m/>
    <m/>
    <m/>
    <m/>
    <m/>
    <m/>
    <m/>
    <m/>
    <m/>
    <m/>
    <m/>
    <m/>
    <m/>
    <m/>
    <m/>
    <m/>
    <m/>
    <m/>
    <m/>
    <n v="1"/>
    <m/>
    <m/>
    <m/>
    <m/>
    <m/>
    <m/>
    <m/>
    <m/>
  </r>
  <r>
    <x v="980"/>
    <n v="2014"/>
    <n v="6"/>
    <x v="14"/>
    <x v="5"/>
    <x v="0"/>
    <n v="3"/>
    <s v="2014_06_015.gif"/>
    <m/>
    <m/>
    <m/>
    <b v="0"/>
    <n v="0"/>
    <x v="0"/>
    <n v="981"/>
    <s v="Conservation of Energy"/>
    <n v="5662"/>
    <x v="20"/>
    <m/>
    <m/>
    <m/>
    <m/>
    <m/>
    <m/>
    <m/>
    <m/>
    <m/>
    <m/>
    <m/>
    <m/>
    <m/>
    <m/>
    <m/>
    <m/>
    <m/>
    <m/>
    <m/>
    <m/>
    <m/>
    <m/>
    <m/>
    <m/>
    <m/>
    <m/>
    <m/>
    <m/>
    <m/>
    <m/>
    <m/>
    <n v="1"/>
    <m/>
    <m/>
    <m/>
    <m/>
    <m/>
    <m/>
    <m/>
    <m/>
    <m/>
    <m/>
    <m/>
    <m/>
    <m/>
    <m/>
    <m/>
    <m/>
    <m/>
    <m/>
    <m/>
    <m/>
    <m/>
    <m/>
    <m/>
    <m/>
    <m/>
    <m/>
    <m/>
    <m/>
  </r>
  <r>
    <x v="981"/>
    <n v="2014"/>
    <n v="6"/>
    <x v="15"/>
    <x v="1"/>
    <x v="0"/>
    <n v="1"/>
    <s v="2014_06_016.gif"/>
    <m/>
    <m/>
    <m/>
    <b v="0"/>
    <n v="0"/>
    <x v="0"/>
    <n v="982"/>
    <s v="Newton's 1st Law (Inertia)"/>
    <n v="5663"/>
    <x v="20"/>
    <m/>
    <m/>
    <m/>
    <m/>
    <m/>
    <m/>
    <m/>
    <m/>
    <m/>
    <m/>
    <m/>
    <m/>
    <m/>
    <m/>
    <m/>
    <m/>
    <m/>
    <m/>
    <m/>
    <m/>
    <m/>
    <m/>
    <m/>
    <m/>
    <m/>
    <n v="1"/>
    <m/>
    <m/>
    <m/>
    <m/>
    <m/>
    <m/>
    <m/>
    <m/>
    <m/>
    <m/>
    <m/>
    <m/>
    <m/>
    <m/>
    <m/>
    <m/>
    <m/>
    <m/>
    <m/>
    <m/>
    <m/>
    <m/>
    <m/>
    <m/>
    <m/>
    <m/>
    <m/>
    <m/>
    <m/>
    <m/>
    <m/>
    <m/>
    <m/>
    <m/>
  </r>
  <r>
    <x v="982"/>
    <n v="2014"/>
    <n v="6"/>
    <x v="16"/>
    <x v="7"/>
    <x v="0"/>
    <n v="4"/>
    <s v="2014_06_017.gif"/>
    <m/>
    <m/>
    <m/>
    <b v="0"/>
    <n v="0"/>
    <x v="0"/>
    <n v="983"/>
    <s v="Wave Vocabulary"/>
    <n v="5664"/>
    <x v="20"/>
    <m/>
    <m/>
    <m/>
    <m/>
    <m/>
    <m/>
    <m/>
    <m/>
    <m/>
    <m/>
    <m/>
    <m/>
    <m/>
    <m/>
    <m/>
    <m/>
    <m/>
    <m/>
    <m/>
    <m/>
    <m/>
    <m/>
    <m/>
    <m/>
    <m/>
    <m/>
    <m/>
    <m/>
    <m/>
    <m/>
    <m/>
    <m/>
    <m/>
    <m/>
    <m/>
    <m/>
    <m/>
    <m/>
    <m/>
    <n v="1"/>
    <m/>
    <m/>
    <m/>
    <m/>
    <m/>
    <m/>
    <m/>
    <m/>
    <m/>
    <m/>
    <m/>
    <m/>
    <m/>
    <m/>
    <m/>
    <m/>
    <m/>
    <m/>
    <m/>
    <m/>
  </r>
  <r>
    <x v="983"/>
    <n v="2014"/>
    <n v="6"/>
    <x v="17"/>
    <x v="9"/>
    <x v="0"/>
    <n v="2"/>
    <s v="2014_06_018.gif"/>
    <m/>
    <m/>
    <m/>
    <b v="0"/>
    <n v="0"/>
    <x v="0"/>
    <n v="984"/>
    <s v="Light and Sound"/>
    <n v="5665"/>
    <x v="20"/>
    <m/>
    <m/>
    <m/>
    <m/>
    <m/>
    <m/>
    <m/>
    <m/>
    <m/>
    <m/>
    <m/>
    <m/>
    <m/>
    <m/>
    <m/>
    <m/>
    <m/>
    <m/>
    <m/>
    <m/>
    <m/>
    <m/>
    <m/>
    <m/>
    <m/>
    <m/>
    <m/>
    <m/>
    <m/>
    <m/>
    <m/>
    <m/>
    <m/>
    <m/>
    <m/>
    <m/>
    <m/>
    <m/>
    <m/>
    <m/>
    <m/>
    <m/>
    <n v="1"/>
    <m/>
    <m/>
    <m/>
    <m/>
    <m/>
    <m/>
    <m/>
    <m/>
    <m/>
    <m/>
    <m/>
    <m/>
    <m/>
    <m/>
    <m/>
    <m/>
    <m/>
  </r>
  <r>
    <x v="984"/>
    <n v="2014"/>
    <n v="6"/>
    <x v="18"/>
    <x v="5"/>
    <x v="0"/>
    <n v="4"/>
    <s v="2014_06_019.gif"/>
    <m/>
    <m/>
    <m/>
    <b v="0"/>
    <n v="0"/>
    <x v="0"/>
    <n v="985"/>
    <s v="PE of Spring"/>
    <n v="5666"/>
    <x v="20"/>
    <m/>
    <m/>
    <m/>
    <m/>
    <m/>
    <m/>
    <m/>
    <m/>
    <m/>
    <m/>
    <m/>
    <m/>
    <m/>
    <m/>
    <m/>
    <m/>
    <m/>
    <m/>
    <m/>
    <m/>
    <m/>
    <m/>
    <m/>
    <m/>
    <m/>
    <m/>
    <m/>
    <m/>
    <m/>
    <m/>
    <m/>
    <m/>
    <m/>
    <m/>
    <n v="1"/>
    <m/>
    <m/>
    <m/>
    <m/>
    <m/>
    <m/>
    <m/>
    <m/>
    <m/>
    <m/>
    <m/>
    <m/>
    <m/>
    <m/>
    <m/>
    <m/>
    <m/>
    <m/>
    <m/>
    <m/>
    <m/>
    <m/>
    <m/>
    <m/>
    <m/>
  </r>
  <r>
    <x v="985"/>
    <n v="2014"/>
    <n v="6"/>
    <x v="19"/>
    <x v="7"/>
    <x v="0"/>
    <n v="1"/>
    <s v="2014_06_020.gif"/>
    <m/>
    <m/>
    <m/>
    <b v="0"/>
    <n v="0"/>
    <x v="0"/>
    <n v="986"/>
    <s v="Wave Vocabulary"/>
    <n v="5667"/>
    <x v="20"/>
    <m/>
    <m/>
    <m/>
    <m/>
    <m/>
    <m/>
    <m/>
    <m/>
    <m/>
    <m/>
    <m/>
    <m/>
    <m/>
    <m/>
    <m/>
    <m/>
    <m/>
    <m/>
    <m/>
    <m/>
    <m/>
    <m/>
    <m/>
    <m/>
    <m/>
    <m/>
    <m/>
    <m/>
    <m/>
    <m/>
    <m/>
    <m/>
    <m/>
    <m/>
    <m/>
    <m/>
    <m/>
    <m/>
    <m/>
    <n v="1"/>
    <m/>
    <m/>
    <m/>
    <m/>
    <m/>
    <m/>
    <m/>
    <m/>
    <m/>
    <m/>
    <m/>
    <m/>
    <m/>
    <m/>
    <m/>
    <m/>
    <m/>
    <m/>
    <m/>
    <m/>
  </r>
  <r>
    <x v="986"/>
    <n v="2014"/>
    <n v="6"/>
    <x v="20"/>
    <x v="7"/>
    <x v="0"/>
    <n v="4"/>
    <s v="2014_06_021.gif"/>
    <m/>
    <m/>
    <m/>
    <b v="0"/>
    <n v="0"/>
    <x v="0"/>
    <n v="987"/>
    <s v="Wave Vocabulary"/>
    <n v="5668"/>
    <x v="20"/>
    <m/>
    <m/>
    <m/>
    <m/>
    <m/>
    <m/>
    <m/>
    <m/>
    <m/>
    <m/>
    <m/>
    <m/>
    <m/>
    <m/>
    <m/>
    <m/>
    <m/>
    <m/>
    <m/>
    <m/>
    <m/>
    <m/>
    <m/>
    <m/>
    <m/>
    <m/>
    <m/>
    <m/>
    <m/>
    <m/>
    <m/>
    <m/>
    <m/>
    <m/>
    <m/>
    <m/>
    <m/>
    <m/>
    <m/>
    <n v="1"/>
    <m/>
    <m/>
    <m/>
    <m/>
    <m/>
    <m/>
    <m/>
    <m/>
    <m/>
    <m/>
    <m/>
    <m/>
    <m/>
    <m/>
    <m/>
    <m/>
    <m/>
    <m/>
    <m/>
    <m/>
  </r>
  <r>
    <x v="987"/>
    <n v="2014"/>
    <n v="6"/>
    <x v="21"/>
    <x v="8"/>
    <x v="0"/>
    <n v="2"/>
    <s v="2014_06_022.gif"/>
    <m/>
    <m/>
    <m/>
    <b v="0"/>
    <n v="0"/>
    <x v="0"/>
    <n v="988"/>
    <s v="Electrical Definitions"/>
    <n v="5669"/>
    <x v="20"/>
    <m/>
    <m/>
    <m/>
    <m/>
    <m/>
    <m/>
    <m/>
    <m/>
    <m/>
    <m/>
    <m/>
    <m/>
    <m/>
    <m/>
    <m/>
    <m/>
    <m/>
    <m/>
    <m/>
    <m/>
    <m/>
    <m/>
    <m/>
    <m/>
    <m/>
    <m/>
    <m/>
    <m/>
    <m/>
    <m/>
    <m/>
    <m/>
    <m/>
    <m/>
    <m/>
    <m/>
    <m/>
    <m/>
    <m/>
    <m/>
    <m/>
    <m/>
    <m/>
    <m/>
    <m/>
    <m/>
    <m/>
    <m/>
    <n v="1"/>
    <m/>
    <m/>
    <m/>
    <m/>
    <m/>
    <m/>
    <m/>
    <m/>
    <m/>
    <m/>
    <m/>
  </r>
  <r>
    <x v="988"/>
    <n v="2014"/>
    <n v="6"/>
    <x v="22"/>
    <x v="7"/>
    <x v="0"/>
    <n v="4"/>
    <s v="2014_06_023.gif"/>
    <m/>
    <m/>
    <m/>
    <b v="0"/>
    <n v="0"/>
    <x v="0"/>
    <n v="989"/>
    <s v="V=FxLamda"/>
    <n v="5670"/>
    <x v="20"/>
    <m/>
    <m/>
    <m/>
    <m/>
    <m/>
    <m/>
    <m/>
    <m/>
    <m/>
    <m/>
    <m/>
    <m/>
    <m/>
    <m/>
    <m/>
    <m/>
    <m/>
    <m/>
    <m/>
    <m/>
    <m/>
    <m/>
    <m/>
    <m/>
    <m/>
    <m/>
    <m/>
    <m/>
    <m/>
    <m/>
    <m/>
    <m/>
    <m/>
    <m/>
    <m/>
    <m/>
    <m/>
    <m/>
    <n v="1"/>
    <m/>
    <m/>
    <m/>
    <m/>
    <m/>
    <m/>
    <m/>
    <m/>
    <m/>
    <m/>
    <m/>
    <m/>
    <m/>
    <m/>
    <m/>
    <m/>
    <m/>
    <m/>
    <m/>
    <m/>
    <m/>
  </r>
  <r>
    <x v="989"/>
    <n v="2014"/>
    <n v="6"/>
    <x v="23"/>
    <x v="7"/>
    <x v="12"/>
    <n v="1"/>
    <s v="2014_06_024.gif"/>
    <m/>
    <m/>
    <m/>
    <b v="0"/>
    <n v="0"/>
    <x v="0"/>
    <n v="990"/>
    <s v="Wave Vocabulary,Light and Sound"/>
    <n v="5671"/>
    <x v="20"/>
    <m/>
    <m/>
    <m/>
    <m/>
    <m/>
    <m/>
    <m/>
    <m/>
    <m/>
    <m/>
    <m/>
    <m/>
    <m/>
    <m/>
    <m/>
    <m/>
    <m/>
    <m/>
    <m/>
    <m/>
    <m/>
    <m/>
    <m/>
    <m/>
    <m/>
    <m/>
    <m/>
    <m/>
    <m/>
    <m/>
    <m/>
    <m/>
    <m/>
    <m/>
    <m/>
    <m/>
    <m/>
    <m/>
    <m/>
    <n v="1"/>
    <m/>
    <m/>
    <n v="1"/>
    <m/>
    <m/>
    <m/>
    <m/>
    <m/>
    <m/>
    <m/>
    <m/>
    <m/>
    <m/>
    <m/>
    <m/>
    <m/>
    <m/>
    <m/>
    <m/>
    <m/>
  </r>
  <r>
    <x v="990"/>
    <n v="2014"/>
    <n v="6"/>
    <x v="24"/>
    <x v="7"/>
    <x v="0"/>
    <n v="4"/>
    <s v="2014_06_025.gif"/>
    <m/>
    <m/>
    <m/>
    <b v="0"/>
    <n v="0"/>
    <x v="0"/>
    <n v="991"/>
    <s v="Superposition and Standing Waves"/>
    <n v="5672"/>
    <x v="20"/>
    <m/>
    <m/>
    <m/>
    <m/>
    <m/>
    <m/>
    <m/>
    <m/>
    <m/>
    <m/>
    <m/>
    <m/>
    <m/>
    <m/>
    <m/>
    <m/>
    <m/>
    <m/>
    <m/>
    <m/>
    <m/>
    <m/>
    <m/>
    <m/>
    <m/>
    <m/>
    <m/>
    <m/>
    <m/>
    <m/>
    <m/>
    <m/>
    <m/>
    <m/>
    <m/>
    <m/>
    <m/>
    <n v="1"/>
    <m/>
    <m/>
    <m/>
    <m/>
    <m/>
    <m/>
    <m/>
    <m/>
    <m/>
    <m/>
    <m/>
    <m/>
    <m/>
    <m/>
    <m/>
    <m/>
    <m/>
    <m/>
    <m/>
    <m/>
    <m/>
    <m/>
  </r>
  <r>
    <x v="991"/>
    <n v="2014"/>
    <n v="6"/>
    <x v="25"/>
    <x v="9"/>
    <x v="0"/>
    <n v="2"/>
    <s v="2014_06_026.gif"/>
    <m/>
    <m/>
    <m/>
    <b v="0"/>
    <n v="0"/>
    <x v="0"/>
    <n v="992"/>
    <s v="Doppler Effect"/>
    <n v="5673"/>
    <x v="20"/>
    <m/>
    <m/>
    <m/>
    <m/>
    <m/>
    <m/>
    <m/>
    <m/>
    <m/>
    <m/>
    <m/>
    <m/>
    <m/>
    <m/>
    <m/>
    <m/>
    <m/>
    <m/>
    <m/>
    <m/>
    <m/>
    <m/>
    <m/>
    <m/>
    <m/>
    <m/>
    <m/>
    <m/>
    <m/>
    <m/>
    <m/>
    <m/>
    <m/>
    <m/>
    <m/>
    <m/>
    <m/>
    <m/>
    <m/>
    <m/>
    <m/>
    <n v="1"/>
    <m/>
    <m/>
    <m/>
    <m/>
    <m/>
    <m/>
    <m/>
    <m/>
    <m/>
    <m/>
    <m/>
    <m/>
    <m/>
    <m/>
    <m/>
    <m/>
    <m/>
    <m/>
  </r>
  <r>
    <x v="992"/>
    <n v="2014"/>
    <n v="6"/>
    <x v="26"/>
    <x v="7"/>
    <x v="0"/>
    <n v="3"/>
    <s v="2014_06_027.gif"/>
    <m/>
    <m/>
    <m/>
    <b v="0"/>
    <n v="0"/>
    <x v="0"/>
    <n v="993"/>
    <s v="Resonance"/>
    <n v="5674"/>
    <x v="20"/>
    <m/>
    <m/>
    <m/>
    <m/>
    <m/>
    <m/>
    <m/>
    <m/>
    <m/>
    <m/>
    <m/>
    <m/>
    <m/>
    <m/>
    <m/>
    <m/>
    <m/>
    <m/>
    <m/>
    <m/>
    <m/>
    <m/>
    <m/>
    <m/>
    <m/>
    <m/>
    <m/>
    <m/>
    <m/>
    <m/>
    <m/>
    <m/>
    <m/>
    <m/>
    <m/>
    <m/>
    <n v="1"/>
    <m/>
    <m/>
    <m/>
    <m/>
    <m/>
    <m/>
    <m/>
    <m/>
    <m/>
    <m/>
    <m/>
    <m/>
    <m/>
    <m/>
    <m/>
    <m/>
    <m/>
    <m/>
    <m/>
    <m/>
    <m/>
    <m/>
    <m/>
  </r>
  <r>
    <x v="993"/>
    <n v="2014"/>
    <n v="6"/>
    <x v="27"/>
    <x v="10"/>
    <x v="0"/>
    <n v="2"/>
    <s v="2014_06_028.gif"/>
    <m/>
    <m/>
    <m/>
    <b v="0"/>
    <n v="0"/>
    <x v="0"/>
    <n v="994"/>
    <s v="Particle Physics"/>
    <n v="5675"/>
    <x v="20"/>
    <m/>
    <m/>
    <m/>
    <m/>
    <m/>
    <m/>
    <m/>
    <m/>
    <m/>
    <m/>
    <m/>
    <m/>
    <m/>
    <m/>
    <m/>
    <m/>
    <m/>
    <m/>
    <m/>
    <m/>
    <m/>
    <m/>
    <m/>
    <m/>
    <m/>
    <m/>
    <m/>
    <m/>
    <m/>
    <m/>
    <m/>
    <m/>
    <m/>
    <m/>
    <m/>
    <m/>
    <m/>
    <m/>
    <m/>
    <m/>
    <m/>
    <m/>
    <m/>
    <m/>
    <m/>
    <m/>
    <m/>
    <m/>
    <m/>
    <m/>
    <m/>
    <m/>
    <m/>
    <m/>
    <m/>
    <m/>
    <n v="1"/>
    <m/>
    <m/>
    <m/>
  </r>
  <r>
    <x v="994"/>
    <n v="2014"/>
    <n v="6"/>
    <x v="28"/>
    <x v="10"/>
    <x v="0"/>
    <n v="1"/>
    <s v="2014_06_029.gif"/>
    <m/>
    <m/>
    <m/>
    <b v="0"/>
    <n v="0"/>
    <x v="0"/>
    <n v="995"/>
    <s v="Particle Physics"/>
    <n v="5676"/>
    <x v="20"/>
    <m/>
    <m/>
    <m/>
    <m/>
    <m/>
    <m/>
    <m/>
    <m/>
    <m/>
    <m/>
    <m/>
    <m/>
    <m/>
    <m/>
    <m/>
    <m/>
    <m/>
    <m/>
    <m/>
    <m/>
    <m/>
    <m/>
    <m/>
    <m/>
    <m/>
    <m/>
    <m/>
    <m/>
    <m/>
    <m/>
    <m/>
    <m/>
    <m/>
    <m/>
    <m/>
    <m/>
    <m/>
    <m/>
    <m/>
    <m/>
    <m/>
    <m/>
    <m/>
    <m/>
    <m/>
    <m/>
    <m/>
    <m/>
    <m/>
    <m/>
    <m/>
    <m/>
    <m/>
    <m/>
    <m/>
    <m/>
    <n v="1"/>
    <m/>
    <m/>
    <m/>
  </r>
  <r>
    <x v="995"/>
    <n v="2014"/>
    <n v="6"/>
    <x v="29"/>
    <x v="10"/>
    <x v="0"/>
    <n v="2"/>
    <s v="2014_06_030.gif"/>
    <m/>
    <m/>
    <m/>
    <b v="0"/>
    <n v="0"/>
    <x v="0"/>
    <n v="996"/>
    <s v="Energy/Mass Equivalency"/>
    <n v="5677"/>
    <x v="20"/>
    <m/>
    <m/>
    <m/>
    <m/>
    <m/>
    <m/>
    <m/>
    <m/>
    <m/>
    <m/>
    <m/>
    <m/>
    <m/>
    <m/>
    <m/>
    <m/>
    <m/>
    <m/>
    <m/>
    <m/>
    <m/>
    <m/>
    <m/>
    <m/>
    <m/>
    <m/>
    <m/>
    <m/>
    <m/>
    <m/>
    <m/>
    <m/>
    <m/>
    <m/>
    <m/>
    <m/>
    <m/>
    <m/>
    <m/>
    <m/>
    <m/>
    <m/>
    <m/>
    <m/>
    <m/>
    <m/>
    <m/>
    <m/>
    <m/>
    <m/>
    <m/>
    <m/>
    <m/>
    <m/>
    <m/>
    <n v="1"/>
    <m/>
    <m/>
    <m/>
    <m/>
  </r>
  <r>
    <x v="996"/>
    <n v="2014"/>
    <n v="6"/>
    <x v="30"/>
    <x v="5"/>
    <x v="0"/>
    <n v="3"/>
    <s v="2014_06_031.gif"/>
    <m/>
    <m/>
    <m/>
    <b v="0"/>
    <n v="0"/>
    <x v="0"/>
    <n v="997"/>
    <s v="Conservation of Energy"/>
    <n v="5678"/>
    <x v="20"/>
    <m/>
    <m/>
    <m/>
    <m/>
    <m/>
    <m/>
    <m/>
    <m/>
    <m/>
    <m/>
    <m/>
    <m/>
    <m/>
    <m/>
    <m/>
    <m/>
    <m/>
    <m/>
    <m/>
    <m/>
    <m/>
    <m/>
    <m/>
    <m/>
    <m/>
    <m/>
    <m/>
    <m/>
    <m/>
    <m/>
    <m/>
    <n v="1"/>
    <m/>
    <m/>
    <m/>
    <m/>
    <m/>
    <m/>
    <m/>
    <m/>
    <m/>
    <m/>
    <m/>
    <m/>
    <m/>
    <m/>
    <m/>
    <m/>
    <m/>
    <m/>
    <m/>
    <m/>
    <m/>
    <m/>
    <m/>
    <m/>
    <m/>
    <m/>
    <m/>
    <m/>
  </r>
  <r>
    <x v="997"/>
    <n v="2014"/>
    <n v="6"/>
    <x v="31"/>
    <x v="6"/>
    <x v="0"/>
    <n v="4"/>
    <s v="2014_06_032.gif"/>
    <m/>
    <m/>
    <m/>
    <b v="0"/>
    <n v="0"/>
    <x v="0"/>
    <n v="998"/>
    <s v="Induction, Conduction, Polarization"/>
    <n v="5679"/>
    <x v="20"/>
    <m/>
    <m/>
    <m/>
    <m/>
    <m/>
    <m/>
    <m/>
    <m/>
    <m/>
    <m/>
    <m/>
    <m/>
    <m/>
    <m/>
    <m/>
    <m/>
    <m/>
    <m/>
    <m/>
    <m/>
    <m/>
    <m/>
    <m/>
    <m/>
    <m/>
    <m/>
    <m/>
    <m/>
    <m/>
    <m/>
    <m/>
    <m/>
    <m/>
    <m/>
    <m/>
    <m/>
    <m/>
    <m/>
    <m/>
    <m/>
    <m/>
    <m/>
    <m/>
    <m/>
    <m/>
    <m/>
    <n v="1"/>
    <m/>
    <m/>
    <m/>
    <m/>
    <m/>
    <m/>
    <m/>
    <m/>
    <m/>
    <m/>
    <m/>
    <m/>
    <m/>
  </r>
  <r>
    <x v="998"/>
    <n v="2014"/>
    <n v="6"/>
    <x v="32"/>
    <x v="6"/>
    <x v="2"/>
    <n v="3"/>
    <s v="2014_06_033.gif"/>
    <m/>
    <m/>
    <m/>
    <b v="0"/>
    <n v="0"/>
    <x v="0"/>
    <n v="999"/>
    <s v="Electric Fields and Potential,Mathematical Relationships (Numberless Problems)"/>
    <n v="5680"/>
    <x v="20"/>
    <m/>
    <m/>
    <m/>
    <m/>
    <m/>
    <m/>
    <m/>
    <m/>
    <m/>
    <m/>
    <m/>
    <m/>
    <m/>
    <m/>
    <m/>
    <m/>
    <m/>
    <m/>
    <m/>
    <m/>
    <m/>
    <m/>
    <m/>
    <m/>
    <m/>
    <m/>
    <m/>
    <m/>
    <m/>
    <m/>
    <m/>
    <m/>
    <m/>
    <m/>
    <m/>
    <m/>
    <m/>
    <m/>
    <m/>
    <m/>
    <m/>
    <m/>
    <m/>
    <m/>
    <m/>
    <m/>
    <m/>
    <n v="1"/>
    <m/>
    <m/>
    <m/>
    <m/>
    <m/>
    <m/>
    <m/>
    <m/>
    <m/>
    <m/>
    <n v="1"/>
    <m/>
  </r>
  <r>
    <x v="999"/>
    <n v="2014"/>
    <n v="6"/>
    <x v="33"/>
    <x v="7"/>
    <x v="0"/>
    <n v="1"/>
    <s v="2014_06_034.gif"/>
    <m/>
    <m/>
    <m/>
    <b v="0"/>
    <n v="0"/>
    <x v="0"/>
    <n v="1000"/>
    <s v="Wave Vocabulary"/>
    <n v="5681"/>
    <x v="20"/>
    <m/>
    <m/>
    <m/>
    <m/>
    <m/>
    <m/>
    <m/>
    <m/>
    <m/>
    <m/>
    <m/>
    <m/>
    <m/>
    <m/>
    <m/>
    <m/>
    <m/>
    <m/>
    <m/>
    <m/>
    <m/>
    <m/>
    <m/>
    <m/>
    <m/>
    <m/>
    <m/>
    <m/>
    <m/>
    <m/>
    <m/>
    <m/>
    <m/>
    <m/>
    <m/>
    <m/>
    <m/>
    <m/>
    <m/>
    <n v="1"/>
    <m/>
    <m/>
    <m/>
    <m/>
    <m/>
    <m/>
    <m/>
    <m/>
    <m/>
    <m/>
    <m/>
    <m/>
    <m/>
    <m/>
    <m/>
    <m/>
    <m/>
    <m/>
    <m/>
    <m/>
  </r>
  <r>
    <x v="1000"/>
    <n v="2014"/>
    <n v="6"/>
    <x v="34"/>
    <x v="7"/>
    <x v="0"/>
    <n v="1"/>
    <s v="2014_06_035.gif"/>
    <m/>
    <m/>
    <m/>
    <b v="0"/>
    <n v="0"/>
    <x v="0"/>
    <n v="1001"/>
    <s v="Wave Vocabulary"/>
    <n v="5682"/>
    <x v="20"/>
    <m/>
    <m/>
    <m/>
    <m/>
    <m/>
    <m/>
    <m/>
    <m/>
    <m/>
    <m/>
    <m/>
    <m/>
    <m/>
    <m/>
    <m/>
    <m/>
    <m/>
    <m/>
    <m/>
    <m/>
    <m/>
    <m/>
    <m/>
    <m/>
    <m/>
    <m/>
    <m/>
    <m/>
    <m/>
    <m/>
    <m/>
    <m/>
    <m/>
    <m/>
    <m/>
    <m/>
    <m/>
    <m/>
    <m/>
    <n v="1"/>
    <m/>
    <m/>
    <m/>
    <m/>
    <m/>
    <m/>
    <m/>
    <m/>
    <m/>
    <m/>
    <m/>
    <m/>
    <m/>
    <m/>
    <m/>
    <m/>
    <m/>
    <m/>
    <m/>
    <m/>
  </r>
  <r>
    <x v="1001"/>
    <n v="2014"/>
    <n v="6"/>
    <x v="35"/>
    <x v="11"/>
    <x v="0"/>
    <n v="3"/>
    <s v="2014_06_036.gif"/>
    <m/>
    <m/>
    <m/>
    <b v="0"/>
    <n v="0"/>
    <x v="1"/>
    <n v="1002"/>
    <s v="Estimation"/>
    <n v="5683"/>
    <x v="20"/>
    <m/>
    <m/>
    <n v="1"/>
    <m/>
    <m/>
    <m/>
    <m/>
    <m/>
    <m/>
    <m/>
    <m/>
    <m/>
    <m/>
    <m/>
    <m/>
    <m/>
    <m/>
    <m/>
    <m/>
    <m/>
    <m/>
    <m/>
    <m/>
    <m/>
    <m/>
    <m/>
    <m/>
    <m/>
    <m/>
    <m/>
    <m/>
    <m/>
    <m/>
    <m/>
    <m/>
    <m/>
    <m/>
    <m/>
    <m/>
    <m/>
    <m/>
    <m/>
    <m/>
    <m/>
    <m/>
    <m/>
    <m/>
    <m/>
    <m/>
    <m/>
    <m/>
    <m/>
    <m/>
    <m/>
    <m/>
    <m/>
    <m/>
    <m/>
    <m/>
    <m/>
  </r>
  <r>
    <x v="1002"/>
    <n v="2014"/>
    <n v="6"/>
    <x v="36"/>
    <x v="6"/>
    <x v="0"/>
    <n v="2"/>
    <s v="2014_06_037.gif"/>
    <m/>
    <m/>
    <m/>
    <b v="0"/>
    <n v="0"/>
    <x v="1"/>
    <n v="1003"/>
    <s v="Conservation of Charge,Induction, Conduction, Polarization"/>
    <n v="5684"/>
    <x v="20"/>
    <m/>
    <m/>
    <m/>
    <m/>
    <m/>
    <m/>
    <m/>
    <m/>
    <m/>
    <m/>
    <m/>
    <m/>
    <m/>
    <m/>
    <m/>
    <m/>
    <m/>
    <m/>
    <m/>
    <m/>
    <m/>
    <m/>
    <m/>
    <m/>
    <m/>
    <m/>
    <m/>
    <m/>
    <m/>
    <m/>
    <m/>
    <m/>
    <m/>
    <m/>
    <m/>
    <m/>
    <m/>
    <m/>
    <m/>
    <m/>
    <m/>
    <m/>
    <m/>
    <m/>
    <n v="1"/>
    <m/>
    <n v="1"/>
    <m/>
    <m/>
    <m/>
    <m/>
    <m/>
    <m/>
    <m/>
    <m/>
    <m/>
    <m/>
    <m/>
    <m/>
    <m/>
  </r>
  <r>
    <x v="1003"/>
    <n v="2014"/>
    <n v="6"/>
    <x v="37"/>
    <x v="3"/>
    <x v="0"/>
    <n v="3"/>
    <s v="2014_06_038.gif"/>
    <m/>
    <m/>
    <m/>
    <b v="0"/>
    <n v="0"/>
    <x v="1"/>
    <n v="1004"/>
    <s v="Centripetal Motion - Calculation"/>
    <n v="5685"/>
    <x v="20"/>
    <m/>
    <m/>
    <m/>
    <m/>
    <m/>
    <m/>
    <m/>
    <m/>
    <m/>
    <m/>
    <m/>
    <m/>
    <m/>
    <m/>
    <m/>
    <m/>
    <m/>
    <m/>
    <m/>
    <m/>
    <n v="1"/>
    <m/>
    <m/>
    <m/>
    <m/>
    <m/>
    <m/>
    <m/>
    <m/>
    <m/>
    <m/>
    <m/>
    <m/>
    <m/>
    <m/>
    <m/>
    <m/>
    <m/>
    <m/>
    <m/>
    <m/>
    <m/>
    <m/>
    <m/>
    <m/>
    <m/>
    <m/>
    <m/>
    <m/>
    <m/>
    <m/>
    <m/>
    <m/>
    <m/>
    <m/>
    <m/>
    <m/>
    <m/>
    <m/>
    <m/>
  </r>
  <r>
    <x v="1004"/>
    <n v="2014"/>
    <n v="6"/>
    <x v="38"/>
    <x v="11"/>
    <x v="7"/>
    <n v="3"/>
    <s v="2014_06_039.gif"/>
    <m/>
    <m/>
    <m/>
    <b v="0"/>
    <n v="0"/>
    <x v="1"/>
    <n v="1005"/>
    <s v="Units,Electrical Power"/>
    <n v="5686"/>
    <x v="20"/>
    <m/>
    <m/>
    <m/>
    <n v="1"/>
    <m/>
    <m/>
    <m/>
    <m/>
    <m/>
    <m/>
    <m/>
    <m/>
    <m/>
    <m/>
    <m/>
    <m/>
    <m/>
    <m/>
    <m/>
    <m/>
    <m/>
    <m/>
    <m/>
    <m/>
    <m/>
    <m/>
    <m/>
    <m/>
    <m/>
    <m/>
    <m/>
    <m/>
    <m/>
    <m/>
    <m/>
    <m/>
    <m/>
    <m/>
    <m/>
    <m/>
    <m/>
    <m/>
    <m/>
    <m/>
    <m/>
    <m/>
    <m/>
    <m/>
    <m/>
    <n v="1"/>
    <m/>
    <m/>
    <m/>
    <m/>
    <m/>
    <m/>
    <m/>
    <m/>
    <m/>
    <m/>
  </r>
  <r>
    <x v="1005"/>
    <n v="2014"/>
    <n v="6"/>
    <x v="39"/>
    <x v="5"/>
    <x v="0"/>
    <n v="1"/>
    <s v="2014_06_040.gif"/>
    <m/>
    <m/>
    <m/>
    <b v="0"/>
    <n v="0"/>
    <x v="1"/>
    <n v="1006"/>
    <s v="Work/Power"/>
    <n v="5687"/>
    <x v="20"/>
    <m/>
    <m/>
    <m/>
    <m/>
    <m/>
    <m/>
    <m/>
    <m/>
    <m/>
    <m/>
    <m/>
    <m/>
    <m/>
    <m/>
    <m/>
    <m/>
    <m/>
    <m/>
    <m/>
    <m/>
    <m/>
    <m/>
    <m/>
    <m/>
    <m/>
    <m/>
    <m/>
    <m/>
    <m/>
    <m/>
    <m/>
    <m/>
    <m/>
    <m/>
    <m/>
    <n v="1"/>
    <m/>
    <m/>
    <m/>
    <m/>
    <m/>
    <m/>
    <m/>
    <m/>
    <m/>
    <m/>
    <m/>
    <m/>
    <m/>
    <m/>
    <m/>
    <m/>
    <m/>
    <m/>
    <m/>
    <m/>
    <m/>
    <m/>
    <m/>
    <m/>
  </r>
  <r>
    <x v="1006"/>
    <n v="2014"/>
    <n v="6"/>
    <x v="40"/>
    <x v="9"/>
    <x v="2"/>
    <n v="2"/>
    <s v="2014_06_041.gif"/>
    <m/>
    <m/>
    <m/>
    <b v="0"/>
    <n v="0"/>
    <x v="1"/>
    <n v="1007"/>
    <s v="Refraction and Snell's Law,Graph Interpretation"/>
    <n v="5688"/>
    <x v="20"/>
    <m/>
    <m/>
    <m/>
    <m/>
    <m/>
    <m/>
    <m/>
    <m/>
    <m/>
    <m/>
    <m/>
    <m/>
    <m/>
    <m/>
    <m/>
    <m/>
    <m/>
    <m/>
    <m/>
    <m/>
    <m/>
    <m/>
    <m/>
    <m/>
    <m/>
    <m/>
    <m/>
    <m/>
    <m/>
    <m/>
    <m/>
    <m/>
    <m/>
    <m/>
    <m/>
    <m/>
    <m/>
    <m/>
    <m/>
    <m/>
    <m/>
    <m/>
    <m/>
    <n v="1"/>
    <m/>
    <m/>
    <m/>
    <m/>
    <m/>
    <m/>
    <m/>
    <m/>
    <m/>
    <m/>
    <m/>
    <m/>
    <m/>
    <n v="1"/>
    <m/>
    <m/>
  </r>
  <r>
    <x v="1007"/>
    <n v="2014"/>
    <n v="6"/>
    <x v="41"/>
    <x v="5"/>
    <x v="0"/>
    <n v="1"/>
    <s v="2014_06_042.gif"/>
    <m/>
    <m/>
    <m/>
    <b v="0"/>
    <n v="0"/>
    <x v="1"/>
    <n v="1008"/>
    <s v="Conservation of Energy"/>
    <n v="5689"/>
    <x v="20"/>
    <m/>
    <m/>
    <m/>
    <m/>
    <m/>
    <m/>
    <m/>
    <m/>
    <m/>
    <m/>
    <m/>
    <m/>
    <m/>
    <m/>
    <m/>
    <m/>
    <m/>
    <m/>
    <m/>
    <m/>
    <m/>
    <m/>
    <m/>
    <m/>
    <m/>
    <m/>
    <m/>
    <m/>
    <m/>
    <m/>
    <m/>
    <n v="1"/>
    <m/>
    <m/>
    <m/>
    <m/>
    <m/>
    <m/>
    <m/>
    <m/>
    <m/>
    <m/>
    <m/>
    <m/>
    <m/>
    <m/>
    <m/>
    <m/>
    <m/>
    <m/>
    <m/>
    <m/>
    <m/>
    <m/>
    <m/>
    <m/>
    <m/>
    <m/>
    <m/>
    <m/>
  </r>
  <r>
    <x v="1008"/>
    <n v="2014"/>
    <n v="6"/>
    <x v="42"/>
    <x v="10"/>
    <x v="0"/>
    <n v="3"/>
    <s v="2014_06_043.gif"/>
    <m/>
    <m/>
    <m/>
    <b v="0"/>
    <n v="0"/>
    <x v="1"/>
    <n v="1009"/>
    <s v="Energy/Frequency of Photon"/>
    <n v="5690"/>
    <x v="20"/>
    <m/>
    <m/>
    <m/>
    <m/>
    <m/>
    <m/>
    <m/>
    <m/>
    <m/>
    <m/>
    <m/>
    <m/>
    <m/>
    <m/>
    <m/>
    <m/>
    <m/>
    <m/>
    <m/>
    <m/>
    <m/>
    <m/>
    <m/>
    <m/>
    <m/>
    <m/>
    <m/>
    <m/>
    <m/>
    <m/>
    <m/>
    <m/>
    <m/>
    <m/>
    <m/>
    <m/>
    <m/>
    <m/>
    <m/>
    <m/>
    <m/>
    <m/>
    <m/>
    <m/>
    <m/>
    <m/>
    <m/>
    <m/>
    <m/>
    <m/>
    <m/>
    <m/>
    <m/>
    <m/>
    <n v="1"/>
    <m/>
    <m/>
    <m/>
    <m/>
    <m/>
  </r>
  <r>
    <x v="1009"/>
    <n v="2014"/>
    <n v="6"/>
    <x v="43"/>
    <x v="1"/>
    <x v="2"/>
    <n v="4"/>
    <s v="2014_06_044.gif"/>
    <m/>
    <m/>
    <m/>
    <b v="0"/>
    <n v="0"/>
    <x v="1"/>
    <n v="1010"/>
    <s v="Newton's 2nd Law (F=MA),Graph Interpretation"/>
    <n v="5691"/>
    <x v="20"/>
    <m/>
    <m/>
    <m/>
    <m/>
    <m/>
    <m/>
    <m/>
    <m/>
    <m/>
    <m/>
    <m/>
    <m/>
    <m/>
    <m/>
    <m/>
    <m/>
    <m/>
    <m/>
    <m/>
    <m/>
    <m/>
    <m/>
    <m/>
    <m/>
    <m/>
    <m/>
    <n v="1"/>
    <m/>
    <m/>
    <m/>
    <m/>
    <m/>
    <m/>
    <m/>
    <m/>
    <m/>
    <m/>
    <m/>
    <m/>
    <m/>
    <m/>
    <m/>
    <m/>
    <m/>
    <m/>
    <m/>
    <m/>
    <m/>
    <m/>
    <m/>
    <m/>
    <m/>
    <m/>
    <m/>
    <m/>
    <m/>
    <m/>
    <n v="1"/>
    <m/>
    <m/>
  </r>
  <r>
    <x v="1010"/>
    <n v="2014"/>
    <n v="6"/>
    <x v="44"/>
    <x v="3"/>
    <x v="0"/>
    <n v="3"/>
    <s v="2014_06_045.gif"/>
    <m/>
    <m/>
    <m/>
    <b v="0"/>
    <n v="0"/>
    <x v="1"/>
    <n v="1011"/>
    <s v="Centripetal Motion - Direction F,A,V"/>
    <n v="5692"/>
    <x v="20"/>
    <m/>
    <m/>
    <m/>
    <m/>
    <m/>
    <m/>
    <m/>
    <m/>
    <m/>
    <m/>
    <m/>
    <m/>
    <m/>
    <m/>
    <m/>
    <m/>
    <m/>
    <m/>
    <m/>
    <n v="1"/>
    <m/>
    <m/>
    <m/>
    <m/>
    <m/>
    <m/>
    <m/>
    <m/>
    <m/>
    <m/>
    <m/>
    <m/>
    <m/>
    <m/>
    <m/>
    <m/>
    <m/>
    <m/>
    <m/>
    <m/>
    <m/>
    <m/>
    <m/>
    <m/>
    <m/>
    <m/>
    <m/>
    <m/>
    <m/>
    <m/>
    <m/>
    <m/>
    <m/>
    <m/>
    <m/>
    <m/>
    <m/>
    <m/>
    <m/>
    <m/>
  </r>
  <r>
    <x v="1011"/>
    <n v="2014"/>
    <n v="6"/>
    <x v="45"/>
    <x v="10"/>
    <x v="2"/>
    <n v="1"/>
    <s v="2014_06_046.gif"/>
    <m/>
    <m/>
    <m/>
    <b v="0"/>
    <n v="0"/>
    <x v="1"/>
    <n v="1012"/>
    <s v="Energy/Frequency of Photon,Graph Interpretation"/>
    <n v="5693"/>
    <x v="20"/>
    <m/>
    <m/>
    <m/>
    <m/>
    <m/>
    <m/>
    <m/>
    <m/>
    <m/>
    <m/>
    <m/>
    <m/>
    <m/>
    <m/>
    <m/>
    <m/>
    <m/>
    <m/>
    <m/>
    <m/>
    <m/>
    <m/>
    <m/>
    <m/>
    <m/>
    <m/>
    <m/>
    <m/>
    <m/>
    <m/>
    <m/>
    <m/>
    <m/>
    <m/>
    <m/>
    <m/>
    <m/>
    <m/>
    <m/>
    <m/>
    <m/>
    <m/>
    <m/>
    <m/>
    <m/>
    <m/>
    <m/>
    <m/>
    <m/>
    <m/>
    <m/>
    <m/>
    <m/>
    <m/>
    <n v="1"/>
    <m/>
    <m/>
    <n v="1"/>
    <m/>
    <m/>
  </r>
  <r>
    <x v="1012"/>
    <n v="2014"/>
    <n v="6"/>
    <x v="46"/>
    <x v="3"/>
    <x v="0"/>
    <n v="4"/>
    <s v="2014_06_047.gif"/>
    <m/>
    <m/>
    <m/>
    <b v="0"/>
    <n v="0"/>
    <x v="1"/>
    <n v="1013"/>
    <s v="Horizontal Projectile Range"/>
    <n v="5694"/>
    <x v="20"/>
    <m/>
    <m/>
    <m/>
    <m/>
    <m/>
    <m/>
    <m/>
    <m/>
    <m/>
    <m/>
    <m/>
    <m/>
    <m/>
    <m/>
    <m/>
    <m/>
    <n v="1"/>
    <m/>
    <m/>
    <m/>
    <m/>
    <m/>
    <m/>
    <m/>
    <m/>
    <m/>
    <m/>
    <m/>
    <m/>
    <m/>
    <m/>
    <m/>
    <m/>
    <m/>
    <m/>
    <m/>
    <m/>
    <m/>
    <m/>
    <m/>
    <m/>
    <m/>
    <m/>
    <m/>
    <m/>
    <m/>
    <m/>
    <m/>
    <m/>
    <m/>
    <m/>
    <m/>
    <m/>
    <m/>
    <m/>
    <m/>
    <m/>
    <m/>
    <m/>
    <m/>
  </r>
  <r>
    <x v="1013"/>
    <n v="2014"/>
    <n v="6"/>
    <x v="47"/>
    <x v="5"/>
    <x v="2"/>
    <n v="2"/>
    <s v="2014_06_048.gif"/>
    <m/>
    <m/>
    <m/>
    <b v="1"/>
    <n v="3"/>
    <x v="1"/>
    <n v="1014"/>
    <s v="Work/Power,Graph Interpretation"/>
    <n v="5695"/>
    <x v="20"/>
    <m/>
    <m/>
    <m/>
    <m/>
    <m/>
    <m/>
    <m/>
    <m/>
    <m/>
    <m/>
    <m/>
    <m/>
    <m/>
    <m/>
    <m/>
    <m/>
    <m/>
    <m/>
    <m/>
    <m/>
    <m/>
    <m/>
    <m/>
    <m/>
    <m/>
    <m/>
    <m/>
    <m/>
    <m/>
    <m/>
    <m/>
    <m/>
    <m/>
    <m/>
    <m/>
    <n v="1"/>
    <m/>
    <m/>
    <m/>
    <m/>
    <m/>
    <m/>
    <m/>
    <m/>
    <m/>
    <m/>
    <m/>
    <m/>
    <m/>
    <m/>
    <m/>
    <m/>
    <m/>
    <m/>
    <m/>
    <m/>
    <m/>
    <n v="1"/>
    <m/>
    <m/>
  </r>
  <r>
    <x v="1014"/>
    <n v="2014"/>
    <n v="6"/>
    <x v="48"/>
    <x v="9"/>
    <x v="0"/>
    <n v="2"/>
    <s v="2014_06_049.gif"/>
    <m/>
    <m/>
    <m/>
    <b v="0"/>
    <n v="0"/>
    <x v="1"/>
    <n v="1015"/>
    <s v="Refraction and Snell's Law"/>
    <n v="5696"/>
    <x v="20"/>
    <m/>
    <m/>
    <m/>
    <m/>
    <m/>
    <m/>
    <m/>
    <m/>
    <m/>
    <m/>
    <m/>
    <m/>
    <m/>
    <m/>
    <m/>
    <m/>
    <m/>
    <m/>
    <m/>
    <m/>
    <m/>
    <m/>
    <m/>
    <m/>
    <m/>
    <m/>
    <m/>
    <m/>
    <m/>
    <m/>
    <m/>
    <m/>
    <m/>
    <m/>
    <m/>
    <m/>
    <m/>
    <m/>
    <m/>
    <m/>
    <m/>
    <m/>
    <m/>
    <n v="1"/>
    <m/>
    <m/>
    <m/>
    <m/>
    <m/>
    <m/>
    <m/>
    <m/>
    <m/>
    <m/>
    <m/>
    <m/>
    <m/>
    <m/>
    <m/>
    <m/>
  </r>
  <r>
    <x v="1015"/>
    <n v="2014"/>
    <n v="6"/>
    <x v="49"/>
    <x v="8"/>
    <x v="15"/>
    <n v="1"/>
    <s v="2014_06_050.gif"/>
    <m/>
    <m/>
    <m/>
    <b v="0"/>
    <n v="0"/>
    <x v="1"/>
    <n v="1016"/>
    <s v="Work/Power,Graph Interpretation"/>
    <n v="5697"/>
    <x v="20"/>
    <m/>
    <m/>
    <m/>
    <m/>
    <m/>
    <m/>
    <m/>
    <m/>
    <m/>
    <m/>
    <m/>
    <m/>
    <m/>
    <m/>
    <m/>
    <m/>
    <m/>
    <m/>
    <m/>
    <m/>
    <m/>
    <m/>
    <m/>
    <m/>
    <m/>
    <m/>
    <m/>
    <m/>
    <m/>
    <m/>
    <m/>
    <m/>
    <m/>
    <m/>
    <m/>
    <n v="1"/>
    <m/>
    <m/>
    <m/>
    <m/>
    <m/>
    <m/>
    <m/>
    <m/>
    <m/>
    <m/>
    <m/>
    <m/>
    <m/>
    <m/>
    <m/>
    <m/>
    <m/>
    <m/>
    <m/>
    <m/>
    <m/>
    <n v="1"/>
    <m/>
    <m/>
  </r>
  <r>
    <x v="1016"/>
    <n v="2015"/>
    <n v="6"/>
    <x v="0"/>
    <x v="0"/>
    <x v="0"/>
    <m/>
    <s v="2015_06_001.gif"/>
    <m/>
    <m/>
    <m/>
    <b v="0"/>
    <n v="0"/>
    <x v="0"/>
    <n v="1017"/>
    <m/>
    <n v="10"/>
    <x v="21"/>
    <m/>
    <m/>
    <m/>
    <m/>
    <m/>
    <m/>
    <m/>
    <m/>
    <m/>
    <m/>
    <m/>
    <m/>
    <m/>
    <n v="1"/>
    <m/>
    <m/>
    <m/>
    <m/>
    <m/>
    <m/>
    <m/>
    <m/>
    <m/>
    <m/>
    <m/>
    <m/>
    <m/>
    <m/>
    <m/>
    <m/>
    <m/>
    <m/>
    <m/>
    <m/>
    <m/>
    <m/>
    <m/>
    <m/>
    <m/>
    <m/>
    <m/>
    <m/>
    <m/>
    <m/>
    <m/>
    <m/>
    <m/>
    <m/>
    <m/>
    <m/>
    <m/>
    <m/>
    <m/>
    <m/>
    <m/>
    <m/>
    <m/>
    <m/>
    <m/>
    <m/>
  </r>
  <r>
    <x v="1017"/>
    <n v="2015"/>
    <n v="6"/>
    <x v="1"/>
    <x v="2"/>
    <x v="0"/>
    <m/>
    <s v="2015_06_002.gif"/>
    <m/>
    <m/>
    <m/>
    <b v="0"/>
    <n v="0"/>
    <x v="0"/>
    <n v="1018"/>
    <m/>
    <n v="11"/>
    <x v="21"/>
    <m/>
    <m/>
    <m/>
    <m/>
    <m/>
    <m/>
    <m/>
    <m/>
    <m/>
    <m/>
    <n v="1"/>
    <m/>
    <m/>
    <m/>
    <m/>
    <m/>
    <m/>
    <m/>
    <m/>
    <m/>
    <m/>
    <m/>
    <m/>
    <m/>
    <m/>
    <m/>
    <m/>
    <m/>
    <m/>
    <m/>
    <m/>
    <m/>
    <m/>
    <m/>
    <m/>
    <m/>
    <m/>
    <m/>
    <m/>
    <m/>
    <m/>
    <m/>
    <m/>
    <m/>
    <m/>
    <m/>
    <m/>
    <m/>
    <m/>
    <m/>
    <m/>
    <m/>
    <m/>
    <m/>
    <m/>
    <m/>
    <m/>
    <m/>
    <m/>
    <m/>
  </r>
  <r>
    <x v="1018"/>
    <n v="2015"/>
    <n v="6"/>
    <x v="2"/>
    <x v="0"/>
    <x v="0"/>
    <m/>
    <s v="2015_06_003.gif"/>
    <m/>
    <m/>
    <m/>
    <b v="0"/>
    <n v="0"/>
    <x v="0"/>
    <n v="1019"/>
    <m/>
    <n v="12"/>
    <x v="21"/>
    <m/>
    <m/>
    <m/>
    <m/>
    <m/>
    <m/>
    <m/>
    <m/>
    <m/>
    <m/>
    <m/>
    <n v="1"/>
    <m/>
    <m/>
    <m/>
    <m/>
    <m/>
    <m/>
    <m/>
    <m/>
    <m/>
    <m/>
    <m/>
    <m/>
    <m/>
    <m/>
    <m/>
    <m/>
    <m/>
    <m/>
    <m/>
    <m/>
    <m/>
    <m/>
    <m/>
    <m/>
    <m/>
    <m/>
    <m/>
    <m/>
    <m/>
    <m/>
    <m/>
    <m/>
    <m/>
    <m/>
    <m/>
    <m/>
    <m/>
    <m/>
    <m/>
    <m/>
    <m/>
    <m/>
    <m/>
    <m/>
    <m/>
    <m/>
    <m/>
    <m/>
  </r>
  <r>
    <x v="1019"/>
    <n v="2015"/>
    <n v="6"/>
    <x v="3"/>
    <x v="1"/>
    <x v="0"/>
    <m/>
    <s v="2015_06_004.gif"/>
    <m/>
    <m/>
    <m/>
    <b v="0"/>
    <n v="0"/>
    <x v="0"/>
    <n v="1020"/>
    <m/>
    <n v="26"/>
    <x v="21"/>
    <m/>
    <m/>
    <m/>
    <m/>
    <m/>
    <m/>
    <m/>
    <m/>
    <m/>
    <m/>
    <m/>
    <m/>
    <m/>
    <m/>
    <m/>
    <m/>
    <m/>
    <m/>
    <m/>
    <m/>
    <m/>
    <m/>
    <m/>
    <m/>
    <m/>
    <n v="1"/>
    <n v="1"/>
    <m/>
    <m/>
    <m/>
    <m/>
    <m/>
    <m/>
    <m/>
    <m/>
    <m/>
    <m/>
    <m/>
    <m/>
    <m/>
    <m/>
    <m/>
    <m/>
    <m/>
    <m/>
    <m/>
    <m/>
    <m/>
    <m/>
    <m/>
    <m/>
    <m/>
    <m/>
    <m/>
    <m/>
    <m/>
    <m/>
    <m/>
    <m/>
    <m/>
  </r>
  <r>
    <x v="1020"/>
    <n v="2015"/>
    <n v="6"/>
    <x v="4"/>
    <x v="2"/>
    <x v="6"/>
    <m/>
    <s v="2015_06_005.gif"/>
    <m/>
    <m/>
    <m/>
    <b v="0"/>
    <n v="0"/>
    <x v="0"/>
    <n v="1021"/>
    <m/>
    <n v="39"/>
    <x v="21"/>
    <m/>
    <m/>
    <m/>
    <m/>
    <m/>
    <m/>
    <m/>
    <m/>
    <m/>
    <m/>
    <n v="1"/>
    <m/>
    <m/>
    <m/>
    <m/>
    <m/>
    <m/>
    <m/>
    <m/>
    <m/>
    <m/>
    <m/>
    <m/>
    <m/>
    <m/>
    <m/>
    <n v="1"/>
    <m/>
    <m/>
    <m/>
    <m/>
    <m/>
    <m/>
    <m/>
    <m/>
    <m/>
    <m/>
    <m/>
    <m/>
    <m/>
    <m/>
    <m/>
    <m/>
    <m/>
    <m/>
    <m/>
    <m/>
    <m/>
    <m/>
    <m/>
    <m/>
    <m/>
    <m/>
    <m/>
    <m/>
    <m/>
    <m/>
    <m/>
    <m/>
    <m/>
  </r>
  <r>
    <x v="1021"/>
    <n v="2015"/>
    <n v="6"/>
    <x v="5"/>
    <x v="1"/>
    <x v="0"/>
    <m/>
    <s v="2015_06_006.gif"/>
    <m/>
    <m/>
    <m/>
    <b v="0"/>
    <n v="0"/>
    <x v="0"/>
    <n v="1022"/>
    <m/>
    <n v="44"/>
    <x v="21"/>
    <m/>
    <m/>
    <m/>
    <m/>
    <m/>
    <m/>
    <m/>
    <m/>
    <m/>
    <m/>
    <m/>
    <m/>
    <m/>
    <m/>
    <m/>
    <m/>
    <m/>
    <m/>
    <m/>
    <m/>
    <m/>
    <m/>
    <m/>
    <n v="1"/>
    <m/>
    <m/>
    <m/>
    <m/>
    <m/>
    <m/>
    <m/>
    <m/>
    <m/>
    <m/>
    <m/>
    <m/>
    <m/>
    <m/>
    <m/>
    <m/>
    <m/>
    <m/>
    <m/>
    <m/>
    <m/>
    <m/>
    <m/>
    <m/>
    <m/>
    <m/>
    <m/>
    <m/>
    <m/>
    <m/>
    <m/>
    <m/>
    <m/>
    <m/>
    <m/>
    <m/>
  </r>
  <r>
    <x v="1022"/>
    <n v="2015"/>
    <n v="6"/>
    <x v="6"/>
    <x v="4"/>
    <x v="0"/>
    <m/>
    <s v="2015_06_007.gif"/>
    <m/>
    <m/>
    <m/>
    <b v="0"/>
    <n v="0"/>
    <x v="0"/>
    <n v="1023"/>
    <m/>
    <n v="49"/>
    <x v="21"/>
    <m/>
    <m/>
    <m/>
    <m/>
    <m/>
    <m/>
    <m/>
    <m/>
    <m/>
    <m/>
    <m/>
    <m/>
    <m/>
    <m/>
    <m/>
    <m/>
    <m/>
    <m/>
    <m/>
    <m/>
    <m/>
    <m/>
    <m/>
    <m/>
    <m/>
    <m/>
    <m/>
    <m/>
    <m/>
    <n v="1"/>
    <m/>
    <m/>
    <m/>
    <m/>
    <m/>
    <m/>
    <m/>
    <m/>
    <m/>
    <m/>
    <m/>
    <m/>
    <m/>
    <m/>
    <m/>
    <m/>
    <m/>
    <m/>
    <m/>
    <m/>
    <m/>
    <m/>
    <m/>
    <m/>
    <m/>
    <m/>
    <m/>
    <m/>
    <m/>
    <m/>
  </r>
  <r>
    <x v="1023"/>
    <n v="2015"/>
    <n v="6"/>
    <x v="7"/>
    <x v="9"/>
    <x v="0"/>
    <m/>
    <s v="2015_06_008.gif"/>
    <m/>
    <m/>
    <m/>
    <b v="0"/>
    <n v="0"/>
    <x v="0"/>
    <n v="1024"/>
    <m/>
    <n v="57"/>
    <x v="21"/>
    <m/>
    <m/>
    <m/>
    <m/>
    <m/>
    <m/>
    <m/>
    <m/>
    <m/>
    <m/>
    <m/>
    <m/>
    <m/>
    <m/>
    <m/>
    <m/>
    <m/>
    <m/>
    <m/>
    <m/>
    <m/>
    <m/>
    <m/>
    <m/>
    <m/>
    <m/>
    <m/>
    <m/>
    <m/>
    <m/>
    <m/>
    <m/>
    <m/>
    <m/>
    <m/>
    <m/>
    <m/>
    <m/>
    <m/>
    <m/>
    <m/>
    <m/>
    <n v="1"/>
    <m/>
    <m/>
    <m/>
    <m/>
    <m/>
    <m/>
    <m/>
    <m/>
    <m/>
    <m/>
    <m/>
    <m/>
    <m/>
    <m/>
    <m/>
    <m/>
    <m/>
  </r>
  <r>
    <x v="1024"/>
    <n v="2015"/>
    <n v="6"/>
    <x v="8"/>
    <x v="4"/>
    <x v="0"/>
    <m/>
    <s v="2015_06_009.gif"/>
    <m/>
    <m/>
    <m/>
    <b v="0"/>
    <n v="0"/>
    <x v="0"/>
    <n v="1025"/>
    <m/>
    <n v="71"/>
    <x v="21"/>
    <m/>
    <m/>
    <m/>
    <m/>
    <m/>
    <m/>
    <m/>
    <m/>
    <m/>
    <m/>
    <m/>
    <m/>
    <m/>
    <m/>
    <m/>
    <m/>
    <m/>
    <m/>
    <m/>
    <m/>
    <m/>
    <m/>
    <m/>
    <m/>
    <m/>
    <m/>
    <m/>
    <m/>
    <m/>
    <m/>
    <n v="1"/>
    <m/>
    <m/>
    <m/>
    <m/>
    <m/>
    <m/>
    <m/>
    <m/>
    <m/>
    <m/>
    <m/>
    <m/>
    <m/>
    <m/>
    <m/>
    <m/>
    <m/>
    <m/>
    <m/>
    <m/>
    <m/>
    <m/>
    <m/>
    <m/>
    <m/>
    <m/>
    <m/>
    <m/>
    <m/>
  </r>
  <r>
    <x v="1025"/>
    <n v="2015"/>
    <n v="6"/>
    <x v="9"/>
    <x v="4"/>
    <x v="0"/>
    <m/>
    <s v="2015_06_010.gif"/>
    <m/>
    <m/>
    <m/>
    <b v="0"/>
    <n v="0"/>
    <x v="0"/>
    <n v="1026"/>
    <m/>
    <n v="75"/>
    <x v="21"/>
    <m/>
    <m/>
    <m/>
    <m/>
    <m/>
    <m/>
    <m/>
    <m/>
    <m/>
    <m/>
    <m/>
    <m/>
    <m/>
    <m/>
    <m/>
    <m/>
    <m/>
    <m/>
    <m/>
    <m/>
    <m/>
    <m/>
    <m/>
    <m/>
    <m/>
    <m/>
    <m/>
    <m/>
    <n v="1"/>
    <m/>
    <m/>
    <m/>
    <m/>
    <m/>
    <m/>
    <m/>
    <m/>
    <m/>
    <m/>
    <m/>
    <m/>
    <m/>
    <m/>
    <m/>
    <m/>
    <m/>
    <m/>
    <m/>
    <m/>
    <m/>
    <m/>
    <m/>
    <m/>
    <m/>
    <m/>
    <m/>
    <m/>
    <m/>
    <m/>
    <m/>
  </r>
  <r>
    <x v="1026"/>
    <n v="2015"/>
    <n v="6"/>
    <x v="10"/>
    <x v="1"/>
    <x v="0"/>
    <m/>
    <s v="2015_06_011.gif"/>
    <m/>
    <m/>
    <m/>
    <b v="0"/>
    <n v="0"/>
    <x v="0"/>
    <n v="1027"/>
    <m/>
    <n v="85"/>
    <x v="21"/>
    <m/>
    <m/>
    <m/>
    <m/>
    <m/>
    <m/>
    <m/>
    <m/>
    <m/>
    <m/>
    <m/>
    <m/>
    <m/>
    <m/>
    <m/>
    <m/>
    <m/>
    <m/>
    <m/>
    <m/>
    <m/>
    <m/>
    <m/>
    <m/>
    <n v="1"/>
    <m/>
    <m/>
    <m/>
    <m/>
    <m/>
    <m/>
    <m/>
    <m/>
    <m/>
    <m/>
    <m/>
    <m/>
    <m/>
    <m/>
    <m/>
    <m/>
    <m/>
    <m/>
    <m/>
    <m/>
    <m/>
    <m/>
    <m/>
    <m/>
    <m/>
    <m/>
    <m/>
    <m/>
    <m/>
    <m/>
    <m/>
    <m/>
    <m/>
    <m/>
    <m/>
  </r>
  <r>
    <x v="1027"/>
    <n v="2015"/>
    <n v="6"/>
    <x v="11"/>
    <x v="6"/>
    <x v="2"/>
    <m/>
    <s v="2015_06_012.gif"/>
    <m/>
    <m/>
    <m/>
    <b v="0"/>
    <n v="0"/>
    <x v="0"/>
    <n v="1028"/>
    <m/>
    <n v="97"/>
    <x v="21"/>
    <m/>
    <m/>
    <m/>
    <m/>
    <m/>
    <m/>
    <m/>
    <m/>
    <m/>
    <m/>
    <m/>
    <m/>
    <m/>
    <m/>
    <m/>
    <m/>
    <m/>
    <m/>
    <m/>
    <m/>
    <m/>
    <m/>
    <m/>
    <m/>
    <m/>
    <m/>
    <m/>
    <m/>
    <m/>
    <m/>
    <m/>
    <m/>
    <m/>
    <m/>
    <m/>
    <m/>
    <m/>
    <m/>
    <m/>
    <m/>
    <m/>
    <m/>
    <m/>
    <m/>
    <m/>
    <n v="1"/>
    <m/>
    <m/>
    <m/>
    <m/>
    <m/>
    <m/>
    <m/>
    <m/>
    <m/>
    <m/>
    <m/>
    <m/>
    <n v="1"/>
    <m/>
  </r>
  <r>
    <x v="1028"/>
    <n v="2015"/>
    <n v="6"/>
    <x v="12"/>
    <x v="8"/>
    <x v="0"/>
    <m/>
    <s v="2015_06_013.gif"/>
    <m/>
    <m/>
    <m/>
    <b v="0"/>
    <n v="0"/>
    <x v="0"/>
    <n v="1029"/>
    <m/>
    <n v="114"/>
    <x v="21"/>
    <m/>
    <m/>
    <m/>
    <m/>
    <m/>
    <m/>
    <m/>
    <m/>
    <m/>
    <m/>
    <m/>
    <m/>
    <m/>
    <m/>
    <m/>
    <m/>
    <m/>
    <m/>
    <m/>
    <m/>
    <m/>
    <m/>
    <m/>
    <m/>
    <m/>
    <m/>
    <m/>
    <m/>
    <m/>
    <m/>
    <m/>
    <m/>
    <m/>
    <m/>
    <m/>
    <m/>
    <m/>
    <m/>
    <m/>
    <m/>
    <m/>
    <m/>
    <m/>
    <m/>
    <m/>
    <m/>
    <m/>
    <m/>
    <m/>
    <m/>
    <n v="1"/>
    <m/>
    <m/>
    <m/>
    <m/>
    <m/>
    <m/>
    <m/>
    <m/>
    <m/>
  </r>
  <r>
    <x v="1029"/>
    <n v="2015"/>
    <n v="6"/>
    <x v="13"/>
    <x v="5"/>
    <x v="0"/>
    <m/>
    <s v="2015_06_014.gif"/>
    <m/>
    <m/>
    <m/>
    <b v="0"/>
    <n v="0"/>
    <x v="0"/>
    <n v="1030"/>
    <m/>
    <n v="115"/>
    <x v="21"/>
    <m/>
    <m/>
    <m/>
    <m/>
    <m/>
    <m/>
    <m/>
    <m/>
    <m/>
    <m/>
    <m/>
    <m/>
    <m/>
    <m/>
    <m/>
    <m/>
    <m/>
    <m/>
    <m/>
    <m/>
    <m/>
    <m/>
    <m/>
    <m/>
    <m/>
    <m/>
    <m/>
    <m/>
    <m/>
    <m/>
    <m/>
    <n v="1"/>
    <m/>
    <m/>
    <m/>
    <m/>
    <m/>
    <m/>
    <m/>
    <m/>
    <m/>
    <m/>
    <m/>
    <m/>
    <m/>
    <m/>
    <m/>
    <m/>
    <m/>
    <m/>
    <m/>
    <m/>
    <m/>
    <m/>
    <m/>
    <m/>
    <m/>
    <m/>
    <m/>
    <m/>
  </r>
  <r>
    <x v="1030"/>
    <n v="2015"/>
    <n v="6"/>
    <x v="14"/>
    <x v="5"/>
    <x v="0"/>
    <m/>
    <s v="2015_06_015.gif"/>
    <m/>
    <m/>
    <m/>
    <b v="0"/>
    <n v="0"/>
    <x v="0"/>
    <n v="1031"/>
    <m/>
    <n v="116"/>
    <x v="21"/>
    <m/>
    <m/>
    <m/>
    <m/>
    <m/>
    <m/>
    <m/>
    <m/>
    <m/>
    <m/>
    <m/>
    <m/>
    <m/>
    <m/>
    <m/>
    <m/>
    <m/>
    <m/>
    <m/>
    <m/>
    <m/>
    <m/>
    <m/>
    <m/>
    <m/>
    <m/>
    <m/>
    <m/>
    <m/>
    <m/>
    <m/>
    <n v="1"/>
    <m/>
    <m/>
    <m/>
    <m/>
    <m/>
    <m/>
    <m/>
    <m/>
    <m/>
    <m/>
    <m/>
    <m/>
    <m/>
    <m/>
    <m/>
    <m/>
    <m/>
    <m/>
    <m/>
    <m/>
    <m/>
    <m/>
    <m/>
    <m/>
    <m/>
    <m/>
    <m/>
    <m/>
  </r>
  <r>
    <x v="1031"/>
    <n v="2015"/>
    <n v="6"/>
    <x v="15"/>
    <x v="8"/>
    <x v="13"/>
    <m/>
    <s v="2015_06_016.gif"/>
    <m/>
    <m/>
    <m/>
    <b v="0"/>
    <n v="0"/>
    <x v="0"/>
    <n v="1032"/>
    <m/>
    <n v="121"/>
    <x v="21"/>
    <m/>
    <m/>
    <m/>
    <m/>
    <m/>
    <m/>
    <m/>
    <m/>
    <m/>
    <m/>
    <m/>
    <m/>
    <m/>
    <m/>
    <m/>
    <m/>
    <m/>
    <m/>
    <m/>
    <m/>
    <m/>
    <m/>
    <m/>
    <m/>
    <m/>
    <m/>
    <m/>
    <m/>
    <m/>
    <m/>
    <m/>
    <m/>
    <m/>
    <m/>
    <m/>
    <m/>
    <m/>
    <m/>
    <m/>
    <m/>
    <m/>
    <m/>
    <m/>
    <m/>
    <m/>
    <m/>
    <m/>
    <n v="1"/>
    <m/>
    <m/>
    <m/>
    <m/>
    <m/>
    <m/>
    <m/>
    <m/>
    <m/>
    <m/>
    <m/>
    <m/>
  </r>
  <r>
    <x v="1032"/>
    <n v="2015"/>
    <n v="6"/>
    <x v="16"/>
    <x v="8"/>
    <x v="0"/>
    <m/>
    <s v="2015_06_017.gif"/>
    <m/>
    <m/>
    <m/>
    <b v="0"/>
    <n v="0"/>
    <x v="0"/>
    <n v="1033"/>
    <m/>
    <n v="122"/>
    <x v="21"/>
    <m/>
    <m/>
    <m/>
    <m/>
    <m/>
    <m/>
    <m/>
    <m/>
    <m/>
    <m/>
    <m/>
    <m/>
    <m/>
    <m/>
    <m/>
    <m/>
    <m/>
    <m/>
    <m/>
    <m/>
    <m/>
    <m/>
    <m/>
    <m/>
    <m/>
    <m/>
    <m/>
    <m/>
    <m/>
    <m/>
    <m/>
    <m/>
    <m/>
    <m/>
    <m/>
    <m/>
    <m/>
    <m/>
    <m/>
    <m/>
    <m/>
    <m/>
    <m/>
    <m/>
    <m/>
    <m/>
    <m/>
    <m/>
    <m/>
    <m/>
    <m/>
    <n v="1"/>
    <m/>
    <m/>
    <m/>
    <m/>
    <m/>
    <m/>
    <m/>
    <m/>
  </r>
  <r>
    <x v="1033"/>
    <n v="2015"/>
    <n v="6"/>
    <x v="17"/>
    <x v="8"/>
    <x v="0"/>
    <m/>
    <s v="2015_06_018.gif"/>
    <m/>
    <m/>
    <m/>
    <b v="0"/>
    <n v="0"/>
    <x v="0"/>
    <n v="1034"/>
    <m/>
    <n v="123"/>
    <x v="21"/>
    <m/>
    <m/>
    <m/>
    <m/>
    <m/>
    <m/>
    <m/>
    <m/>
    <m/>
    <m/>
    <m/>
    <m/>
    <m/>
    <m/>
    <m/>
    <m/>
    <m/>
    <m/>
    <m/>
    <m/>
    <m/>
    <m/>
    <m/>
    <m/>
    <m/>
    <m/>
    <m/>
    <m/>
    <m/>
    <m/>
    <m/>
    <m/>
    <m/>
    <m/>
    <m/>
    <m/>
    <m/>
    <m/>
    <m/>
    <m/>
    <m/>
    <m/>
    <m/>
    <m/>
    <m/>
    <m/>
    <m/>
    <m/>
    <n v="1"/>
    <m/>
    <m/>
    <m/>
    <m/>
    <m/>
    <m/>
    <m/>
    <m/>
    <m/>
    <m/>
    <m/>
  </r>
  <r>
    <x v="1034"/>
    <n v="2015"/>
    <n v="6"/>
    <x v="18"/>
    <x v="8"/>
    <x v="2"/>
    <m/>
    <s v="2015_06_019.gif"/>
    <m/>
    <m/>
    <m/>
    <b v="0"/>
    <n v="0"/>
    <x v="0"/>
    <n v="1035"/>
    <m/>
    <n v="155"/>
    <x v="21"/>
    <m/>
    <m/>
    <m/>
    <m/>
    <m/>
    <m/>
    <m/>
    <m/>
    <m/>
    <m/>
    <m/>
    <m/>
    <m/>
    <m/>
    <m/>
    <m/>
    <m/>
    <m/>
    <m/>
    <m/>
    <m/>
    <m/>
    <m/>
    <m/>
    <m/>
    <m/>
    <m/>
    <m/>
    <m/>
    <m/>
    <m/>
    <m/>
    <m/>
    <m/>
    <m/>
    <m/>
    <m/>
    <m/>
    <m/>
    <m/>
    <m/>
    <m/>
    <m/>
    <m/>
    <m/>
    <m/>
    <m/>
    <m/>
    <m/>
    <m/>
    <m/>
    <m/>
    <n v="1"/>
    <m/>
    <m/>
    <m/>
    <m/>
    <m/>
    <n v="1"/>
    <m/>
  </r>
  <r>
    <x v="1035"/>
    <n v="2015"/>
    <n v="6"/>
    <x v="19"/>
    <x v="9"/>
    <x v="0"/>
    <m/>
    <s v="2015_06_020.gif"/>
    <m/>
    <m/>
    <m/>
    <b v="0"/>
    <n v="0"/>
    <x v="0"/>
    <n v="1036"/>
    <m/>
    <n v="156"/>
    <x v="21"/>
    <m/>
    <m/>
    <m/>
    <m/>
    <m/>
    <m/>
    <m/>
    <m/>
    <m/>
    <m/>
    <m/>
    <m/>
    <m/>
    <m/>
    <m/>
    <m/>
    <m/>
    <m/>
    <m/>
    <m/>
    <m/>
    <m/>
    <m/>
    <m/>
    <m/>
    <m/>
    <m/>
    <m/>
    <m/>
    <m/>
    <m/>
    <m/>
    <m/>
    <m/>
    <m/>
    <m/>
    <m/>
    <m/>
    <m/>
    <m/>
    <m/>
    <m/>
    <n v="1"/>
    <m/>
    <m/>
    <m/>
    <m/>
    <m/>
    <m/>
    <m/>
    <m/>
    <m/>
    <m/>
    <m/>
    <m/>
    <m/>
    <m/>
    <m/>
    <m/>
    <m/>
  </r>
  <r>
    <x v="1036"/>
    <n v="2015"/>
    <n v="6"/>
    <x v="20"/>
    <x v="7"/>
    <x v="0"/>
    <m/>
    <s v="2015_06_021.gif"/>
    <m/>
    <m/>
    <m/>
    <b v="0"/>
    <n v="0"/>
    <x v="0"/>
    <n v="1037"/>
    <m/>
    <n v="157"/>
    <x v="21"/>
    <m/>
    <m/>
    <m/>
    <m/>
    <m/>
    <m/>
    <m/>
    <m/>
    <m/>
    <m/>
    <m/>
    <m/>
    <m/>
    <m/>
    <m/>
    <m/>
    <m/>
    <m/>
    <m/>
    <m/>
    <m/>
    <m/>
    <m/>
    <m/>
    <m/>
    <m/>
    <m/>
    <m/>
    <m/>
    <m/>
    <m/>
    <m/>
    <m/>
    <m/>
    <m/>
    <m/>
    <m/>
    <m/>
    <m/>
    <n v="1"/>
    <m/>
    <m/>
    <m/>
    <m/>
    <m/>
    <m/>
    <m/>
    <m/>
    <m/>
    <m/>
    <m/>
    <m/>
    <m/>
    <m/>
    <m/>
    <m/>
    <m/>
    <m/>
    <m/>
    <m/>
  </r>
  <r>
    <x v="1037"/>
    <n v="2015"/>
    <n v="6"/>
    <x v="21"/>
    <x v="2"/>
    <x v="0"/>
    <m/>
    <s v="2015_06_022.gif"/>
    <m/>
    <m/>
    <m/>
    <b v="0"/>
    <n v="0"/>
    <x v="0"/>
    <n v="1038"/>
    <m/>
    <n v="177"/>
    <x v="21"/>
    <m/>
    <m/>
    <m/>
    <m/>
    <m/>
    <m/>
    <m/>
    <m/>
    <m/>
    <m/>
    <n v="1"/>
    <m/>
    <m/>
    <m/>
    <m/>
    <m/>
    <m/>
    <m/>
    <m/>
    <m/>
    <m/>
    <m/>
    <m/>
    <m/>
    <m/>
    <m/>
    <m/>
    <m/>
    <m/>
    <m/>
    <m/>
    <m/>
    <m/>
    <m/>
    <m/>
    <m/>
    <m/>
    <m/>
    <m/>
    <m/>
    <m/>
    <m/>
    <m/>
    <m/>
    <m/>
    <m/>
    <m/>
    <m/>
    <m/>
    <m/>
    <m/>
    <m/>
    <m/>
    <m/>
    <m/>
    <m/>
    <m/>
    <m/>
    <m/>
    <m/>
  </r>
  <r>
    <x v="1038"/>
    <n v="2015"/>
    <n v="6"/>
    <x v="22"/>
    <x v="9"/>
    <x v="0"/>
    <m/>
    <s v="2015_06_023.gif"/>
    <m/>
    <m/>
    <m/>
    <b v="0"/>
    <n v="0"/>
    <x v="0"/>
    <n v="1039"/>
    <m/>
    <n v="185"/>
    <x v="21"/>
    <m/>
    <m/>
    <m/>
    <m/>
    <m/>
    <m/>
    <m/>
    <m/>
    <m/>
    <m/>
    <m/>
    <m/>
    <m/>
    <m/>
    <m/>
    <m/>
    <m/>
    <m/>
    <m/>
    <m/>
    <m/>
    <m/>
    <m/>
    <m/>
    <m/>
    <m/>
    <m/>
    <m/>
    <m/>
    <m/>
    <m/>
    <m/>
    <m/>
    <m/>
    <m/>
    <m/>
    <m/>
    <m/>
    <m/>
    <m/>
    <m/>
    <m/>
    <n v="1"/>
    <m/>
    <m/>
    <m/>
    <m/>
    <m/>
    <m/>
    <m/>
    <m/>
    <m/>
    <m/>
    <m/>
    <m/>
    <m/>
    <m/>
    <m/>
    <m/>
    <m/>
  </r>
  <r>
    <x v="1039"/>
    <n v="2015"/>
    <n v="6"/>
    <x v="23"/>
    <x v="7"/>
    <x v="0"/>
    <m/>
    <s v="2015_06_024.gif"/>
    <m/>
    <m/>
    <m/>
    <b v="0"/>
    <n v="0"/>
    <x v="0"/>
    <n v="1040"/>
    <m/>
    <n v="192"/>
    <x v="21"/>
    <m/>
    <m/>
    <m/>
    <m/>
    <m/>
    <m/>
    <m/>
    <m/>
    <m/>
    <m/>
    <m/>
    <m/>
    <m/>
    <m/>
    <m/>
    <m/>
    <m/>
    <m/>
    <m/>
    <m/>
    <m/>
    <m/>
    <m/>
    <m/>
    <m/>
    <m/>
    <m/>
    <m/>
    <m/>
    <m/>
    <m/>
    <m/>
    <m/>
    <m/>
    <m/>
    <m/>
    <m/>
    <m/>
    <n v="1"/>
    <m/>
    <m/>
    <m/>
    <m/>
    <m/>
    <m/>
    <m/>
    <m/>
    <m/>
    <m/>
    <m/>
    <m/>
    <m/>
    <m/>
    <m/>
    <m/>
    <m/>
    <m/>
    <m/>
    <m/>
    <m/>
  </r>
  <r>
    <x v="1040"/>
    <n v="2015"/>
    <n v="6"/>
    <x v="24"/>
    <x v="7"/>
    <x v="0"/>
    <m/>
    <s v="2015_06_025.gif"/>
    <m/>
    <m/>
    <m/>
    <b v="0"/>
    <n v="0"/>
    <x v="0"/>
    <n v="1041"/>
    <m/>
    <n v="251"/>
    <x v="21"/>
    <m/>
    <m/>
    <m/>
    <m/>
    <m/>
    <m/>
    <m/>
    <m/>
    <m/>
    <m/>
    <m/>
    <m/>
    <m/>
    <m/>
    <m/>
    <m/>
    <m/>
    <m/>
    <m/>
    <m/>
    <m/>
    <m/>
    <m/>
    <m/>
    <m/>
    <m/>
    <m/>
    <m/>
    <m/>
    <m/>
    <m/>
    <m/>
    <m/>
    <m/>
    <m/>
    <m/>
    <m/>
    <m/>
    <m/>
    <n v="1"/>
    <m/>
    <m/>
    <m/>
    <m/>
    <m/>
    <m/>
    <m/>
    <m/>
    <m/>
    <m/>
    <m/>
    <m/>
    <m/>
    <m/>
    <m/>
    <m/>
    <m/>
    <m/>
    <m/>
    <m/>
  </r>
  <r>
    <x v="1041"/>
    <n v="2015"/>
    <n v="6"/>
    <x v="25"/>
    <x v="7"/>
    <x v="0"/>
    <m/>
    <s v="2015_06_026.gif"/>
    <m/>
    <m/>
    <m/>
    <b v="0"/>
    <n v="0"/>
    <x v="0"/>
    <n v="1042"/>
    <m/>
    <n v="264"/>
    <x v="21"/>
    <m/>
    <m/>
    <m/>
    <m/>
    <m/>
    <m/>
    <m/>
    <m/>
    <m/>
    <m/>
    <m/>
    <m/>
    <m/>
    <m/>
    <m/>
    <m/>
    <m/>
    <m/>
    <m/>
    <m/>
    <m/>
    <m/>
    <m/>
    <m/>
    <m/>
    <m/>
    <m/>
    <m/>
    <m/>
    <m/>
    <m/>
    <m/>
    <m/>
    <m/>
    <m/>
    <m/>
    <m/>
    <m/>
    <m/>
    <n v="1"/>
    <m/>
    <m/>
    <m/>
    <m/>
    <m/>
    <m/>
    <m/>
    <m/>
    <m/>
    <m/>
    <m/>
    <m/>
    <m/>
    <m/>
    <m/>
    <m/>
    <m/>
    <m/>
    <m/>
    <m/>
  </r>
  <r>
    <x v="1042"/>
    <n v="2015"/>
    <n v="6"/>
    <x v="26"/>
    <x v="7"/>
    <x v="0"/>
    <m/>
    <s v="2015_06_027.gif"/>
    <m/>
    <m/>
    <m/>
    <b v="0"/>
    <n v="0"/>
    <x v="0"/>
    <n v="1043"/>
    <m/>
    <n v="267"/>
    <x v="21"/>
    <m/>
    <m/>
    <m/>
    <m/>
    <m/>
    <m/>
    <m/>
    <m/>
    <m/>
    <m/>
    <m/>
    <m/>
    <m/>
    <m/>
    <m/>
    <m/>
    <m/>
    <m/>
    <m/>
    <m/>
    <m/>
    <m/>
    <m/>
    <m/>
    <m/>
    <m/>
    <m/>
    <m/>
    <m/>
    <m/>
    <m/>
    <m/>
    <m/>
    <m/>
    <m/>
    <m/>
    <m/>
    <m/>
    <m/>
    <n v="1"/>
    <m/>
    <m/>
    <m/>
    <m/>
    <m/>
    <m/>
    <m/>
    <m/>
    <m/>
    <m/>
    <m/>
    <m/>
    <m/>
    <m/>
    <m/>
    <m/>
    <m/>
    <m/>
    <m/>
    <m/>
  </r>
  <r>
    <x v="1043"/>
    <n v="2015"/>
    <n v="6"/>
    <x v="27"/>
    <x v="9"/>
    <x v="0"/>
    <m/>
    <s v="2015_06_028.gif"/>
    <m/>
    <m/>
    <m/>
    <b v="0"/>
    <n v="0"/>
    <x v="0"/>
    <n v="1044"/>
    <m/>
    <n v="273"/>
    <x v="21"/>
    <m/>
    <m/>
    <m/>
    <m/>
    <m/>
    <m/>
    <m/>
    <m/>
    <m/>
    <m/>
    <m/>
    <m/>
    <m/>
    <m/>
    <m/>
    <m/>
    <m/>
    <m/>
    <m/>
    <m/>
    <m/>
    <m/>
    <m/>
    <m/>
    <m/>
    <m/>
    <m/>
    <m/>
    <m/>
    <m/>
    <m/>
    <m/>
    <m/>
    <m/>
    <m/>
    <m/>
    <m/>
    <m/>
    <m/>
    <m/>
    <n v="1"/>
    <m/>
    <m/>
    <m/>
    <m/>
    <m/>
    <m/>
    <m/>
    <m/>
    <m/>
    <m/>
    <m/>
    <m/>
    <m/>
    <m/>
    <m/>
    <m/>
    <m/>
    <m/>
    <m/>
  </r>
  <r>
    <x v="1044"/>
    <n v="2015"/>
    <n v="6"/>
    <x v="28"/>
    <x v="10"/>
    <x v="0"/>
    <m/>
    <s v="2015_06_029.gif"/>
    <m/>
    <m/>
    <m/>
    <b v="0"/>
    <n v="0"/>
    <x v="0"/>
    <n v="1045"/>
    <m/>
    <n v="332"/>
    <x v="21"/>
    <m/>
    <m/>
    <m/>
    <m/>
    <m/>
    <m/>
    <m/>
    <m/>
    <m/>
    <m/>
    <m/>
    <m/>
    <m/>
    <m/>
    <m/>
    <m/>
    <m/>
    <m/>
    <m/>
    <m/>
    <m/>
    <m/>
    <m/>
    <m/>
    <m/>
    <m/>
    <m/>
    <m/>
    <m/>
    <m/>
    <m/>
    <m/>
    <m/>
    <m/>
    <m/>
    <m/>
    <m/>
    <m/>
    <m/>
    <m/>
    <m/>
    <m/>
    <m/>
    <m/>
    <m/>
    <m/>
    <m/>
    <m/>
    <m/>
    <m/>
    <m/>
    <m/>
    <m/>
    <m/>
    <n v="1"/>
    <m/>
    <m/>
    <m/>
    <m/>
    <m/>
  </r>
  <r>
    <x v="1045"/>
    <n v="2015"/>
    <n v="6"/>
    <x v="29"/>
    <x v="6"/>
    <x v="0"/>
    <m/>
    <s v="2015_06_030.gif"/>
    <m/>
    <m/>
    <m/>
    <b v="0"/>
    <n v="0"/>
    <x v="0"/>
    <n v="1046"/>
    <m/>
    <n v="334"/>
    <x v="21"/>
    <m/>
    <m/>
    <m/>
    <m/>
    <m/>
    <m/>
    <m/>
    <m/>
    <m/>
    <m/>
    <m/>
    <m/>
    <m/>
    <m/>
    <m/>
    <m/>
    <m/>
    <m/>
    <m/>
    <m/>
    <m/>
    <m/>
    <m/>
    <m/>
    <m/>
    <m/>
    <m/>
    <m/>
    <m/>
    <m/>
    <m/>
    <m/>
    <m/>
    <m/>
    <m/>
    <m/>
    <m/>
    <m/>
    <m/>
    <m/>
    <m/>
    <m/>
    <m/>
    <m/>
    <m/>
    <n v="1"/>
    <m/>
    <m/>
    <m/>
    <m/>
    <m/>
    <m/>
    <m/>
    <m/>
    <m/>
    <m/>
    <m/>
    <m/>
    <m/>
    <m/>
  </r>
  <r>
    <x v="1046"/>
    <n v="2015"/>
    <n v="6"/>
    <x v="30"/>
    <x v="6"/>
    <x v="0"/>
    <m/>
    <s v="2015_06_031.gif"/>
    <m/>
    <m/>
    <m/>
    <b v="0"/>
    <n v="0"/>
    <x v="0"/>
    <n v="1047"/>
    <m/>
    <n v="348"/>
    <x v="21"/>
    <m/>
    <m/>
    <m/>
    <m/>
    <m/>
    <m/>
    <m/>
    <m/>
    <m/>
    <m/>
    <m/>
    <m/>
    <m/>
    <m/>
    <m/>
    <m/>
    <m/>
    <m/>
    <m/>
    <m/>
    <m/>
    <m/>
    <m/>
    <m/>
    <m/>
    <m/>
    <m/>
    <m/>
    <m/>
    <m/>
    <m/>
    <m/>
    <m/>
    <m/>
    <m/>
    <m/>
    <m/>
    <m/>
    <m/>
    <m/>
    <m/>
    <m/>
    <m/>
    <m/>
    <n v="1"/>
    <m/>
    <m/>
    <m/>
    <m/>
    <m/>
    <m/>
    <m/>
    <m/>
    <m/>
    <m/>
    <m/>
    <m/>
    <m/>
    <m/>
    <m/>
  </r>
  <r>
    <x v="1047"/>
    <n v="2015"/>
    <n v="6"/>
    <x v="31"/>
    <x v="9"/>
    <x v="0"/>
    <m/>
    <s v="2015_06_032.gif"/>
    <m/>
    <m/>
    <m/>
    <b v="0"/>
    <n v="0"/>
    <x v="0"/>
    <n v="1048"/>
    <m/>
    <n v="386"/>
    <x v="21"/>
    <m/>
    <m/>
    <m/>
    <m/>
    <m/>
    <m/>
    <m/>
    <m/>
    <m/>
    <m/>
    <m/>
    <m/>
    <m/>
    <m/>
    <m/>
    <m/>
    <m/>
    <m/>
    <m/>
    <m/>
    <m/>
    <m/>
    <m/>
    <m/>
    <m/>
    <m/>
    <m/>
    <m/>
    <m/>
    <m/>
    <m/>
    <m/>
    <m/>
    <m/>
    <m/>
    <m/>
    <m/>
    <m/>
    <m/>
    <m/>
    <m/>
    <n v="1"/>
    <m/>
    <m/>
    <m/>
    <m/>
    <m/>
    <m/>
    <m/>
    <m/>
    <m/>
    <m/>
    <m/>
    <m/>
    <m/>
    <m/>
    <m/>
    <m/>
    <m/>
    <m/>
  </r>
  <r>
    <x v="1048"/>
    <n v="2015"/>
    <n v="6"/>
    <x v="32"/>
    <x v="1"/>
    <x v="0"/>
    <m/>
    <s v="2015_06_033.gif"/>
    <m/>
    <m/>
    <m/>
    <b v="0"/>
    <n v="0"/>
    <x v="0"/>
    <n v="1049"/>
    <m/>
    <n v="407"/>
    <x v="21"/>
    <m/>
    <m/>
    <m/>
    <m/>
    <m/>
    <m/>
    <m/>
    <m/>
    <m/>
    <m/>
    <m/>
    <m/>
    <m/>
    <m/>
    <m/>
    <m/>
    <m/>
    <m/>
    <m/>
    <m/>
    <m/>
    <m/>
    <m/>
    <m/>
    <m/>
    <n v="1"/>
    <m/>
    <m/>
    <m/>
    <m/>
    <m/>
    <m/>
    <m/>
    <m/>
    <m/>
    <m/>
    <m/>
    <m/>
    <m/>
    <m/>
    <m/>
    <m/>
    <m/>
    <m/>
    <m/>
    <m/>
    <m/>
    <m/>
    <m/>
    <m/>
    <m/>
    <m/>
    <m/>
    <m/>
    <m/>
    <m/>
    <m/>
    <m/>
    <m/>
    <m/>
  </r>
  <r>
    <x v="1049"/>
    <n v="2015"/>
    <n v="6"/>
    <x v="33"/>
    <x v="9"/>
    <x v="0"/>
    <m/>
    <s v="2015_06_034.gif"/>
    <m/>
    <m/>
    <m/>
    <b v="0"/>
    <n v="0"/>
    <x v="0"/>
    <n v="1050"/>
    <m/>
    <n v="422"/>
    <x v="21"/>
    <m/>
    <m/>
    <m/>
    <m/>
    <m/>
    <m/>
    <m/>
    <m/>
    <m/>
    <m/>
    <m/>
    <m/>
    <m/>
    <m/>
    <m/>
    <m/>
    <m/>
    <m/>
    <m/>
    <m/>
    <m/>
    <m/>
    <m/>
    <m/>
    <m/>
    <m/>
    <m/>
    <m/>
    <m/>
    <m/>
    <m/>
    <m/>
    <m/>
    <m/>
    <m/>
    <m/>
    <m/>
    <m/>
    <m/>
    <m/>
    <m/>
    <m/>
    <m/>
    <n v="1"/>
    <m/>
    <m/>
    <m/>
    <m/>
    <m/>
    <m/>
    <m/>
    <m/>
    <m/>
    <m/>
    <m/>
    <m/>
    <m/>
    <m/>
    <m/>
    <m/>
  </r>
  <r>
    <x v="1050"/>
    <n v="2015"/>
    <n v="6"/>
    <x v="34"/>
    <x v="7"/>
    <x v="0"/>
    <m/>
    <s v="2015_06_035.gif"/>
    <m/>
    <m/>
    <m/>
    <b v="0"/>
    <n v="0"/>
    <x v="0"/>
    <n v="1051"/>
    <m/>
    <n v="458"/>
    <x v="21"/>
    <m/>
    <m/>
    <m/>
    <m/>
    <m/>
    <m/>
    <m/>
    <m/>
    <m/>
    <m/>
    <m/>
    <m/>
    <m/>
    <m/>
    <m/>
    <m/>
    <m/>
    <m/>
    <m/>
    <m/>
    <m/>
    <m/>
    <m/>
    <m/>
    <m/>
    <m/>
    <m/>
    <m/>
    <m/>
    <m/>
    <m/>
    <m/>
    <m/>
    <m/>
    <m/>
    <m/>
    <m/>
    <n v="1"/>
    <m/>
    <m/>
    <m/>
    <m/>
    <m/>
    <m/>
    <m/>
    <m/>
    <m/>
    <m/>
    <m/>
    <m/>
    <m/>
    <m/>
    <m/>
    <m/>
    <m/>
    <m/>
    <m/>
    <m/>
    <m/>
    <m/>
  </r>
  <r>
    <x v="1051"/>
    <n v="2015"/>
    <n v="6"/>
    <x v="35"/>
    <x v="11"/>
    <x v="0"/>
    <m/>
    <s v="2015_06_036.gif"/>
    <m/>
    <m/>
    <m/>
    <b v="0"/>
    <n v="0"/>
    <x v="1"/>
    <n v="1052"/>
    <m/>
    <n v="463"/>
    <x v="21"/>
    <m/>
    <m/>
    <n v="1"/>
    <m/>
    <m/>
    <m/>
    <m/>
    <m/>
    <m/>
    <m/>
    <m/>
    <m/>
    <m/>
    <m/>
    <m/>
    <m/>
    <m/>
    <m/>
    <m/>
    <m/>
    <m/>
    <m/>
    <m/>
    <m/>
    <m/>
    <m/>
    <m/>
    <m/>
    <m/>
    <m/>
    <m/>
    <m/>
    <m/>
    <m/>
    <m/>
    <m/>
    <m/>
    <m/>
    <m/>
    <m/>
    <m/>
    <m/>
    <m/>
    <m/>
    <m/>
    <m/>
    <m/>
    <m/>
    <m/>
    <m/>
    <m/>
    <m/>
    <m/>
    <m/>
    <m/>
    <m/>
    <m/>
    <m/>
    <m/>
    <m/>
  </r>
  <r>
    <x v="1052"/>
    <n v="2015"/>
    <n v="6"/>
    <x v="36"/>
    <x v="0"/>
    <x v="0"/>
    <m/>
    <s v="2015_06_037.gif"/>
    <m/>
    <m/>
    <m/>
    <b v="0"/>
    <n v="0"/>
    <x v="1"/>
    <n v="1053"/>
    <m/>
    <n v="472"/>
    <x v="21"/>
    <m/>
    <m/>
    <m/>
    <m/>
    <m/>
    <m/>
    <m/>
    <m/>
    <m/>
    <m/>
    <m/>
    <m/>
    <n v="1"/>
    <m/>
    <m/>
    <m/>
    <m/>
    <m/>
    <m/>
    <m/>
    <m/>
    <m/>
    <m/>
    <m/>
    <m/>
    <m/>
    <m/>
    <m/>
    <m/>
    <m/>
    <m/>
    <m/>
    <m/>
    <m/>
    <m/>
    <m/>
    <m/>
    <m/>
    <m/>
    <m/>
    <m/>
    <m/>
    <m/>
    <m/>
    <m/>
    <m/>
    <m/>
    <m/>
    <m/>
    <m/>
    <m/>
    <m/>
    <m/>
    <m/>
    <m/>
    <m/>
    <m/>
    <m/>
    <m/>
    <m/>
  </r>
  <r>
    <x v="1053"/>
    <n v="2015"/>
    <n v="6"/>
    <x v="37"/>
    <x v="3"/>
    <x v="0"/>
    <m/>
    <s v="2015_06_038.gif"/>
    <m/>
    <m/>
    <m/>
    <b v="0"/>
    <n v="0"/>
    <x v="1"/>
    <n v="1054"/>
    <m/>
    <n v="489"/>
    <x v="21"/>
    <m/>
    <m/>
    <m/>
    <m/>
    <m/>
    <m/>
    <m/>
    <m/>
    <m/>
    <m/>
    <m/>
    <m/>
    <m/>
    <m/>
    <m/>
    <n v="1"/>
    <m/>
    <m/>
    <m/>
    <m/>
    <m/>
    <m/>
    <m/>
    <m/>
    <m/>
    <m/>
    <m/>
    <m/>
    <m/>
    <m/>
    <m/>
    <m/>
    <m/>
    <m/>
    <m/>
    <m/>
    <m/>
    <m/>
    <m/>
    <m/>
    <m/>
    <m/>
    <m/>
    <m/>
    <m/>
    <m/>
    <m/>
    <m/>
    <m/>
    <m/>
    <m/>
    <m/>
    <m/>
    <m/>
    <m/>
    <m/>
    <m/>
    <m/>
    <m/>
    <m/>
  </r>
  <r>
    <x v="1054"/>
    <n v="2015"/>
    <n v="6"/>
    <x v="38"/>
    <x v="2"/>
    <x v="0"/>
    <m/>
    <s v="2015_06_039.gif"/>
    <m/>
    <m/>
    <m/>
    <b v="0"/>
    <n v="0"/>
    <x v="1"/>
    <n v="1055"/>
    <m/>
    <n v="510"/>
    <x v="21"/>
    <m/>
    <m/>
    <m/>
    <m/>
    <m/>
    <m/>
    <m/>
    <n v="1"/>
    <m/>
    <m/>
    <m/>
    <m/>
    <m/>
    <m/>
    <m/>
    <m/>
    <m/>
    <m/>
    <m/>
    <m/>
    <m/>
    <m/>
    <m/>
    <m/>
    <m/>
    <m/>
    <m/>
    <m/>
    <m/>
    <m/>
    <m/>
    <m/>
    <m/>
    <m/>
    <m/>
    <m/>
    <m/>
    <m/>
    <m/>
    <m/>
    <m/>
    <m/>
    <m/>
    <m/>
    <m/>
    <m/>
    <m/>
    <m/>
    <m/>
    <m/>
    <m/>
    <m/>
    <m/>
    <m/>
    <m/>
    <m/>
    <m/>
    <m/>
    <m/>
    <m/>
  </r>
  <r>
    <x v="1055"/>
    <n v="2015"/>
    <n v="6"/>
    <x v="39"/>
    <x v="2"/>
    <x v="0"/>
    <m/>
    <s v="2015_06_040.gif"/>
    <m/>
    <m/>
    <m/>
    <b v="0"/>
    <n v="0"/>
    <x v="1"/>
    <n v="1056"/>
    <m/>
    <n v="511"/>
    <x v="21"/>
    <m/>
    <m/>
    <m/>
    <m/>
    <m/>
    <m/>
    <m/>
    <m/>
    <m/>
    <n v="1"/>
    <m/>
    <m/>
    <m/>
    <m/>
    <m/>
    <m/>
    <m/>
    <m/>
    <m/>
    <m/>
    <m/>
    <m/>
    <m/>
    <m/>
    <m/>
    <m/>
    <m/>
    <m/>
    <m/>
    <m/>
    <m/>
    <m/>
    <m/>
    <m/>
    <m/>
    <m/>
    <m/>
    <m/>
    <m/>
    <m/>
    <m/>
    <m/>
    <m/>
    <m/>
    <m/>
    <m/>
    <m/>
    <m/>
    <m/>
    <m/>
    <m/>
    <m/>
    <m/>
    <m/>
    <m/>
    <m/>
    <m/>
    <m/>
    <m/>
    <m/>
  </r>
  <r>
    <x v="1056"/>
    <n v="2015"/>
    <n v="6"/>
    <x v="40"/>
    <x v="1"/>
    <x v="0"/>
    <m/>
    <s v="2015_06_041.gif"/>
    <m/>
    <m/>
    <m/>
    <b v="0"/>
    <n v="0"/>
    <x v="1"/>
    <n v="1057"/>
    <m/>
    <n v="551"/>
    <x v="21"/>
    <m/>
    <m/>
    <m/>
    <m/>
    <m/>
    <m/>
    <m/>
    <m/>
    <m/>
    <m/>
    <m/>
    <m/>
    <m/>
    <m/>
    <m/>
    <m/>
    <m/>
    <m/>
    <m/>
    <m/>
    <m/>
    <m/>
    <m/>
    <m/>
    <m/>
    <m/>
    <n v="1"/>
    <m/>
    <m/>
    <m/>
    <m/>
    <m/>
    <m/>
    <m/>
    <m/>
    <m/>
    <m/>
    <m/>
    <m/>
    <m/>
    <m/>
    <m/>
    <m/>
    <m/>
    <m/>
    <m/>
    <m/>
    <m/>
    <m/>
    <m/>
    <m/>
    <m/>
    <m/>
    <m/>
    <m/>
    <m/>
    <m/>
    <m/>
    <m/>
    <m/>
  </r>
  <r>
    <x v="1057"/>
    <n v="2015"/>
    <n v="6"/>
    <x v="41"/>
    <x v="11"/>
    <x v="15"/>
    <m/>
    <s v="2015_06_042.gif"/>
    <m/>
    <m/>
    <m/>
    <b v="0"/>
    <n v="0"/>
    <x v="1"/>
    <n v="1058"/>
    <m/>
    <n v="569"/>
    <x v="21"/>
    <m/>
    <m/>
    <m/>
    <n v="1"/>
    <m/>
    <m/>
    <m/>
    <m/>
    <m/>
    <m/>
    <m/>
    <m/>
    <m/>
    <m/>
    <m/>
    <m/>
    <m/>
    <m/>
    <m/>
    <m/>
    <m/>
    <m/>
    <m/>
    <m/>
    <m/>
    <m/>
    <m/>
    <m/>
    <m/>
    <m/>
    <m/>
    <m/>
    <m/>
    <m/>
    <m/>
    <n v="1"/>
    <m/>
    <m/>
    <m/>
    <m/>
    <m/>
    <m/>
    <m/>
    <m/>
    <m/>
    <m/>
    <m/>
    <m/>
    <m/>
    <m/>
    <m/>
    <m/>
    <m/>
    <m/>
    <m/>
    <m/>
    <m/>
    <m/>
    <m/>
    <m/>
  </r>
  <r>
    <x v="1058"/>
    <n v="2015"/>
    <n v="6"/>
    <x v="42"/>
    <x v="5"/>
    <x v="0"/>
    <m/>
    <s v="2015_06_043.gif"/>
    <m/>
    <m/>
    <m/>
    <b v="0"/>
    <n v="0"/>
    <x v="1"/>
    <n v="1059"/>
    <m/>
    <n v="586"/>
    <x v="21"/>
    <m/>
    <m/>
    <m/>
    <m/>
    <m/>
    <m/>
    <m/>
    <m/>
    <m/>
    <m/>
    <m/>
    <m/>
    <m/>
    <m/>
    <m/>
    <m/>
    <m/>
    <m/>
    <m/>
    <m/>
    <m/>
    <m/>
    <m/>
    <m/>
    <m/>
    <m/>
    <m/>
    <m/>
    <m/>
    <m/>
    <m/>
    <m/>
    <m/>
    <m/>
    <n v="1"/>
    <m/>
    <m/>
    <m/>
    <m/>
    <m/>
    <m/>
    <m/>
    <m/>
    <m/>
    <m/>
    <m/>
    <m/>
    <m/>
    <m/>
    <m/>
    <m/>
    <m/>
    <m/>
    <m/>
    <m/>
    <m/>
    <m/>
    <m/>
    <m/>
    <m/>
  </r>
  <r>
    <x v="1059"/>
    <n v="2015"/>
    <n v="6"/>
    <x v="43"/>
    <x v="5"/>
    <x v="0"/>
    <m/>
    <s v="2015_06_044.gif"/>
    <m/>
    <m/>
    <m/>
    <b v="0"/>
    <n v="0"/>
    <x v="1"/>
    <n v="1060"/>
    <m/>
    <n v="590"/>
    <x v="21"/>
    <m/>
    <m/>
    <m/>
    <m/>
    <m/>
    <m/>
    <m/>
    <m/>
    <m/>
    <m/>
    <m/>
    <m/>
    <m/>
    <m/>
    <m/>
    <m/>
    <m/>
    <m/>
    <m/>
    <m/>
    <m/>
    <m/>
    <m/>
    <m/>
    <m/>
    <m/>
    <m/>
    <m/>
    <m/>
    <m/>
    <m/>
    <m/>
    <m/>
    <m/>
    <m/>
    <n v="1"/>
    <m/>
    <m/>
    <m/>
    <m/>
    <m/>
    <m/>
    <m/>
    <m/>
    <m/>
    <m/>
    <m/>
    <m/>
    <m/>
    <m/>
    <m/>
    <m/>
    <m/>
    <m/>
    <m/>
    <m/>
    <m/>
    <m/>
    <m/>
    <m/>
  </r>
  <r>
    <x v="1060"/>
    <n v="2015"/>
    <n v="6"/>
    <x v="44"/>
    <x v="5"/>
    <x v="0"/>
    <m/>
    <s v="2015_06_045.gif"/>
    <m/>
    <m/>
    <m/>
    <b v="0"/>
    <n v="0"/>
    <x v="1"/>
    <n v="1061"/>
    <m/>
    <n v="596"/>
    <x v="21"/>
    <m/>
    <m/>
    <m/>
    <m/>
    <m/>
    <m/>
    <m/>
    <m/>
    <m/>
    <m/>
    <m/>
    <m/>
    <m/>
    <m/>
    <m/>
    <m/>
    <m/>
    <m/>
    <m/>
    <m/>
    <m/>
    <m/>
    <m/>
    <m/>
    <m/>
    <m/>
    <m/>
    <m/>
    <m/>
    <m/>
    <m/>
    <n v="1"/>
    <m/>
    <m/>
    <n v="1"/>
    <m/>
    <m/>
    <m/>
    <m/>
    <m/>
    <m/>
    <m/>
    <m/>
    <m/>
    <m/>
    <m/>
    <m/>
    <m/>
    <m/>
    <m/>
    <m/>
    <m/>
    <m/>
    <m/>
    <m/>
    <m/>
    <m/>
    <m/>
    <m/>
    <m/>
  </r>
  <r>
    <x v="1061"/>
    <n v="2015"/>
    <n v="6"/>
    <x v="45"/>
    <x v="9"/>
    <x v="0"/>
    <m/>
    <s v="2015_06_046.gif"/>
    <m/>
    <m/>
    <m/>
    <b v="0"/>
    <n v="0"/>
    <x v="1"/>
    <n v="1062"/>
    <m/>
    <n v="619"/>
    <x v="21"/>
    <m/>
    <m/>
    <m/>
    <m/>
    <m/>
    <m/>
    <m/>
    <m/>
    <m/>
    <m/>
    <m/>
    <m/>
    <m/>
    <m/>
    <m/>
    <m/>
    <m/>
    <m/>
    <m/>
    <m/>
    <m/>
    <m/>
    <m/>
    <m/>
    <m/>
    <m/>
    <m/>
    <m/>
    <m/>
    <m/>
    <m/>
    <m/>
    <m/>
    <m/>
    <m/>
    <m/>
    <m/>
    <m/>
    <m/>
    <m/>
    <m/>
    <m/>
    <m/>
    <n v="1"/>
    <m/>
    <m/>
    <m/>
    <m/>
    <m/>
    <m/>
    <m/>
    <m/>
    <m/>
    <m/>
    <m/>
    <m/>
    <m/>
    <m/>
    <m/>
    <m/>
  </r>
  <r>
    <x v="1062"/>
    <n v="2015"/>
    <n v="6"/>
    <x v="46"/>
    <x v="10"/>
    <x v="0"/>
    <m/>
    <s v="2015_06_047.gif"/>
    <m/>
    <m/>
    <m/>
    <b v="0"/>
    <n v="0"/>
    <x v="1"/>
    <n v="1063"/>
    <m/>
    <n v="622"/>
    <x v="21"/>
    <m/>
    <m/>
    <m/>
    <m/>
    <m/>
    <m/>
    <m/>
    <m/>
    <m/>
    <m/>
    <m/>
    <m/>
    <m/>
    <m/>
    <m/>
    <m/>
    <m/>
    <m/>
    <m/>
    <m/>
    <m/>
    <m/>
    <m/>
    <m/>
    <m/>
    <m/>
    <m/>
    <m/>
    <m/>
    <m/>
    <m/>
    <m/>
    <m/>
    <m/>
    <m/>
    <m/>
    <m/>
    <m/>
    <m/>
    <m/>
    <m/>
    <m/>
    <m/>
    <m/>
    <m/>
    <m/>
    <m/>
    <m/>
    <m/>
    <m/>
    <m/>
    <m/>
    <m/>
    <m/>
    <n v="1"/>
    <m/>
    <m/>
    <m/>
    <m/>
    <m/>
  </r>
  <r>
    <x v="1063"/>
    <n v="2015"/>
    <n v="6"/>
    <x v="47"/>
    <x v="14"/>
    <x v="15"/>
    <m/>
    <s v="2015_06_048.gif"/>
    <m/>
    <m/>
    <m/>
    <b v="0"/>
    <n v="0"/>
    <x v="1"/>
    <n v="1064"/>
    <m/>
    <n v="656"/>
    <x v="21"/>
    <m/>
    <m/>
    <m/>
    <m/>
    <m/>
    <m/>
    <m/>
    <m/>
    <m/>
    <m/>
    <m/>
    <m/>
    <m/>
    <m/>
    <m/>
    <m/>
    <m/>
    <m/>
    <m/>
    <m/>
    <m/>
    <m/>
    <m/>
    <m/>
    <m/>
    <m/>
    <m/>
    <m/>
    <m/>
    <m/>
    <m/>
    <m/>
    <m/>
    <m/>
    <m/>
    <n v="1"/>
    <m/>
    <m/>
    <m/>
    <m/>
    <m/>
    <m/>
    <m/>
    <m/>
    <m/>
    <m/>
    <m/>
    <m/>
    <m/>
    <m/>
    <m/>
    <m/>
    <m/>
    <m/>
    <m/>
    <m/>
    <m/>
    <n v="1"/>
    <m/>
    <m/>
  </r>
  <r>
    <x v="1064"/>
    <n v="2015"/>
    <n v="6"/>
    <x v="48"/>
    <x v="7"/>
    <x v="0"/>
    <m/>
    <s v="2015_06_049.gif"/>
    <m/>
    <m/>
    <m/>
    <b v="0"/>
    <n v="0"/>
    <x v="1"/>
    <n v="1065"/>
    <m/>
    <n v="661"/>
    <x v="21"/>
    <m/>
    <m/>
    <m/>
    <m/>
    <m/>
    <m/>
    <m/>
    <m/>
    <m/>
    <m/>
    <m/>
    <m/>
    <m/>
    <m/>
    <m/>
    <m/>
    <m/>
    <m/>
    <m/>
    <m/>
    <m/>
    <m/>
    <m/>
    <m/>
    <m/>
    <m/>
    <m/>
    <m/>
    <m/>
    <m/>
    <m/>
    <m/>
    <m/>
    <m/>
    <m/>
    <m/>
    <m/>
    <m/>
    <m/>
    <n v="1"/>
    <m/>
    <m/>
    <m/>
    <m/>
    <m/>
    <m/>
    <m/>
    <m/>
    <m/>
    <m/>
    <m/>
    <m/>
    <m/>
    <m/>
    <m/>
    <m/>
    <m/>
    <m/>
    <m/>
    <m/>
  </r>
  <r>
    <x v="1065"/>
    <n v="2015"/>
    <n v="6"/>
    <x v="49"/>
    <x v="10"/>
    <x v="0"/>
    <m/>
    <s v="2015_06_050.gif"/>
    <m/>
    <m/>
    <m/>
    <b v="0"/>
    <n v="0"/>
    <x v="1"/>
    <n v="1066"/>
    <m/>
    <n v="669"/>
    <x v="21"/>
    <m/>
    <m/>
    <m/>
    <m/>
    <m/>
    <m/>
    <m/>
    <m/>
    <m/>
    <m/>
    <m/>
    <m/>
    <m/>
    <m/>
    <m/>
    <m/>
    <m/>
    <m/>
    <m/>
    <m/>
    <m/>
    <m/>
    <m/>
    <m/>
    <m/>
    <m/>
    <m/>
    <m/>
    <m/>
    <m/>
    <m/>
    <m/>
    <m/>
    <m/>
    <m/>
    <m/>
    <m/>
    <m/>
    <m/>
    <m/>
    <m/>
    <m/>
    <m/>
    <m/>
    <m/>
    <m/>
    <m/>
    <m/>
    <m/>
    <m/>
    <m/>
    <m/>
    <m/>
    <m/>
    <m/>
    <m/>
    <n v="1"/>
    <m/>
    <m/>
    <m/>
  </r>
  <r>
    <x v="1066"/>
    <m/>
    <m/>
    <x v="51"/>
    <x v="15"/>
    <x v="0"/>
    <m/>
    <m/>
    <m/>
    <m/>
    <m/>
    <m/>
    <m/>
    <x v="2"/>
    <m/>
    <m/>
    <m/>
    <x v="22"/>
    <m/>
    <m/>
    <m/>
    <m/>
    <m/>
    <m/>
    <m/>
    <m/>
    <m/>
    <m/>
    <m/>
    <m/>
    <m/>
    <m/>
    <m/>
    <m/>
    <m/>
    <m/>
    <m/>
    <m/>
    <m/>
    <m/>
    <m/>
    <m/>
    <m/>
    <m/>
    <m/>
    <m/>
    <m/>
    <m/>
    <m/>
    <m/>
    <m/>
    <m/>
    <m/>
    <m/>
    <m/>
    <m/>
    <m/>
    <m/>
    <m/>
    <m/>
    <m/>
    <m/>
    <m/>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C3:C1372" firstHeaderRow="1" firstDataRow="1" firstDataCol="1"/>
  <pivotFields count="78">
    <pivotField axis="axisRow" showAll="0">
      <items count="10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66"/>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t="default"/>
      </items>
    </pivotField>
    <pivotField showAll="0"/>
    <pivotField showAll="0"/>
    <pivotField showAll="0">
      <items count="5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t="default"/>
      </items>
    </pivotField>
    <pivotField axis="axisRow" showAll="0">
      <items count="17">
        <item x="9"/>
        <item x="8"/>
        <item x="1"/>
        <item x="6"/>
        <item x="7"/>
        <item x="4"/>
        <item x="2"/>
        <item x="13"/>
        <item x="14"/>
        <item x="11"/>
        <item x="12"/>
        <item x="10"/>
        <item x="3"/>
        <item x="0"/>
        <item x="5"/>
        <item x="15"/>
        <item t="default"/>
      </items>
    </pivotField>
    <pivotField showAll="0">
      <items count="18">
        <item x="12"/>
        <item x="7"/>
        <item x="6"/>
        <item x="13"/>
        <item x="5"/>
        <item x="3"/>
        <item x="11"/>
        <item x="4"/>
        <item x="2"/>
        <item x="14"/>
        <item x="10"/>
        <item x="8"/>
        <item x="16"/>
        <item x="9"/>
        <item x="1"/>
        <item x="15"/>
        <item x="0"/>
        <item t="default"/>
      </items>
    </pivotField>
    <pivotField showAll="0"/>
    <pivotField showAll="0" defaultSubtotal="0"/>
    <pivotField showAll="0"/>
    <pivotField showAll="0"/>
    <pivotField showAll="0"/>
    <pivotField showAll="0"/>
    <pivotField showAll="0"/>
    <pivotField showAll="0">
      <items count="4">
        <item x="0"/>
        <item x="1"/>
        <item x="2"/>
        <item t="default"/>
      </items>
    </pivotField>
    <pivotField showAll="0"/>
    <pivotField showAll="0"/>
    <pivotField showAll="0"/>
    <pivotField axis="axisRow" showAll="0">
      <items count="24">
        <item x="0"/>
        <item x="1"/>
        <item x="2"/>
        <item x="3"/>
        <item x="4"/>
        <item x="5"/>
        <item x="6"/>
        <item x="7"/>
        <item x="8"/>
        <item x="9"/>
        <item x="10"/>
        <item x="11"/>
        <item x="12"/>
        <item x="13"/>
        <item x="14"/>
        <item x="15"/>
        <item x="16"/>
        <item x="17"/>
        <item x="18"/>
        <item x="19"/>
        <item x="20"/>
        <item x="22"/>
        <item x="2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3">
    <field x="4"/>
    <field x="17"/>
    <field x="0"/>
  </rowFields>
  <rowItems count="1369">
    <i>
      <x/>
    </i>
    <i r="1">
      <x/>
    </i>
    <i r="2">
      <x v="26"/>
    </i>
    <i r="2">
      <x v="28"/>
    </i>
    <i r="2">
      <x v="34"/>
    </i>
    <i r="2">
      <x v="44"/>
    </i>
    <i r="1">
      <x v="1"/>
    </i>
    <i r="2">
      <x v="62"/>
    </i>
    <i r="2">
      <x v="63"/>
    </i>
    <i r="2">
      <x v="77"/>
    </i>
    <i r="2">
      <x v="86"/>
    </i>
    <i r="1">
      <x v="2"/>
    </i>
    <i r="2">
      <x v="121"/>
    </i>
    <i r="2">
      <x v="123"/>
    </i>
    <i r="2">
      <x v="131"/>
    </i>
    <i r="2">
      <x v="139"/>
    </i>
    <i r="2">
      <x v="140"/>
    </i>
    <i r="1">
      <x v="3"/>
    </i>
    <i r="2">
      <x v="164"/>
    </i>
    <i r="2">
      <x v="166"/>
    </i>
    <i r="2">
      <x v="168"/>
    </i>
    <i r="2">
      <x v="169"/>
    </i>
    <i r="2">
      <x v="171"/>
    </i>
    <i r="2">
      <x v="180"/>
    </i>
    <i r="1">
      <x v="4"/>
    </i>
    <i r="2">
      <x v="214"/>
    </i>
    <i r="2">
      <x v="215"/>
    </i>
    <i r="2">
      <x v="216"/>
    </i>
    <i r="2">
      <x v="217"/>
    </i>
    <i r="2">
      <x v="231"/>
    </i>
    <i r="1">
      <x v="5"/>
    </i>
    <i r="2">
      <x v="263"/>
    </i>
    <i r="2">
      <x v="264"/>
    </i>
    <i r="2">
      <x v="266"/>
    </i>
    <i r="2">
      <x v="267"/>
    </i>
    <i r="2">
      <x v="268"/>
    </i>
    <i r="2">
      <x v="270"/>
    </i>
    <i r="2">
      <x v="275"/>
    </i>
    <i r="1">
      <x v="6"/>
    </i>
    <i r="2">
      <x v="294"/>
    </i>
    <i r="2">
      <x v="297"/>
    </i>
    <i r="2">
      <x v="298"/>
    </i>
    <i r="2">
      <x v="299"/>
    </i>
    <i r="2">
      <x v="301"/>
    </i>
    <i r="2">
      <x v="323"/>
    </i>
    <i r="1">
      <x v="7"/>
    </i>
    <i r="2">
      <x v="355"/>
    </i>
    <i r="2">
      <x v="356"/>
    </i>
    <i r="2">
      <x v="357"/>
    </i>
    <i r="2">
      <x v="360"/>
    </i>
    <i r="1">
      <x v="8"/>
    </i>
    <i r="2">
      <x v="405"/>
    </i>
    <i r="2">
      <x v="406"/>
    </i>
    <i r="2">
      <x v="408"/>
    </i>
    <i r="1">
      <x v="9"/>
    </i>
    <i r="2">
      <x v="441"/>
    </i>
    <i r="2">
      <x v="449"/>
    </i>
    <i r="2">
      <x v="452"/>
    </i>
    <i r="2">
      <x v="453"/>
    </i>
    <i r="2">
      <x v="454"/>
    </i>
    <i r="2">
      <x v="473"/>
    </i>
    <i r="1">
      <x v="10"/>
    </i>
    <i r="2">
      <x v="498"/>
    </i>
    <i r="2">
      <x v="499"/>
    </i>
    <i r="2">
      <x v="501"/>
    </i>
    <i r="2">
      <x v="502"/>
    </i>
    <i r="2">
      <x v="503"/>
    </i>
    <i r="2">
      <x v="523"/>
    </i>
    <i r="1">
      <x v="11"/>
    </i>
    <i r="2">
      <x v="547"/>
    </i>
    <i r="2">
      <x v="551"/>
    </i>
    <i r="2">
      <x v="552"/>
    </i>
    <i r="2">
      <x v="555"/>
    </i>
    <i r="2">
      <x v="557"/>
    </i>
    <i r="1">
      <x v="12"/>
    </i>
    <i r="2">
      <x v="595"/>
    </i>
    <i r="2">
      <x v="599"/>
    </i>
    <i r="2">
      <x v="600"/>
    </i>
    <i r="2">
      <x v="604"/>
    </i>
    <i r="2">
      <x v="606"/>
    </i>
    <i r="2">
      <x v="621"/>
    </i>
    <i r="1">
      <x v="13"/>
    </i>
    <i r="2">
      <x v="647"/>
    </i>
    <i r="2">
      <x v="649"/>
    </i>
    <i r="2">
      <x v="650"/>
    </i>
    <i r="2">
      <x v="653"/>
    </i>
    <i r="1">
      <x v="14"/>
    </i>
    <i r="2">
      <x v="695"/>
    </i>
    <i r="2">
      <x v="696"/>
    </i>
    <i r="2">
      <x v="699"/>
    </i>
    <i r="2">
      <x v="700"/>
    </i>
    <i r="2">
      <x v="702"/>
    </i>
    <i r="2">
      <x v="703"/>
    </i>
    <i r="2">
      <x v="704"/>
    </i>
    <i r="2">
      <x v="718"/>
    </i>
    <i r="1">
      <x v="15"/>
    </i>
    <i r="2">
      <x v="741"/>
    </i>
    <i r="2">
      <x v="744"/>
    </i>
    <i r="2">
      <x v="745"/>
    </i>
    <i r="2">
      <x v="746"/>
    </i>
    <i r="1">
      <x v="16"/>
    </i>
    <i r="2">
      <x v="792"/>
    </i>
    <i r="2">
      <x v="793"/>
    </i>
    <i r="2">
      <x v="795"/>
    </i>
    <i r="2">
      <x v="800"/>
    </i>
    <i r="2">
      <x v="814"/>
    </i>
    <i r="1">
      <x v="17"/>
    </i>
    <i r="2">
      <x v="831"/>
    </i>
    <i r="2">
      <x v="846"/>
    </i>
    <i r="2">
      <x v="848"/>
    </i>
    <i r="2">
      <x v="862"/>
    </i>
    <i r="1">
      <x v="18"/>
    </i>
    <i r="2">
      <x v="889"/>
    </i>
    <i r="2">
      <x v="894"/>
    </i>
    <i r="2">
      <x v="898"/>
    </i>
    <i r="2">
      <x v="900"/>
    </i>
    <i r="1">
      <x v="19"/>
    </i>
    <i r="2">
      <x v="933"/>
    </i>
    <i r="2">
      <x v="934"/>
    </i>
    <i r="2">
      <x v="935"/>
    </i>
    <i r="2">
      <x v="941"/>
    </i>
    <i r="2">
      <x v="964"/>
    </i>
    <i r="1">
      <x v="20"/>
    </i>
    <i r="2">
      <x v="983"/>
    </i>
    <i r="2">
      <x v="991"/>
    </i>
    <i r="2">
      <x v="1006"/>
    </i>
    <i r="2">
      <x v="1014"/>
    </i>
    <i r="1">
      <x v="22"/>
    </i>
    <i r="2">
      <x v="1024"/>
    </i>
    <i r="2">
      <x v="1036"/>
    </i>
    <i r="2">
      <x v="1039"/>
    </i>
    <i r="2">
      <x v="1044"/>
    </i>
    <i r="2">
      <x v="1048"/>
    </i>
    <i r="2">
      <x v="1050"/>
    </i>
    <i r="2">
      <x v="1062"/>
    </i>
    <i>
      <x v="1"/>
    </i>
    <i r="1">
      <x/>
    </i>
    <i r="2">
      <x v="20"/>
    </i>
    <i r="2">
      <x v="21"/>
    </i>
    <i r="2">
      <x v="22"/>
    </i>
    <i r="2">
      <x v="23"/>
    </i>
    <i r="2">
      <x v="31"/>
    </i>
    <i r="2">
      <x v="33"/>
    </i>
    <i r="2">
      <x v="37"/>
    </i>
    <i r="2">
      <x v="40"/>
    </i>
    <i r="1">
      <x v="1"/>
    </i>
    <i r="2">
      <x v="57"/>
    </i>
    <i r="2">
      <x v="58"/>
    </i>
    <i r="2">
      <x v="78"/>
    </i>
    <i r="2">
      <x v="85"/>
    </i>
    <i r="2">
      <x v="87"/>
    </i>
    <i r="2">
      <x v="89"/>
    </i>
    <i r="2">
      <x v="90"/>
    </i>
    <i r="1">
      <x v="2"/>
    </i>
    <i r="2">
      <x v="113"/>
    </i>
    <i r="2">
      <x v="116"/>
    </i>
    <i r="2">
      <x v="117"/>
    </i>
    <i r="2">
      <x v="133"/>
    </i>
    <i r="2">
      <x v="134"/>
    </i>
    <i r="2">
      <x v="138"/>
    </i>
    <i r="1">
      <x v="3"/>
    </i>
    <i r="2">
      <x v="165"/>
    </i>
    <i r="2">
      <x v="181"/>
    </i>
    <i r="2">
      <x v="184"/>
    </i>
    <i r="2">
      <x v="185"/>
    </i>
    <i r="1">
      <x v="4"/>
    </i>
    <i r="2">
      <x v="203"/>
    </i>
    <i r="2">
      <x v="209"/>
    </i>
    <i r="2">
      <x v="211"/>
    </i>
    <i r="2">
      <x v="232"/>
    </i>
    <i r="2">
      <x v="233"/>
    </i>
    <i r="2">
      <x v="234"/>
    </i>
    <i r="1">
      <x v="5"/>
    </i>
    <i r="2">
      <x v="255"/>
    </i>
    <i r="2">
      <x v="258"/>
    </i>
    <i r="2">
      <x v="259"/>
    </i>
    <i r="2">
      <x v="278"/>
    </i>
    <i r="2">
      <x v="279"/>
    </i>
    <i r="2">
      <x v="280"/>
    </i>
    <i r="2">
      <x v="282"/>
    </i>
    <i r="1">
      <x v="6"/>
    </i>
    <i r="2">
      <x v="308"/>
    </i>
    <i r="2">
      <x v="309"/>
    </i>
    <i r="2">
      <x v="310"/>
    </i>
    <i r="2">
      <x v="311"/>
    </i>
    <i r="2">
      <x v="312"/>
    </i>
    <i r="2">
      <x v="313"/>
    </i>
    <i r="2">
      <x v="324"/>
    </i>
    <i r="2">
      <x v="329"/>
    </i>
    <i r="1">
      <x v="7"/>
    </i>
    <i r="2">
      <x v="349"/>
    </i>
    <i r="2">
      <x v="350"/>
    </i>
    <i r="2">
      <x v="351"/>
    </i>
    <i r="2">
      <x v="352"/>
    </i>
    <i r="2">
      <x v="353"/>
    </i>
    <i r="2">
      <x v="370"/>
    </i>
    <i r="2">
      <x v="371"/>
    </i>
    <i r="2">
      <x v="374"/>
    </i>
    <i r="1">
      <x v="8"/>
    </i>
    <i r="2">
      <x v="399"/>
    </i>
    <i r="2">
      <x v="400"/>
    </i>
    <i r="2">
      <x v="401"/>
    </i>
    <i r="2">
      <x v="402"/>
    </i>
    <i r="2">
      <x v="403"/>
    </i>
    <i r="2">
      <x v="418"/>
    </i>
    <i r="1">
      <x v="9"/>
    </i>
    <i r="2">
      <x v="442"/>
    </i>
    <i r="2">
      <x v="443"/>
    </i>
    <i r="2">
      <x v="444"/>
    </i>
    <i r="2">
      <x v="445"/>
    </i>
    <i r="2">
      <x v="446"/>
    </i>
    <i r="2">
      <x v="447"/>
    </i>
    <i r="2">
      <x v="448"/>
    </i>
    <i r="2">
      <x v="467"/>
    </i>
    <i r="1">
      <x v="10"/>
    </i>
    <i r="2">
      <x v="492"/>
    </i>
    <i r="2">
      <x v="516"/>
    </i>
    <i r="2">
      <x v="517"/>
    </i>
    <i r="2">
      <x v="518"/>
    </i>
    <i r="1">
      <x v="11"/>
    </i>
    <i r="2">
      <x v="542"/>
    </i>
    <i r="2">
      <x v="543"/>
    </i>
    <i r="2">
      <x v="544"/>
    </i>
    <i r="2">
      <x v="545"/>
    </i>
    <i r="2">
      <x v="546"/>
    </i>
    <i r="1">
      <x v="12"/>
    </i>
    <i r="2">
      <x v="586"/>
    </i>
    <i r="2">
      <x v="589"/>
    </i>
    <i r="2">
      <x v="592"/>
    </i>
    <i r="2">
      <x v="593"/>
    </i>
    <i r="2">
      <x v="594"/>
    </i>
    <i r="2">
      <x v="618"/>
    </i>
    <i r="1">
      <x v="13"/>
    </i>
    <i r="2">
      <x v="641"/>
    </i>
    <i r="2">
      <x v="642"/>
    </i>
    <i r="2">
      <x v="645"/>
    </i>
    <i r="2">
      <x v="667"/>
    </i>
    <i r="2">
      <x v="668"/>
    </i>
    <i r="1">
      <x v="14"/>
    </i>
    <i r="2">
      <x v="687"/>
    </i>
    <i r="2">
      <x v="688"/>
    </i>
    <i r="2">
      <x v="689"/>
    </i>
    <i r="2">
      <x v="690"/>
    </i>
    <i r="2">
      <x v="692"/>
    </i>
    <i r="2">
      <x v="714"/>
    </i>
    <i r="2">
      <x v="715"/>
    </i>
    <i r="2">
      <x v="716"/>
    </i>
    <i r="2">
      <x v="717"/>
    </i>
    <i r="1">
      <x v="15"/>
    </i>
    <i r="2">
      <x v="736"/>
    </i>
    <i r="2">
      <x v="737"/>
    </i>
    <i r="2">
      <x v="738"/>
    </i>
    <i r="2">
      <x v="763"/>
    </i>
    <i r="2">
      <x v="764"/>
    </i>
    <i r="2">
      <x v="765"/>
    </i>
    <i r="1">
      <x v="16"/>
    </i>
    <i r="2">
      <x v="783"/>
    </i>
    <i r="2">
      <x v="785"/>
    </i>
    <i r="2">
      <x v="788"/>
    </i>
    <i r="2">
      <x v="810"/>
    </i>
    <i r="1">
      <x v="17"/>
    </i>
    <i r="2">
      <x v="834"/>
    </i>
    <i r="2">
      <x v="835"/>
    </i>
    <i r="2">
      <x v="837"/>
    </i>
    <i r="2">
      <x v="838"/>
    </i>
    <i r="2">
      <x v="839"/>
    </i>
    <i r="2">
      <x v="859"/>
    </i>
    <i r="1">
      <x v="18"/>
    </i>
    <i r="2">
      <x v="880"/>
    </i>
    <i r="2">
      <x v="885"/>
    </i>
    <i r="2">
      <x v="890"/>
    </i>
    <i r="2">
      <x v="891"/>
    </i>
    <i r="2">
      <x v="906"/>
    </i>
    <i r="2">
      <x v="908"/>
    </i>
    <i r="1">
      <x v="19"/>
    </i>
    <i r="2">
      <x v="945"/>
    </i>
    <i r="2">
      <x v="946"/>
    </i>
    <i r="2">
      <x v="947"/>
    </i>
    <i r="2">
      <x v="957"/>
    </i>
    <i r="1">
      <x v="20"/>
    </i>
    <i r="2">
      <x v="979"/>
    </i>
    <i r="2">
      <x v="987"/>
    </i>
    <i r="2">
      <x v="1015"/>
    </i>
    <i r="1">
      <x v="22"/>
    </i>
    <i r="2">
      <x v="1029"/>
    </i>
    <i r="2">
      <x v="1032"/>
    </i>
    <i r="2">
      <x v="1033"/>
    </i>
    <i r="2">
      <x v="1034"/>
    </i>
    <i r="2">
      <x v="1035"/>
    </i>
    <i>
      <x v="2"/>
    </i>
    <i r="1">
      <x/>
    </i>
    <i r="2">
      <x v="1"/>
    </i>
    <i r="2">
      <x v="6"/>
    </i>
    <i r="2">
      <x v="9"/>
    </i>
    <i r="1">
      <x v="1"/>
    </i>
    <i r="2">
      <x v="45"/>
    </i>
    <i r="2">
      <x v="49"/>
    </i>
    <i r="2">
      <x v="50"/>
    </i>
    <i r="2">
      <x v="70"/>
    </i>
    <i r="2">
      <x v="72"/>
    </i>
    <i r="2">
      <x v="75"/>
    </i>
    <i r="2">
      <x v="81"/>
    </i>
    <i r="1">
      <x v="2"/>
    </i>
    <i r="2">
      <x v="95"/>
    </i>
    <i r="2">
      <x v="96"/>
    </i>
    <i r="2">
      <x v="97"/>
    </i>
    <i r="2">
      <x v="99"/>
    </i>
    <i r="2">
      <x v="103"/>
    </i>
    <i r="2">
      <x v="105"/>
    </i>
    <i r="2">
      <x v="137"/>
    </i>
    <i r="1">
      <x v="3"/>
    </i>
    <i r="2">
      <x v="146"/>
    </i>
    <i r="2">
      <x v="149"/>
    </i>
    <i r="2">
      <x v="150"/>
    </i>
    <i r="2">
      <x v="152"/>
    </i>
    <i r="2">
      <x v="156"/>
    </i>
    <i r="2">
      <x v="188"/>
    </i>
    <i r="1">
      <x v="4"/>
    </i>
    <i r="2">
      <x v="193"/>
    </i>
    <i r="2">
      <x v="198"/>
    </i>
    <i r="2">
      <x v="224"/>
    </i>
    <i r="2">
      <x v="225"/>
    </i>
    <i r="1">
      <x v="5"/>
    </i>
    <i r="2">
      <x v="239"/>
    </i>
    <i r="2">
      <x v="242"/>
    </i>
    <i r="2">
      <x v="244"/>
    </i>
    <i r="2">
      <x v="272"/>
    </i>
    <i r="1">
      <x v="6"/>
    </i>
    <i r="2">
      <x v="287"/>
    </i>
    <i r="2">
      <x v="290"/>
    </i>
    <i r="2">
      <x v="291"/>
    </i>
    <i r="2">
      <x v="328"/>
    </i>
    <i r="1">
      <x v="7"/>
    </i>
    <i r="2">
      <x v="338"/>
    </i>
    <i r="2">
      <x v="339"/>
    </i>
    <i r="2">
      <x v="341"/>
    </i>
    <i r="2">
      <x v="342"/>
    </i>
    <i r="2">
      <x v="343"/>
    </i>
    <i r="2">
      <x v="375"/>
    </i>
    <i r="1">
      <x v="8"/>
    </i>
    <i r="2">
      <x v="383"/>
    </i>
    <i r="2">
      <x v="384"/>
    </i>
    <i r="2">
      <x v="385"/>
    </i>
    <i r="2">
      <x v="386"/>
    </i>
    <i r="2">
      <x v="387"/>
    </i>
    <i r="2">
      <x v="390"/>
    </i>
    <i r="2">
      <x v="420"/>
    </i>
    <i r="1">
      <x v="9"/>
    </i>
    <i r="2">
      <x v="429"/>
    </i>
    <i r="2">
      <x v="461"/>
    </i>
    <i r="2">
      <x v="463"/>
    </i>
    <i r="1">
      <x v="10"/>
    </i>
    <i r="2">
      <x v="484"/>
    </i>
    <i r="2">
      <x v="485"/>
    </i>
    <i r="2">
      <x v="513"/>
    </i>
    <i r="2">
      <x v="514"/>
    </i>
    <i r="1">
      <x v="11"/>
    </i>
    <i r="2">
      <x v="529"/>
    </i>
    <i r="2">
      <x v="533"/>
    </i>
    <i r="2">
      <x v="540"/>
    </i>
    <i r="1">
      <x v="12"/>
    </i>
    <i r="2">
      <x v="577"/>
    </i>
    <i r="2">
      <x v="578"/>
    </i>
    <i r="2">
      <x v="581"/>
    </i>
    <i r="2">
      <x v="612"/>
    </i>
    <i r="1">
      <x v="13"/>
    </i>
    <i r="2">
      <x v="624"/>
    </i>
    <i r="2">
      <x v="629"/>
    </i>
    <i r="2">
      <x v="630"/>
    </i>
    <i r="2">
      <x v="633"/>
    </i>
    <i r="2">
      <x v="637"/>
    </i>
    <i r="2">
      <x v="659"/>
    </i>
    <i r="2">
      <x v="660"/>
    </i>
    <i r="2">
      <x v="661"/>
    </i>
    <i r="1">
      <x v="14"/>
    </i>
    <i r="2">
      <x v="673"/>
    </i>
    <i r="2">
      <x v="674"/>
    </i>
    <i r="2">
      <x v="675"/>
    </i>
    <i r="2">
      <x v="678"/>
    </i>
    <i r="2">
      <x v="683"/>
    </i>
    <i r="2">
      <x v="709"/>
    </i>
    <i r="1">
      <x v="15"/>
    </i>
    <i r="2">
      <x v="727"/>
    </i>
    <i r="2">
      <x v="728"/>
    </i>
    <i r="2">
      <x v="729"/>
    </i>
    <i r="2">
      <x v="730"/>
    </i>
    <i r="2">
      <x v="735"/>
    </i>
    <i r="2">
      <x v="757"/>
    </i>
    <i r="1">
      <x v="16"/>
    </i>
    <i r="2">
      <x v="770"/>
    </i>
    <i r="2">
      <x v="772"/>
    </i>
    <i r="2">
      <x v="774"/>
    </i>
    <i r="2">
      <x v="775"/>
    </i>
    <i r="1">
      <x v="17"/>
    </i>
    <i r="2">
      <x v="827"/>
    </i>
    <i r="2">
      <x v="828"/>
    </i>
    <i r="1">
      <x v="18"/>
    </i>
    <i r="2">
      <x v="870"/>
    </i>
    <i r="2">
      <x v="872"/>
    </i>
    <i r="2">
      <x v="876"/>
    </i>
    <i r="2">
      <x v="877"/>
    </i>
    <i r="2">
      <x v="878"/>
    </i>
    <i r="2">
      <x v="913"/>
    </i>
    <i r="1">
      <x v="19"/>
    </i>
    <i r="2">
      <x v="922"/>
    </i>
    <i r="2">
      <x v="923"/>
    </i>
    <i r="2">
      <x v="924"/>
    </i>
    <i r="2">
      <x v="925"/>
    </i>
    <i r="2">
      <x v="927"/>
    </i>
    <i r="2">
      <x v="928"/>
    </i>
    <i r="2">
      <x v="953"/>
    </i>
    <i r="2">
      <x v="955"/>
    </i>
    <i r="1">
      <x v="20"/>
    </i>
    <i r="2">
      <x v="971"/>
    </i>
    <i r="2">
      <x v="973"/>
    </i>
    <i r="2">
      <x v="981"/>
    </i>
    <i r="2">
      <x v="1009"/>
    </i>
    <i r="1">
      <x v="22"/>
    </i>
    <i r="2">
      <x v="1020"/>
    </i>
    <i r="2">
      <x v="1022"/>
    </i>
    <i r="2">
      <x v="1027"/>
    </i>
    <i r="2">
      <x v="1049"/>
    </i>
    <i r="2">
      <x v="1057"/>
    </i>
    <i>
      <x v="3"/>
    </i>
    <i r="1">
      <x/>
    </i>
    <i r="2">
      <x v="16"/>
    </i>
    <i r="2">
      <x v="17"/>
    </i>
    <i r="2">
      <x v="24"/>
    </i>
    <i r="2">
      <x v="29"/>
    </i>
    <i r="1">
      <x v="1"/>
    </i>
    <i r="2">
      <x v="55"/>
    </i>
    <i r="2">
      <x v="65"/>
    </i>
    <i r="2">
      <x v="66"/>
    </i>
    <i r="2">
      <x v="79"/>
    </i>
    <i r="1">
      <x v="2"/>
    </i>
    <i r="2">
      <x v="108"/>
    </i>
    <i r="2">
      <x v="110"/>
    </i>
    <i r="2">
      <x v="111"/>
    </i>
    <i r="2">
      <x v="112"/>
    </i>
    <i r="2">
      <x v="114"/>
    </i>
    <i r="2">
      <x v="125"/>
    </i>
    <i r="1">
      <x v="3"/>
    </i>
    <i r="2">
      <x v="158"/>
    </i>
    <i r="2">
      <x v="162"/>
    </i>
    <i r="2">
      <x v="163"/>
    </i>
    <i r="2">
      <x v="178"/>
    </i>
    <i r="1">
      <x v="4"/>
    </i>
    <i r="2">
      <x v="197"/>
    </i>
    <i r="2">
      <x v="201"/>
    </i>
    <i r="1">
      <x v="5"/>
    </i>
    <i r="2">
      <x v="253"/>
    </i>
    <i r="2">
      <x v="254"/>
    </i>
    <i r="2">
      <x v="257"/>
    </i>
    <i r="2">
      <x v="281"/>
    </i>
    <i r="1">
      <x v="6"/>
    </i>
    <i r="2">
      <x v="307"/>
    </i>
    <i r="2">
      <x v="314"/>
    </i>
    <i r="2">
      <x v="315"/>
    </i>
    <i r="2">
      <x v="317"/>
    </i>
    <i r="2">
      <x v="322"/>
    </i>
    <i r="1">
      <x v="7"/>
    </i>
    <i r="2">
      <x v="344"/>
    </i>
    <i r="2">
      <x v="361"/>
    </i>
    <i r="2">
      <x v="377"/>
    </i>
    <i r="1">
      <x v="8"/>
    </i>
    <i r="2">
      <x v="410"/>
    </i>
    <i r="1">
      <x v="9"/>
    </i>
    <i r="2">
      <x v="434"/>
    </i>
    <i r="2">
      <x v="466"/>
    </i>
    <i r="2">
      <x v="471"/>
    </i>
    <i r="1">
      <x v="10"/>
    </i>
    <i r="2">
      <x v="490"/>
    </i>
    <i r="2">
      <x v="493"/>
    </i>
    <i r="2">
      <x v="506"/>
    </i>
    <i r="2">
      <x v="508"/>
    </i>
    <i r="1">
      <x v="11"/>
    </i>
    <i r="2">
      <x v="541"/>
    </i>
    <i r="2">
      <x v="558"/>
    </i>
    <i r="2">
      <x v="559"/>
    </i>
    <i r="1">
      <x v="12"/>
    </i>
    <i r="2">
      <x v="615"/>
    </i>
    <i r="2">
      <x v="616"/>
    </i>
    <i r="1">
      <x v="13"/>
    </i>
    <i r="2">
      <x v="644"/>
    </i>
    <i r="1">
      <x v="14"/>
    </i>
    <i r="2">
      <x v="706"/>
    </i>
    <i r="1">
      <x v="15"/>
    </i>
    <i r="2">
      <x v="739"/>
    </i>
    <i r="1">
      <x v="16"/>
    </i>
    <i r="2">
      <x v="786"/>
    </i>
    <i r="2">
      <x v="787"/>
    </i>
    <i r="1">
      <x v="17"/>
    </i>
    <i r="2">
      <x v="830"/>
    </i>
    <i r="2">
      <x v="833"/>
    </i>
    <i r="1">
      <x v="18"/>
    </i>
    <i r="2">
      <x v="869"/>
    </i>
    <i r="2">
      <x v="884"/>
    </i>
    <i r="2">
      <x v="893"/>
    </i>
    <i r="1">
      <x v="19"/>
    </i>
    <i r="2">
      <x v="938"/>
    </i>
    <i r="2">
      <x v="948"/>
    </i>
    <i r="2">
      <x v="956"/>
    </i>
    <i r="2">
      <x v="961"/>
    </i>
    <i r="1">
      <x v="20"/>
    </i>
    <i r="2">
      <x v="977"/>
    </i>
    <i r="2">
      <x v="978"/>
    </i>
    <i r="2">
      <x v="997"/>
    </i>
    <i r="2">
      <x v="998"/>
    </i>
    <i r="2">
      <x v="1002"/>
    </i>
    <i r="1">
      <x v="22"/>
    </i>
    <i r="2">
      <x v="1028"/>
    </i>
    <i r="2">
      <x v="1046"/>
    </i>
    <i r="2">
      <x v="1047"/>
    </i>
    <i>
      <x v="4"/>
    </i>
    <i r="1">
      <x/>
    </i>
    <i r="2">
      <x v="18"/>
    </i>
    <i r="2">
      <x v="25"/>
    </i>
    <i r="2">
      <x v="27"/>
    </i>
    <i r="2">
      <x v="36"/>
    </i>
    <i r="1">
      <x v="1"/>
    </i>
    <i r="2">
      <x v="59"/>
    </i>
    <i r="2">
      <x v="60"/>
    </i>
    <i r="2">
      <x v="61"/>
    </i>
    <i r="2">
      <x v="64"/>
    </i>
    <i r="1">
      <x v="2"/>
    </i>
    <i r="2">
      <x v="115"/>
    </i>
    <i r="2">
      <x v="118"/>
    </i>
    <i r="2">
      <x v="119"/>
    </i>
    <i r="2">
      <x v="120"/>
    </i>
    <i r="2">
      <x v="122"/>
    </i>
    <i r="2">
      <x v="124"/>
    </i>
    <i r="2">
      <x v="141"/>
    </i>
    <i r="1">
      <x v="3"/>
    </i>
    <i r="2">
      <x v="167"/>
    </i>
    <i r="2">
      <x v="170"/>
    </i>
    <i r="2">
      <x v="186"/>
    </i>
    <i r="1">
      <x v="4"/>
    </i>
    <i r="2">
      <x v="210"/>
    </i>
    <i r="2">
      <x v="213"/>
    </i>
    <i r="2">
      <x v="218"/>
    </i>
    <i r="2">
      <x v="220"/>
    </i>
    <i r="2">
      <x v="229"/>
    </i>
    <i r="2">
      <x v="230"/>
    </i>
    <i r="1">
      <x v="5"/>
    </i>
    <i r="2">
      <x v="262"/>
    </i>
    <i r="2">
      <x v="265"/>
    </i>
    <i r="2">
      <x v="269"/>
    </i>
    <i r="2">
      <x v="271"/>
    </i>
    <i r="1">
      <x v="6"/>
    </i>
    <i r="2">
      <x v="292"/>
    </i>
    <i r="2">
      <x v="293"/>
    </i>
    <i r="2">
      <x v="295"/>
    </i>
    <i r="2">
      <x v="296"/>
    </i>
    <i r="2">
      <x v="300"/>
    </i>
    <i r="2">
      <x v="330"/>
    </i>
    <i r="1">
      <x v="7"/>
    </i>
    <i r="2">
      <x v="354"/>
    </i>
    <i r="2">
      <x v="358"/>
    </i>
    <i r="2">
      <x v="359"/>
    </i>
    <i r="2">
      <x v="372"/>
    </i>
    <i r="1">
      <x v="8"/>
    </i>
    <i r="2">
      <x v="407"/>
    </i>
    <i r="2">
      <x v="409"/>
    </i>
    <i r="1">
      <x v="9"/>
    </i>
    <i r="2">
      <x v="451"/>
    </i>
    <i r="2">
      <x v="455"/>
    </i>
    <i r="2">
      <x v="456"/>
    </i>
    <i r="2">
      <x v="457"/>
    </i>
    <i r="2">
      <x v="470"/>
    </i>
    <i r="2">
      <x v="472"/>
    </i>
    <i r="1">
      <x v="10"/>
    </i>
    <i r="2">
      <x v="496"/>
    </i>
    <i r="2">
      <x v="497"/>
    </i>
    <i r="2">
      <x v="500"/>
    </i>
    <i r="2">
      <x v="504"/>
    </i>
    <i r="2">
      <x v="524"/>
    </i>
    <i r="2">
      <x v="525"/>
    </i>
    <i r="1">
      <x v="11"/>
    </i>
    <i r="2">
      <x v="548"/>
    </i>
    <i r="2">
      <x v="549"/>
    </i>
    <i r="2">
      <x v="550"/>
    </i>
    <i r="2">
      <x v="553"/>
    </i>
    <i r="2">
      <x v="554"/>
    </i>
    <i r="2">
      <x v="556"/>
    </i>
    <i r="1">
      <x v="12"/>
    </i>
    <i r="2">
      <x v="596"/>
    </i>
    <i r="2">
      <x v="597"/>
    </i>
    <i r="2">
      <x v="598"/>
    </i>
    <i r="2">
      <x v="601"/>
    </i>
    <i r="2">
      <x v="603"/>
    </i>
    <i r="2">
      <x v="619"/>
    </i>
    <i r="1">
      <x v="13"/>
    </i>
    <i r="2">
      <x v="646"/>
    </i>
    <i r="2">
      <x v="648"/>
    </i>
    <i r="2">
      <x v="651"/>
    </i>
    <i r="2">
      <x v="652"/>
    </i>
    <i r="2">
      <x v="669"/>
    </i>
    <i r="1">
      <x v="14"/>
    </i>
    <i r="2">
      <x v="694"/>
    </i>
    <i r="2">
      <x v="697"/>
    </i>
    <i r="2">
      <x v="701"/>
    </i>
    <i r="1">
      <x v="15"/>
    </i>
    <i r="2">
      <x v="742"/>
    </i>
    <i r="2">
      <x v="743"/>
    </i>
    <i r="2">
      <x v="747"/>
    </i>
    <i r="2">
      <x v="748"/>
    </i>
    <i r="1">
      <x v="16"/>
    </i>
    <i r="2">
      <x v="789"/>
    </i>
    <i r="2">
      <x v="790"/>
    </i>
    <i r="2">
      <x v="791"/>
    </i>
    <i r="2">
      <x v="794"/>
    </i>
    <i r="2">
      <x v="813"/>
    </i>
    <i r="2">
      <x v="815"/>
    </i>
    <i r="1">
      <x v="17"/>
    </i>
    <i r="2">
      <x v="840"/>
    </i>
    <i r="2">
      <x v="841"/>
    </i>
    <i r="2">
      <x v="842"/>
    </i>
    <i r="2">
      <x v="843"/>
    </i>
    <i r="2">
      <x v="844"/>
    </i>
    <i r="2">
      <x v="847"/>
    </i>
    <i r="2">
      <x v="861"/>
    </i>
    <i r="2">
      <x v="863"/>
    </i>
    <i r="2">
      <x v="865"/>
    </i>
    <i r="1">
      <x v="18"/>
    </i>
    <i r="2">
      <x v="886"/>
    </i>
    <i r="2">
      <x v="896"/>
    </i>
    <i r="2">
      <x v="897"/>
    </i>
    <i r="2">
      <x v="899"/>
    </i>
    <i r="2">
      <x v="911"/>
    </i>
    <i r="1">
      <x v="19"/>
    </i>
    <i r="2">
      <x v="931"/>
    </i>
    <i r="2">
      <x v="932"/>
    </i>
    <i r="2">
      <x v="937"/>
    </i>
    <i r="2">
      <x v="939"/>
    </i>
    <i r="2">
      <x v="940"/>
    </i>
    <i r="2">
      <x v="944"/>
    </i>
    <i r="2">
      <x v="963"/>
    </i>
    <i r="1">
      <x v="20"/>
    </i>
    <i r="2">
      <x v="982"/>
    </i>
    <i r="2">
      <x v="985"/>
    </i>
    <i r="2">
      <x v="986"/>
    </i>
    <i r="2">
      <x v="988"/>
    </i>
    <i r="2">
      <x v="989"/>
    </i>
    <i r="2">
      <x v="990"/>
    </i>
    <i r="2">
      <x v="992"/>
    </i>
    <i r="2">
      <x v="999"/>
    </i>
    <i r="2">
      <x v="1000"/>
    </i>
    <i r="1">
      <x v="22"/>
    </i>
    <i r="2">
      <x v="1037"/>
    </i>
    <i r="2">
      <x v="1040"/>
    </i>
    <i r="2">
      <x v="1041"/>
    </i>
    <i r="2">
      <x v="1042"/>
    </i>
    <i r="2">
      <x v="1043"/>
    </i>
    <i r="2">
      <x v="1051"/>
    </i>
    <i r="2">
      <x v="1065"/>
    </i>
    <i>
      <x v="5"/>
    </i>
    <i r="1">
      <x/>
    </i>
    <i r="2">
      <x v="10"/>
    </i>
    <i r="2">
      <x v="11"/>
    </i>
    <i r="2">
      <x v="12"/>
    </i>
    <i r="1">
      <x v="1"/>
    </i>
    <i r="2">
      <x v="71"/>
    </i>
    <i r="2">
      <x v="80"/>
    </i>
    <i r="1">
      <x v="2"/>
    </i>
    <i r="2">
      <x v="98"/>
    </i>
    <i r="2">
      <x v="104"/>
    </i>
    <i r="1">
      <x v="3"/>
    </i>
    <i r="2">
      <x v="153"/>
    </i>
    <i r="2">
      <x v="154"/>
    </i>
    <i r="1">
      <x v="4"/>
    </i>
    <i r="2">
      <x v="199"/>
    </i>
    <i r="2">
      <x v="200"/>
    </i>
    <i r="1">
      <x v="5"/>
    </i>
    <i r="2">
      <x v="245"/>
    </i>
    <i r="2">
      <x v="246"/>
    </i>
    <i r="1">
      <x v="6"/>
    </i>
    <i r="2">
      <x v="286"/>
    </i>
    <i r="2">
      <x v="289"/>
    </i>
    <i r="1">
      <x v="7"/>
    </i>
    <i r="2">
      <x v="331"/>
    </i>
    <i r="2">
      <x v="336"/>
    </i>
    <i r="1">
      <x v="8"/>
    </i>
    <i r="2">
      <x v="382"/>
    </i>
    <i r="2">
      <x v="388"/>
    </i>
    <i r="2">
      <x v="422"/>
    </i>
    <i r="1">
      <x v="9"/>
    </i>
    <i r="2">
      <x v="433"/>
    </i>
    <i r="2">
      <x v="462"/>
    </i>
    <i r="2">
      <x v="464"/>
    </i>
    <i r="1">
      <x v="10"/>
    </i>
    <i r="2">
      <x v="483"/>
    </i>
    <i r="2">
      <x v="486"/>
    </i>
    <i r="2">
      <x v="494"/>
    </i>
    <i r="1">
      <x v="11"/>
    </i>
    <i r="2">
      <x v="535"/>
    </i>
    <i r="2">
      <x v="568"/>
    </i>
    <i r="1">
      <x v="12"/>
    </i>
    <i r="2">
      <x v="583"/>
    </i>
    <i r="2">
      <x v="584"/>
    </i>
    <i r="2">
      <x v="585"/>
    </i>
    <i r="2">
      <x v="611"/>
    </i>
    <i r="2">
      <x v="614"/>
    </i>
    <i r="1">
      <x v="13"/>
    </i>
    <i r="2">
      <x v="635"/>
    </i>
    <i r="2">
      <x v="636"/>
    </i>
    <i r="2">
      <x v="664"/>
    </i>
    <i r="1">
      <x v="15"/>
    </i>
    <i r="2">
      <x v="758"/>
    </i>
    <i r="1">
      <x v="16"/>
    </i>
    <i r="2">
      <x v="769"/>
    </i>
    <i r="2">
      <x v="773"/>
    </i>
    <i r="2">
      <x v="778"/>
    </i>
    <i r="1">
      <x v="17"/>
    </i>
    <i r="2">
      <x v="821"/>
    </i>
    <i r="2">
      <x v="832"/>
    </i>
    <i r="2">
      <x v="853"/>
    </i>
    <i r="1">
      <x v="18"/>
    </i>
    <i r="2">
      <x v="875"/>
    </i>
    <i r="2">
      <x v="883"/>
    </i>
    <i r="2">
      <x v="903"/>
    </i>
    <i r="1">
      <x v="19"/>
    </i>
    <i r="2">
      <x v="926"/>
    </i>
    <i r="2">
      <x v="952"/>
    </i>
    <i r="1">
      <x v="20"/>
    </i>
    <i r="2">
      <x v="970"/>
    </i>
    <i r="2">
      <x v="974"/>
    </i>
    <i r="2">
      <x v="975"/>
    </i>
    <i r="1">
      <x v="22"/>
    </i>
    <i r="2">
      <x v="1023"/>
    </i>
    <i r="2">
      <x v="1025"/>
    </i>
    <i r="2">
      <x v="1026"/>
    </i>
    <i>
      <x v="6"/>
    </i>
    <i r="1">
      <x/>
    </i>
    <i r="2">
      <x v="2"/>
    </i>
    <i r="2">
      <x v="3"/>
    </i>
    <i r="2">
      <x v="35"/>
    </i>
    <i r="1">
      <x v="1"/>
    </i>
    <i r="2">
      <x v="46"/>
    </i>
    <i r="2">
      <x v="47"/>
    </i>
    <i r="2">
      <x v="76"/>
    </i>
    <i r="2">
      <x v="83"/>
    </i>
    <i r="2">
      <x v="84"/>
    </i>
    <i r="1">
      <x v="2"/>
    </i>
    <i r="2">
      <x v="93"/>
    </i>
    <i r="2">
      <x v="94"/>
    </i>
    <i r="2">
      <x v="136"/>
    </i>
    <i r="1">
      <x v="3"/>
    </i>
    <i r="2">
      <x v="144"/>
    </i>
    <i r="2">
      <x v="187"/>
    </i>
    <i r="1">
      <x v="4"/>
    </i>
    <i r="2">
      <x v="189"/>
    </i>
    <i r="2">
      <x v="190"/>
    </i>
    <i r="2">
      <x v="191"/>
    </i>
    <i r="2">
      <x v="192"/>
    </i>
    <i r="1">
      <x v="5"/>
    </i>
    <i r="2">
      <x v="237"/>
    </i>
    <i r="2">
      <x v="243"/>
    </i>
    <i r="1">
      <x v="6"/>
    </i>
    <i r="2">
      <x v="283"/>
    </i>
    <i r="2">
      <x v="284"/>
    </i>
    <i r="2">
      <x v="288"/>
    </i>
    <i r="2">
      <x v="318"/>
    </i>
    <i r="1">
      <x v="7"/>
    </i>
    <i r="2">
      <x v="332"/>
    </i>
    <i r="2">
      <x v="340"/>
    </i>
    <i r="1">
      <x v="8"/>
    </i>
    <i r="2">
      <x v="378"/>
    </i>
    <i r="2">
      <x v="379"/>
    </i>
    <i r="2">
      <x v="389"/>
    </i>
    <i r="2">
      <x v="397"/>
    </i>
    <i r="2">
      <x v="415"/>
    </i>
    <i r="1">
      <x v="9"/>
    </i>
    <i r="2">
      <x v="425"/>
    </i>
    <i r="2">
      <x v="426"/>
    </i>
    <i r="2">
      <x v="450"/>
    </i>
    <i r="2">
      <x v="465"/>
    </i>
    <i r="1">
      <x v="10"/>
    </i>
    <i r="2">
      <x v="478"/>
    </i>
    <i r="2">
      <x v="479"/>
    </i>
    <i r="2">
      <x v="511"/>
    </i>
    <i r="2">
      <x v="512"/>
    </i>
    <i r="1">
      <x v="11"/>
    </i>
    <i r="2">
      <x v="528"/>
    </i>
    <i r="2">
      <x v="532"/>
    </i>
    <i r="2">
      <x v="565"/>
    </i>
    <i r="2">
      <x v="566"/>
    </i>
    <i r="2">
      <x v="567"/>
    </i>
    <i r="1">
      <x v="12"/>
    </i>
    <i r="2">
      <x v="574"/>
    </i>
    <i r="2">
      <x v="575"/>
    </i>
    <i r="1">
      <x v="13"/>
    </i>
    <i r="2">
      <x v="625"/>
    </i>
    <i r="2">
      <x v="626"/>
    </i>
    <i r="2">
      <x v="628"/>
    </i>
    <i r="2">
      <x v="658"/>
    </i>
    <i r="1">
      <x v="14"/>
    </i>
    <i r="2">
      <x v="676"/>
    </i>
    <i r="2">
      <x v="677"/>
    </i>
    <i r="2">
      <x v="710"/>
    </i>
    <i r="1">
      <x v="15"/>
    </i>
    <i r="2">
      <x v="719"/>
    </i>
    <i r="2">
      <x v="722"/>
    </i>
    <i r="2">
      <x v="723"/>
    </i>
    <i r="2">
      <x v="755"/>
    </i>
    <i r="2">
      <x v="756"/>
    </i>
    <i r="1">
      <x v="16"/>
    </i>
    <i r="2">
      <x v="766"/>
    </i>
    <i r="2">
      <x v="767"/>
    </i>
    <i r="2">
      <x v="768"/>
    </i>
    <i r="2">
      <x v="776"/>
    </i>
    <i r="2">
      <x v="807"/>
    </i>
    <i r="2">
      <x v="808"/>
    </i>
    <i r="1">
      <x v="17"/>
    </i>
    <i r="2">
      <x v="817"/>
    </i>
    <i r="2">
      <x v="818"/>
    </i>
    <i r="2">
      <x v="819"/>
    </i>
    <i r="2">
      <x v="852"/>
    </i>
    <i r="1">
      <x v="18"/>
    </i>
    <i r="2">
      <x v="866"/>
    </i>
    <i r="2">
      <x v="867"/>
    </i>
    <i r="2">
      <x v="871"/>
    </i>
    <i r="1">
      <x v="19"/>
    </i>
    <i r="2">
      <x v="918"/>
    </i>
    <i r="2">
      <x v="919"/>
    </i>
    <i r="1">
      <x v="20"/>
    </i>
    <i r="2">
      <x v="967"/>
    </i>
    <i r="2">
      <x v="969"/>
    </i>
    <i r="2">
      <x v="972"/>
    </i>
    <i r="1">
      <x v="22"/>
    </i>
    <i r="2">
      <x v="1018"/>
    </i>
    <i r="2">
      <x v="1021"/>
    </i>
    <i r="2">
      <x v="1038"/>
    </i>
    <i r="2">
      <x v="1055"/>
    </i>
    <i r="2">
      <x v="1056"/>
    </i>
    <i>
      <x v="7"/>
    </i>
    <i r="1">
      <x v="2"/>
    </i>
    <i r="2">
      <x v="135"/>
    </i>
    <i r="1">
      <x v="15"/>
    </i>
    <i r="2">
      <x v="740"/>
    </i>
    <i r="1">
      <x v="16"/>
    </i>
    <i r="2">
      <x v="784"/>
    </i>
    <i r="1">
      <x v="17"/>
    </i>
    <i r="2">
      <x v="860"/>
    </i>
    <i r="1">
      <x v="18"/>
    </i>
    <i r="2">
      <x v="895"/>
    </i>
    <i r="1">
      <x v="19"/>
    </i>
    <i r="2">
      <x v="943"/>
    </i>
    <i r="1">
      <x v="20"/>
    </i>
    <i r="2">
      <x v="976"/>
    </i>
    <i>
      <x v="8"/>
    </i>
    <i r="1">
      <x v="15"/>
    </i>
    <i r="2">
      <x v="752"/>
    </i>
    <i r="1">
      <x v="16"/>
    </i>
    <i r="2">
      <x v="804"/>
    </i>
    <i r="2">
      <x v="806"/>
    </i>
    <i r="2">
      <x v="811"/>
    </i>
    <i r="2">
      <x v="812"/>
    </i>
    <i r="1">
      <x v="17"/>
    </i>
    <i r="2">
      <x v="836"/>
    </i>
    <i r="2">
      <x v="855"/>
    </i>
    <i r="2">
      <x v="856"/>
    </i>
    <i r="2">
      <x v="858"/>
    </i>
    <i r="1">
      <x v="18"/>
    </i>
    <i r="2">
      <x v="912"/>
    </i>
    <i r="2">
      <x v="914"/>
    </i>
    <i r="1">
      <x v="19"/>
    </i>
    <i r="2">
      <x v="958"/>
    </i>
    <i r="2">
      <x v="960"/>
    </i>
    <i r="2">
      <x v="962"/>
    </i>
    <i r="2">
      <x v="965"/>
    </i>
    <i r="1">
      <x v="22"/>
    </i>
    <i r="2">
      <x v="1064"/>
    </i>
    <i>
      <x v="9"/>
    </i>
    <i r="1">
      <x/>
    </i>
    <i r="2">
      <x v="38"/>
    </i>
    <i r="1">
      <x v="1"/>
    </i>
    <i r="2">
      <x v="69"/>
    </i>
    <i r="1">
      <x v="2"/>
    </i>
    <i r="2">
      <x v="126"/>
    </i>
    <i r="2">
      <x v="129"/>
    </i>
    <i r="1">
      <x v="3"/>
    </i>
    <i r="2">
      <x v="179"/>
    </i>
    <i r="1">
      <x v="4"/>
    </i>
    <i r="2">
      <x v="226"/>
    </i>
    <i r="1">
      <x v="5"/>
    </i>
    <i r="2">
      <x v="247"/>
    </i>
    <i r="2">
      <x v="274"/>
    </i>
    <i r="1">
      <x v="6"/>
    </i>
    <i r="2">
      <x v="320"/>
    </i>
    <i r="2">
      <x v="321"/>
    </i>
    <i r="1">
      <x v="7"/>
    </i>
    <i r="2">
      <x v="366"/>
    </i>
    <i r="2">
      <x v="367"/>
    </i>
    <i r="1">
      <x v="8"/>
    </i>
    <i r="2">
      <x v="413"/>
    </i>
    <i r="2">
      <x v="414"/>
    </i>
    <i r="1">
      <x v="9"/>
    </i>
    <i r="2">
      <x v="460"/>
    </i>
    <i r="1">
      <x v="10"/>
    </i>
    <i r="2">
      <x v="522"/>
    </i>
    <i r="1">
      <x v="11"/>
    </i>
    <i r="2">
      <x v="562"/>
    </i>
    <i r="2">
      <x v="563"/>
    </i>
    <i r="1">
      <x v="12"/>
    </i>
    <i r="2">
      <x v="608"/>
    </i>
    <i r="2">
      <x v="609"/>
    </i>
    <i r="1">
      <x v="13"/>
    </i>
    <i r="2">
      <x v="657"/>
    </i>
    <i r="2">
      <x v="665"/>
    </i>
    <i r="1">
      <x v="14"/>
    </i>
    <i r="2">
      <x v="698"/>
    </i>
    <i r="2">
      <x v="708"/>
    </i>
    <i r="1">
      <x v="15"/>
    </i>
    <i r="2">
      <x v="754"/>
    </i>
    <i r="2">
      <x v="761"/>
    </i>
    <i r="1">
      <x v="16"/>
    </i>
    <i r="2">
      <x v="801"/>
    </i>
    <i r="2">
      <x v="802"/>
    </i>
    <i r="1">
      <x v="17"/>
    </i>
    <i r="2">
      <x v="851"/>
    </i>
    <i r="1">
      <x v="18"/>
    </i>
    <i r="2">
      <x v="887"/>
    </i>
    <i r="2">
      <x v="901"/>
    </i>
    <i r="1">
      <x v="19"/>
    </i>
    <i r="2">
      <x v="942"/>
    </i>
    <i r="2">
      <x v="951"/>
    </i>
    <i r="1">
      <x v="20"/>
    </i>
    <i r="2">
      <x v="1001"/>
    </i>
    <i r="2">
      <x v="1004"/>
    </i>
    <i r="1">
      <x v="22"/>
    </i>
    <i r="2">
      <x v="1052"/>
    </i>
    <i r="2">
      <x v="1058"/>
    </i>
    <i>
      <x v="10"/>
    </i>
    <i r="1">
      <x v="1"/>
    </i>
    <i r="2">
      <x v="74"/>
    </i>
    <i r="1">
      <x v="3"/>
    </i>
    <i r="2">
      <x v="155"/>
    </i>
    <i r="1">
      <x v="4"/>
    </i>
    <i r="2">
      <x v="208"/>
    </i>
    <i r="1">
      <x v="5"/>
    </i>
    <i r="2">
      <x v="252"/>
    </i>
    <i r="2">
      <x v="256"/>
    </i>
    <i r="1">
      <x v="7"/>
    </i>
    <i r="2">
      <x v="345"/>
    </i>
    <i r="1">
      <x v="8"/>
    </i>
    <i r="2">
      <x v="404"/>
    </i>
    <i r="1">
      <x v="9"/>
    </i>
    <i r="2">
      <x v="435"/>
    </i>
    <i r="1">
      <x v="10"/>
    </i>
    <i r="2">
      <x v="491"/>
    </i>
    <i r="2">
      <x v="495"/>
    </i>
    <i r="1">
      <x v="12"/>
    </i>
    <i r="2">
      <x v="591"/>
    </i>
    <i r="1">
      <x v="13"/>
    </i>
    <i r="2">
      <x v="643"/>
    </i>
    <i r="1">
      <x v="14"/>
    </i>
    <i r="2">
      <x v="691"/>
    </i>
    <i r="2">
      <x v="693"/>
    </i>
    <i>
      <x v="11"/>
    </i>
    <i r="1">
      <x/>
    </i>
    <i r="2">
      <x v="30"/>
    </i>
    <i r="2">
      <x v="39"/>
    </i>
    <i r="1">
      <x v="1"/>
    </i>
    <i r="2">
      <x v="67"/>
    </i>
    <i r="2">
      <x v="68"/>
    </i>
    <i r="2">
      <x v="88"/>
    </i>
    <i r="2">
      <x v="91"/>
    </i>
    <i r="1">
      <x v="3"/>
    </i>
    <i r="2">
      <x v="172"/>
    </i>
    <i r="2">
      <x v="173"/>
    </i>
    <i r="2">
      <x v="174"/>
    </i>
    <i r="2">
      <x v="175"/>
    </i>
    <i r="2">
      <x v="176"/>
    </i>
    <i r="1">
      <x v="4"/>
    </i>
    <i r="2">
      <x v="219"/>
    </i>
    <i r="2">
      <x v="221"/>
    </i>
    <i r="2">
      <x v="222"/>
    </i>
    <i r="2">
      <x v="223"/>
    </i>
    <i r="2">
      <x v="235"/>
    </i>
    <i r="2">
      <x v="236"/>
    </i>
    <i r="1">
      <x v="5"/>
    </i>
    <i r="2">
      <x v="260"/>
    </i>
    <i r="2">
      <x v="261"/>
    </i>
    <i r="2">
      <x v="276"/>
    </i>
    <i r="2">
      <x v="277"/>
    </i>
    <i r="1">
      <x v="6"/>
    </i>
    <i r="2">
      <x v="316"/>
    </i>
    <i r="2">
      <x v="325"/>
    </i>
    <i r="2">
      <x v="326"/>
    </i>
    <i r="2">
      <x v="327"/>
    </i>
    <i r="1">
      <x v="7"/>
    </i>
    <i r="2">
      <x v="362"/>
    </i>
    <i r="2">
      <x v="363"/>
    </i>
    <i r="2">
      <x v="364"/>
    </i>
    <i r="2">
      <x v="365"/>
    </i>
    <i r="2">
      <x v="373"/>
    </i>
    <i r="1">
      <x v="8"/>
    </i>
    <i r="2">
      <x v="411"/>
    </i>
    <i r="2">
      <x v="412"/>
    </i>
    <i r="2">
      <x v="419"/>
    </i>
    <i r="2">
      <x v="424"/>
    </i>
    <i r="1">
      <x v="9"/>
    </i>
    <i r="2">
      <x v="458"/>
    </i>
    <i r="2">
      <x v="459"/>
    </i>
    <i r="2">
      <x v="474"/>
    </i>
    <i r="2">
      <x v="475"/>
    </i>
    <i r="1">
      <x v="10"/>
    </i>
    <i r="2">
      <x v="505"/>
    </i>
    <i r="2">
      <x v="507"/>
    </i>
    <i r="2">
      <x v="509"/>
    </i>
    <i r="2">
      <x v="510"/>
    </i>
    <i r="2">
      <x v="526"/>
    </i>
    <i r="1">
      <x v="11"/>
    </i>
    <i r="2">
      <x v="560"/>
    </i>
    <i r="2">
      <x v="561"/>
    </i>
    <i r="2">
      <x v="571"/>
    </i>
    <i r="2">
      <x v="572"/>
    </i>
    <i r="1">
      <x v="12"/>
    </i>
    <i r="2">
      <x v="602"/>
    </i>
    <i r="2">
      <x v="605"/>
    </i>
    <i r="2">
      <x v="607"/>
    </i>
    <i r="2">
      <x v="617"/>
    </i>
    <i r="2">
      <x v="620"/>
    </i>
    <i r="1">
      <x v="13"/>
    </i>
    <i r="2">
      <x v="654"/>
    </i>
    <i r="2">
      <x v="655"/>
    </i>
    <i r="2">
      <x v="656"/>
    </i>
    <i r="2">
      <x v="670"/>
    </i>
    <i r="2">
      <x v="671"/>
    </i>
    <i r="2">
      <x v="672"/>
    </i>
    <i r="1">
      <x v="14"/>
    </i>
    <i r="2">
      <x v="705"/>
    </i>
    <i r="2">
      <x v="707"/>
    </i>
    <i r="1">
      <x v="15"/>
    </i>
    <i r="2">
      <x v="749"/>
    </i>
    <i r="2">
      <x v="750"/>
    </i>
    <i r="2">
      <x v="751"/>
    </i>
    <i r="2">
      <x v="753"/>
    </i>
    <i r="2">
      <x v="762"/>
    </i>
    <i r="1">
      <x v="16"/>
    </i>
    <i r="2">
      <x v="796"/>
    </i>
    <i r="2">
      <x v="797"/>
    </i>
    <i r="2">
      <x v="798"/>
    </i>
    <i r="2">
      <x v="799"/>
    </i>
    <i r="1">
      <x v="17"/>
    </i>
    <i r="2">
      <x v="845"/>
    </i>
    <i r="2">
      <x v="849"/>
    </i>
    <i r="2">
      <x v="850"/>
    </i>
    <i r="2">
      <x v="864"/>
    </i>
    <i r="1">
      <x v="18"/>
    </i>
    <i r="2">
      <x v="892"/>
    </i>
    <i r="2">
      <x v="909"/>
    </i>
    <i r="1">
      <x v="19"/>
    </i>
    <i r="2">
      <x v="949"/>
    </i>
    <i r="2">
      <x v="950"/>
    </i>
    <i r="2">
      <x v="959"/>
    </i>
    <i r="1">
      <x v="20"/>
    </i>
    <i r="2">
      <x v="993"/>
    </i>
    <i r="2">
      <x v="994"/>
    </i>
    <i r="2">
      <x v="995"/>
    </i>
    <i r="2">
      <x v="1008"/>
    </i>
    <i r="2">
      <x v="1011"/>
    </i>
    <i r="1">
      <x v="22"/>
    </i>
    <i r="2">
      <x v="1045"/>
    </i>
    <i r="2">
      <x v="1063"/>
    </i>
    <i r="2">
      <x v="1066"/>
    </i>
    <i>
      <x v="12"/>
    </i>
    <i r="1">
      <x/>
    </i>
    <i r="2">
      <x v="4"/>
    </i>
    <i r="2">
      <x v="5"/>
    </i>
    <i r="2">
      <x v="7"/>
    </i>
    <i r="2">
      <x v="8"/>
    </i>
    <i r="1">
      <x v="1"/>
    </i>
    <i r="2">
      <x v="48"/>
    </i>
    <i r="2">
      <x v="82"/>
    </i>
    <i r="1">
      <x v="2"/>
    </i>
    <i r="2">
      <x v="100"/>
    </i>
    <i r="2">
      <x v="101"/>
    </i>
    <i r="1">
      <x v="3"/>
    </i>
    <i r="2">
      <x v="145"/>
    </i>
    <i r="2">
      <x v="147"/>
    </i>
    <i r="2">
      <x v="148"/>
    </i>
    <i r="2">
      <x v="157"/>
    </i>
    <i r="1">
      <x v="4"/>
    </i>
    <i r="2">
      <x v="195"/>
    </i>
    <i r="2">
      <x v="196"/>
    </i>
    <i r="1">
      <x v="5"/>
    </i>
    <i r="2">
      <x v="240"/>
    </i>
    <i r="2">
      <x v="241"/>
    </i>
    <i r="1">
      <x v="6"/>
    </i>
    <i r="2">
      <x v="285"/>
    </i>
    <i r="1">
      <x v="7"/>
    </i>
    <i r="2">
      <x v="335"/>
    </i>
    <i r="2">
      <x v="337"/>
    </i>
    <i r="2">
      <x v="368"/>
    </i>
    <i r="2">
      <x v="376"/>
    </i>
    <i r="1">
      <x v="8"/>
    </i>
    <i r="2">
      <x v="391"/>
    </i>
    <i r="2">
      <x v="417"/>
    </i>
    <i r="1">
      <x v="9"/>
    </i>
    <i r="2">
      <x v="431"/>
    </i>
    <i r="2">
      <x v="432"/>
    </i>
    <i r="2">
      <x v="468"/>
    </i>
    <i r="1">
      <x v="10"/>
    </i>
    <i r="2">
      <x v="480"/>
    </i>
    <i r="2">
      <x v="481"/>
    </i>
    <i r="2">
      <x v="482"/>
    </i>
    <i r="1">
      <x v="11"/>
    </i>
    <i r="2">
      <x v="530"/>
    </i>
    <i r="2">
      <x v="534"/>
    </i>
    <i r="1">
      <x v="12"/>
    </i>
    <i r="2">
      <x v="579"/>
    </i>
    <i r="2">
      <x v="582"/>
    </i>
    <i r="1">
      <x v="13"/>
    </i>
    <i r="2">
      <x v="623"/>
    </i>
    <i r="2">
      <x v="627"/>
    </i>
    <i r="2">
      <x v="631"/>
    </i>
    <i r="2">
      <x v="634"/>
    </i>
    <i r="2">
      <x v="663"/>
    </i>
    <i r="1">
      <x v="14"/>
    </i>
    <i r="2">
      <x v="679"/>
    </i>
    <i r="2">
      <x v="680"/>
    </i>
    <i r="1">
      <x v="15"/>
    </i>
    <i r="2">
      <x v="724"/>
    </i>
    <i r="2">
      <x v="725"/>
    </i>
    <i r="2">
      <x v="726"/>
    </i>
    <i r="1">
      <x v="16"/>
    </i>
    <i r="2">
      <x v="771"/>
    </i>
    <i r="2">
      <x v="777"/>
    </i>
    <i r="2">
      <x v="779"/>
    </i>
    <i r="1">
      <x v="17"/>
    </i>
    <i r="2">
      <x v="820"/>
    </i>
    <i r="2">
      <x v="822"/>
    </i>
    <i r="2">
      <x v="823"/>
    </i>
    <i r="2">
      <x v="826"/>
    </i>
    <i r="1">
      <x v="18"/>
    </i>
    <i r="2">
      <x v="868"/>
    </i>
    <i r="2">
      <x v="873"/>
    </i>
    <i r="2">
      <x v="874"/>
    </i>
    <i r="2">
      <x v="881"/>
    </i>
    <i r="2">
      <x v="902"/>
    </i>
    <i r="2">
      <x v="910"/>
    </i>
    <i r="1">
      <x v="19"/>
    </i>
    <i r="2">
      <x v="920"/>
    </i>
    <i r="2">
      <x v="921"/>
    </i>
    <i r="1">
      <x v="20"/>
    </i>
    <i r="2">
      <x v="1003"/>
    </i>
    <i r="2">
      <x v="1010"/>
    </i>
    <i r="2">
      <x v="1012"/>
    </i>
    <i r="1">
      <x v="22"/>
    </i>
    <i r="2">
      <x v="1054"/>
    </i>
    <i>
      <x v="13"/>
    </i>
    <i r="1">
      <x/>
    </i>
    <i r="2">
      <x/>
    </i>
    <i r="2">
      <x v="43"/>
    </i>
    <i r="1">
      <x v="1"/>
    </i>
    <i r="2">
      <x v="51"/>
    </i>
    <i r="1">
      <x v="2"/>
    </i>
    <i r="2">
      <x v="92"/>
    </i>
    <i r="2">
      <x v="102"/>
    </i>
    <i r="2">
      <x v="127"/>
    </i>
    <i r="2">
      <x v="128"/>
    </i>
    <i r="1">
      <x v="3"/>
    </i>
    <i r="2">
      <x v="143"/>
    </i>
    <i r="2">
      <x v="177"/>
    </i>
    <i r="1">
      <x v="4"/>
    </i>
    <i r="2">
      <x v="194"/>
    </i>
    <i r="2">
      <x v="227"/>
    </i>
    <i r="1">
      <x v="5"/>
    </i>
    <i r="2">
      <x v="238"/>
    </i>
    <i r="1">
      <x v="6"/>
    </i>
    <i r="2">
      <x v="319"/>
    </i>
    <i r="1">
      <x v="7"/>
    </i>
    <i r="2">
      <x v="333"/>
    </i>
    <i r="2">
      <x v="334"/>
    </i>
    <i r="1">
      <x v="8"/>
    </i>
    <i r="2">
      <x v="380"/>
    </i>
    <i r="2">
      <x v="381"/>
    </i>
    <i r="2">
      <x v="423"/>
    </i>
    <i r="1">
      <x v="9"/>
    </i>
    <i r="2">
      <x v="427"/>
    </i>
    <i r="2">
      <x v="428"/>
    </i>
    <i r="2">
      <x v="430"/>
    </i>
    <i r="1">
      <x v="10"/>
    </i>
    <i r="2">
      <x v="476"/>
    </i>
    <i r="2">
      <x v="477"/>
    </i>
    <i r="2">
      <x v="520"/>
    </i>
    <i r="1">
      <x v="11"/>
    </i>
    <i r="2">
      <x v="527"/>
    </i>
    <i r="2">
      <x v="531"/>
    </i>
    <i r="2">
      <x v="564"/>
    </i>
    <i r="1">
      <x v="12"/>
    </i>
    <i r="2">
      <x v="573"/>
    </i>
    <i r="2">
      <x v="576"/>
    </i>
    <i r="2">
      <x v="580"/>
    </i>
    <i r="2">
      <x v="610"/>
    </i>
    <i r="1">
      <x v="13"/>
    </i>
    <i r="2">
      <x v="622"/>
    </i>
    <i r="2">
      <x v="632"/>
    </i>
    <i r="2">
      <x v="662"/>
    </i>
    <i r="1">
      <x v="15"/>
    </i>
    <i r="2">
      <x v="720"/>
    </i>
    <i r="2">
      <x v="721"/>
    </i>
    <i r="1">
      <x v="17"/>
    </i>
    <i r="2">
      <x v="816"/>
    </i>
    <i r="2">
      <x v="854"/>
    </i>
    <i r="1">
      <x v="18"/>
    </i>
    <i r="2">
      <x v="888"/>
    </i>
    <i r="1">
      <x v="19"/>
    </i>
    <i r="2">
      <x v="916"/>
    </i>
    <i r="2">
      <x v="917"/>
    </i>
    <i r="1">
      <x v="20"/>
    </i>
    <i r="2">
      <x v="966"/>
    </i>
    <i r="2">
      <x v="968"/>
    </i>
    <i r="1">
      <x v="22"/>
    </i>
    <i r="2">
      <x v="1017"/>
    </i>
    <i r="2">
      <x v="1019"/>
    </i>
    <i r="2">
      <x v="1053"/>
    </i>
    <i>
      <x v="14"/>
    </i>
    <i r="1">
      <x/>
    </i>
    <i r="2">
      <x v="13"/>
    </i>
    <i r="2">
      <x v="14"/>
    </i>
    <i r="2">
      <x v="15"/>
    </i>
    <i r="2">
      <x v="19"/>
    </i>
    <i r="2">
      <x v="32"/>
    </i>
    <i r="2">
      <x v="41"/>
    </i>
    <i r="2">
      <x v="42"/>
    </i>
    <i r="1">
      <x v="1"/>
    </i>
    <i r="2">
      <x v="52"/>
    </i>
    <i r="2">
      <x v="53"/>
    </i>
    <i r="2">
      <x v="54"/>
    </i>
    <i r="2">
      <x v="56"/>
    </i>
    <i r="2">
      <x v="73"/>
    </i>
    <i r="1">
      <x v="2"/>
    </i>
    <i r="2">
      <x v="106"/>
    </i>
    <i r="2">
      <x v="107"/>
    </i>
    <i r="2">
      <x v="109"/>
    </i>
    <i r="2">
      <x v="130"/>
    </i>
    <i r="2">
      <x v="132"/>
    </i>
    <i r="1">
      <x v="3"/>
    </i>
    <i r="2">
      <x v="142"/>
    </i>
    <i r="2">
      <x v="151"/>
    </i>
    <i r="2">
      <x v="159"/>
    </i>
    <i r="2">
      <x v="160"/>
    </i>
    <i r="2">
      <x v="161"/>
    </i>
    <i r="2">
      <x v="182"/>
    </i>
    <i r="2">
      <x v="183"/>
    </i>
    <i r="1">
      <x v="4"/>
    </i>
    <i r="2">
      <x v="202"/>
    </i>
    <i r="2">
      <x v="204"/>
    </i>
    <i r="2">
      <x v="205"/>
    </i>
    <i r="2">
      <x v="206"/>
    </i>
    <i r="2">
      <x v="207"/>
    </i>
    <i r="2">
      <x v="212"/>
    </i>
    <i r="2">
      <x v="228"/>
    </i>
    <i r="1">
      <x v="5"/>
    </i>
    <i r="2">
      <x v="248"/>
    </i>
    <i r="2">
      <x v="249"/>
    </i>
    <i r="2">
      <x v="250"/>
    </i>
    <i r="2">
      <x v="251"/>
    </i>
    <i r="2">
      <x v="273"/>
    </i>
    <i r="1">
      <x v="6"/>
    </i>
    <i r="2">
      <x v="302"/>
    </i>
    <i r="2">
      <x v="303"/>
    </i>
    <i r="2">
      <x v="304"/>
    </i>
    <i r="2">
      <x v="305"/>
    </i>
    <i r="2">
      <x v="306"/>
    </i>
    <i r="1">
      <x v="7"/>
    </i>
    <i r="2">
      <x v="346"/>
    </i>
    <i r="2">
      <x v="347"/>
    </i>
    <i r="2">
      <x v="348"/>
    </i>
    <i r="2">
      <x v="369"/>
    </i>
    <i r="1">
      <x v="8"/>
    </i>
    <i r="2">
      <x v="392"/>
    </i>
    <i r="2">
      <x v="393"/>
    </i>
    <i r="2">
      <x v="394"/>
    </i>
    <i r="2">
      <x v="395"/>
    </i>
    <i r="2">
      <x v="396"/>
    </i>
    <i r="2">
      <x v="398"/>
    </i>
    <i r="2">
      <x v="416"/>
    </i>
    <i r="2">
      <x v="421"/>
    </i>
    <i r="1">
      <x v="9"/>
    </i>
    <i r="2">
      <x v="436"/>
    </i>
    <i r="2">
      <x v="437"/>
    </i>
    <i r="2">
      <x v="438"/>
    </i>
    <i r="2">
      <x v="439"/>
    </i>
    <i r="2">
      <x v="440"/>
    </i>
    <i r="2">
      <x v="469"/>
    </i>
    <i r="1">
      <x v="10"/>
    </i>
    <i r="2">
      <x v="487"/>
    </i>
    <i r="2">
      <x v="488"/>
    </i>
    <i r="2">
      <x v="489"/>
    </i>
    <i r="2">
      <x v="515"/>
    </i>
    <i r="2">
      <x v="519"/>
    </i>
    <i r="2">
      <x v="521"/>
    </i>
    <i r="1">
      <x v="11"/>
    </i>
    <i r="2">
      <x v="536"/>
    </i>
    <i r="2">
      <x v="537"/>
    </i>
    <i r="2">
      <x v="538"/>
    </i>
    <i r="2">
      <x v="539"/>
    </i>
    <i r="2">
      <x v="569"/>
    </i>
    <i r="2">
      <x v="570"/>
    </i>
    <i r="1">
      <x v="12"/>
    </i>
    <i r="2">
      <x v="587"/>
    </i>
    <i r="2">
      <x v="588"/>
    </i>
    <i r="2">
      <x v="590"/>
    </i>
    <i r="2">
      <x v="613"/>
    </i>
    <i r="1">
      <x v="13"/>
    </i>
    <i r="2">
      <x v="638"/>
    </i>
    <i r="2">
      <x v="639"/>
    </i>
    <i r="2">
      <x v="640"/>
    </i>
    <i r="2">
      <x v="666"/>
    </i>
    <i r="1">
      <x v="14"/>
    </i>
    <i r="2">
      <x v="681"/>
    </i>
    <i r="2">
      <x v="682"/>
    </i>
    <i r="2">
      <x v="684"/>
    </i>
    <i r="2">
      <x v="685"/>
    </i>
    <i r="2">
      <x v="686"/>
    </i>
    <i r="2">
      <x v="711"/>
    </i>
    <i r="2">
      <x v="712"/>
    </i>
    <i r="2">
      <x v="713"/>
    </i>
    <i r="1">
      <x v="15"/>
    </i>
    <i r="2">
      <x v="731"/>
    </i>
    <i r="2">
      <x v="732"/>
    </i>
    <i r="2">
      <x v="733"/>
    </i>
    <i r="2">
      <x v="734"/>
    </i>
    <i r="2">
      <x v="759"/>
    </i>
    <i r="2">
      <x v="760"/>
    </i>
    <i r="1">
      <x v="16"/>
    </i>
    <i r="2">
      <x v="780"/>
    </i>
    <i r="2">
      <x v="781"/>
    </i>
    <i r="2">
      <x v="782"/>
    </i>
    <i r="2">
      <x v="803"/>
    </i>
    <i r="2">
      <x v="805"/>
    </i>
    <i r="2">
      <x v="809"/>
    </i>
    <i r="1">
      <x v="17"/>
    </i>
    <i r="2">
      <x v="824"/>
    </i>
    <i r="2">
      <x v="825"/>
    </i>
    <i r="2">
      <x v="829"/>
    </i>
    <i r="2">
      <x v="857"/>
    </i>
    <i r="1">
      <x v="18"/>
    </i>
    <i r="2">
      <x v="879"/>
    </i>
    <i r="2">
      <x v="882"/>
    </i>
    <i r="2">
      <x v="904"/>
    </i>
    <i r="2">
      <x v="905"/>
    </i>
    <i r="2">
      <x v="907"/>
    </i>
    <i r="2">
      <x v="915"/>
    </i>
    <i r="1">
      <x v="19"/>
    </i>
    <i r="2">
      <x v="929"/>
    </i>
    <i r="2">
      <x v="930"/>
    </i>
    <i r="2">
      <x v="936"/>
    </i>
    <i r="2">
      <x v="954"/>
    </i>
    <i r="1">
      <x v="20"/>
    </i>
    <i r="2">
      <x v="980"/>
    </i>
    <i r="2">
      <x v="984"/>
    </i>
    <i r="2">
      <x v="996"/>
    </i>
    <i r="2">
      <x v="1005"/>
    </i>
    <i r="2">
      <x v="1007"/>
    </i>
    <i r="2">
      <x v="1013"/>
    </i>
    <i r="1">
      <x v="22"/>
    </i>
    <i r="2">
      <x v="1030"/>
    </i>
    <i r="2">
      <x v="1031"/>
    </i>
    <i r="2">
      <x v="1059"/>
    </i>
    <i r="2">
      <x v="1060"/>
    </i>
    <i r="2">
      <x v="1061"/>
    </i>
    <i>
      <x v="15"/>
    </i>
    <i r="1">
      <x v="21"/>
    </i>
    <i r="2">
      <x v="1016"/>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rimary_Unit" sourceName="Primary Unit">
  <pivotTables>
    <pivotTable tabId="15" name="PivotTable2"/>
  </pivotTables>
  <data>
    <tabular pivotCacheId="1">
      <items count="16">
        <i x="9" s="1"/>
        <i x="8" s="1"/>
        <i x="1" s="1"/>
        <i x="6" s="1"/>
        <i x="7" s="1"/>
        <i x="4" s="1"/>
        <i x="2" s="1"/>
        <i x="13" s="1"/>
        <i x="14" s="1"/>
        <i x="11" s="1"/>
        <i x="12" s="1"/>
        <i x="10" s="1"/>
        <i x="3" s="1"/>
        <i x="0" s="1"/>
        <i x="5" s="1"/>
        <i x="15"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Qtype" sourceName="Qtype">
  <pivotTables>
    <pivotTable tabId="15" name="PivotTable2"/>
  </pivotTables>
  <data>
    <tabular pivotCacheId="1">
      <items count="3">
        <i x="0" s="1"/>
        <i x="1" s="1"/>
        <i x="2"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YYYY_MM" sourceName="YYYY_MM">
  <pivotTables>
    <pivotTable tabId="15" name="PivotTable2"/>
  </pivotTables>
  <data>
    <tabular pivotCacheId="1">
      <items count="23">
        <i x="0" s="1"/>
        <i x="1" s="1"/>
        <i x="2" s="1"/>
        <i x="3" s="1"/>
        <i x="4" s="1"/>
        <i x="5" s="1"/>
        <i x="6" s="1"/>
        <i x="7" s="1"/>
        <i x="8" s="1"/>
        <i x="9" s="1"/>
        <i x="10" s="1"/>
        <i x="11" s="1"/>
        <i x="12" s="1"/>
        <i x="13" s="1"/>
        <i x="14" s="1"/>
        <i x="15" s="1"/>
        <i x="16" s="1"/>
        <i x="17" s="1"/>
        <i x="18" s="1"/>
        <i x="19" s="1"/>
        <i x="20" s="1"/>
        <i x="21" s="1"/>
        <i x="22"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Problem" sourceName="Problem">
  <pivotTables>
    <pivotTable tabId="15" name="PivotTable2"/>
  </pivotTables>
  <data>
    <tabular pivotCacheId="1">
      <items count="52">
        <i x="0" s="1"/>
        <i x="1" s="1"/>
        <i x="2" s="1"/>
        <i x="3" s="1"/>
        <i x="4" s="1"/>
        <i x="5" s="1"/>
        <i x="6" s="1"/>
        <i x="7" s="1"/>
        <i x="8" s="1"/>
        <i x="9" s="1"/>
        <i x="10" s="1"/>
        <i x="11" s="1"/>
        <i x="12" s="1"/>
        <i x="13" s="1"/>
        <i x="14" s="1"/>
        <i x="15" s="1"/>
        <i x="16" s="1"/>
        <i x="17" s="1"/>
        <i x="18" s="1"/>
        <i x="19" s="1"/>
        <i x="20" s="1"/>
        <i x="21" s="1"/>
        <i x="22" s="1"/>
        <i x="23" s="1"/>
        <i x="24" s="1"/>
        <i x="25" s="1"/>
        <i x="26" s="1"/>
        <i x="27" s="1"/>
        <i x="28" s="1"/>
        <i x="29" s="1"/>
        <i x="30" s="1"/>
        <i x="31" s="1"/>
        <i x="32" s="1"/>
        <i x="33" s="1"/>
        <i x="34" s="1"/>
        <i x="35" s="1"/>
        <i x="36" s="1"/>
        <i x="37" s="1"/>
        <i x="38" s="1"/>
        <i x="39" s="1"/>
        <i x="40" s="1"/>
        <i x="41" s="1"/>
        <i x="42" s="1"/>
        <i x="43" s="1"/>
        <i x="44" s="1"/>
        <i x="45" s="1"/>
        <i x="46" s="1"/>
        <i x="47" s="1"/>
        <i x="48" s="1"/>
        <i x="49" s="1"/>
        <i x="50" s="1"/>
        <i x="51"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Secondary_Unit" sourceName="Secondary Unit">
  <pivotTables>
    <pivotTable tabId="15" name="PivotTable2"/>
  </pivotTables>
  <data>
    <tabular pivotCacheId="1">
      <items count="17">
        <i x="12" s="1"/>
        <i x="7" s="1"/>
        <i x="6" s="1"/>
        <i x="13" s="1"/>
        <i x="5" s="1"/>
        <i x="3" s="1"/>
        <i x="11" s="1"/>
        <i x="4" s="1"/>
        <i x="2" s="1"/>
        <i x="14" s="1"/>
        <i x="10" s="1"/>
        <i x="8" s="1"/>
        <i x="16" s="1"/>
        <i x="9" s="1"/>
        <i x="1" s="1"/>
        <i x="15"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Primary Unit" cache="Slicer_Primary_Unit" caption="Primary Unit" rowHeight="225425"/>
  <slicer name="Qtype" cache="Slicer_Qtype" caption="Qtype" rowHeight="225425"/>
  <slicer name="YYYY_MM" cache="Slicer_YYYY_MM" caption="YYYY_MM" rowHeight="225425"/>
  <slicer name="Problem" cache="Slicer_Problem" caption="Problem" rowHeight="225425"/>
  <slicer name="Secondary Unit" cache="Slicer_Secondary_Unit" caption="Secondary Unit" rowHeight="225425"/>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3.bin"/><Relationship Id="rId5" Type="http://schemas.openxmlformats.org/officeDocument/2006/relationships/image" Target="../media/image3.emf"/><Relationship Id="rId4" Type="http://schemas.openxmlformats.org/officeDocument/2006/relationships/control" Target="../activeX/activeX3.xml"/></Relationships>
</file>

<file path=xl/worksheets/_rels/sheet5.xml.rels><?xml version="1.0" encoding="UTF-8" standalone="yes"?>
<Relationships xmlns="http://schemas.openxmlformats.org/package/2006/relationships"><Relationship Id="rId1" Type="http://schemas.openxmlformats.org/officeDocument/2006/relationships/hyperlink" Target="http://www.mrhosey.com/RPhys/" TargetMode="Externa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G5"/>
  <sheetViews>
    <sheetView tabSelected="1" workbookViewId="0">
      <selection activeCell="O14" sqref="O14"/>
    </sheetView>
  </sheetViews>
  <sheetFormatPr defaultRowHeight="12.75" x14ac:dyDescent="0.2"/>
  <sheetData>
    <row r="1" spans="1:7" ht="18.75" thickBot="1" x14ac:dyDescent="0.3">
      <c r="A1" s="22" t="s">
        <v>744</v>
      </c>
    </row>
    <row r="2" spans="1:7" ht="72" thickBot="1" x14ac:dyDescent="0.25">
      <c r="A2" s="22"/>
      <c r="G2" s="24" t="str">
        <f>HYPERLINK("https://docs.google.com/spreadsheet/pub?key=0AhsaXd1CqdLydF8yeFVZMkdHWlg2X1c5VlhlU2drSEE&amp;output=html","VIDEO
HELP HERE, And Updates")</f>
        <v>VIDEO
HELP HERE, And Updates</v>
      </c>
    </row>
    <row r="3" spans="1:7" x14ac:dyDescent="0.2">
      <c r="A3" s="22"/>
    </row>
    <row r="4" spans="1:7" x14ac:dyDescent="0.2">
      <c r="A4" s="22"/>
    </row>
    <row r="5" spans="1:7" x14ac:dyDescent="0.2">
      <c r="A5" s="22"/>
    </row>
  </sheetData>
  <pageMargins left="0.7" right="0.7" top="0.75" bottom="0.75" header="0.3" footer="0.3"/>
  <pageSetup orientation="portrait" horizontalDpi="300" verticalDpi="0" copies="0" r:id="rId1"/>
  <drawing r:id="rId2"/>
  <legacyDrawing r:id="rId3"/>
  <controls>
    <mc:AlternateContent xmlns:mc="http://schemas.openxmlformats.org/markup-compatibility/2006">
      <mc:Choice Requires="x14">
        <control shapeId="10241" r:id="rId4" name="CommandButton1">
          <controlPr defaultSize="0" autoLine="0" autoPict="0" r:id="rId5">
            <anchor moveWithCells="1">
              <from>
                <xdr:col>0</xdr:col>
                <xdr:colOff>76200</xdr:colOff>
                <xdr:row>2</xdr:row>
                <xdr:rowOff>38100</xdr:rowOff>
              </from>
              <to>
                <xdr:col>10</xdr:col>
                <xdr:colOff>295275</xdr:colOff>
                <xdr:row>5</xdr:row>
                <xdr:rowOff>123825</xdr:rowOff>
              </to>
            </anchor>
          </controlPr>
        </control>
      </mc:Choice>
      <mc:Fallback>
        <control shapeId="10241"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3:C2000"/>
  <sheetViews>
    <sheetView workbookViewId="0">
      <selection activeCell="R7" sqref="R7"/>
    </sheetView>
  </sheetViews>
  <sheetFormatPr defaultRowHeight="12.75" x14ac:dyDescent="0.2"/>
  <cols>
    <col min="1" max="1" width="5" customWidth="1"/>
    <col min="2" max="2" width="11.85546875" customWidth="1"/>
    <col min="3" max="3" width="29.85546875" customWidth="1"/>
    <col min="4" max="4" width="9.42578125" customWidth="1"/>
    <col min="5" max="24" width="8" bestFit="1" customWidth="1"/>
    <col min="25" max="25" width="7.140625" bestFit="1" customWidth="1"/>
    <col min="26" max="26" width="11.7109375" bestFit="1" customWidth="1"/>
    <col min="27" max="1019" width="15" bestFit="1" customWidth="1"/>
    <col min="1020" max="1020" width="7.140625" bestFit="1" customWidth="1"/>
    <col min="1021" max="1021" width="11.7109375" bestFit="1" customWidth="1"/>
  </cols>
  <sheetData>
    <row r="3" spans="1:3" x14ac:dyDescent="0.2">
      <c r="A3" t="s">
        <v>599</v>
      </c>
      <c r="B3" t="s">
        <v>782</v>
      </c>
      <c r="C3" s="27" t="s">
        <v>762</v>
      </c>
    </row>
    <row r="4" spans="1:3" x14ac:dyDescent="0.2">
      <c r="A4" t="str">
        <f>IF(ISERROR(VLOOKUP(C4,Questions!$A$1:G$9999,7,0)),"",VLOOKUP(C4,Questions!$A$1:G$9999,7,0))</f>
        <v/>
      </c>
      <c r="B4" s="17" t="str">
        <f t="shared" ref="B4:B67" si="0">HYPERLINK("http://www.mrhosey.com/RPhys/" &amp; C4 &amp; ".gif","Problem")</f>
        <v>Problem</v>
      </c>
      <c r="C4" s="12" t="s">
        <v>9</v>
      </c>
    </row>
    <row r="5" spans="1:3" x14ac:dyDescent="0.2">
      <c r="A5" t="str">
        <f>IF(ISERROR(VLOOKUP(C5,Questions!$A$1:G$9999,7,0)),"",VLOOKUP(C5,Questions!$A$1:G$9999,7,0))</f>
        <v/>
      </c>
      <c r="B5" s="17" t="str">
        <f t="shared" si="0"/>
        <v>Problem</v>
      </c>
      <c r="C5" s="29" t="s">
        <v>785</v>
      </c>
    </row>
    <row r="6" spans="1:3" x14ac:dyDescent="0.2">
      <c r="A6">
        <f>IF(ISERROR(VLOOKUP(C6,Questions!$A$1:G$9999,7,0)),"",VLOOKUP(C6,Questions!$A$1:G$9999,7,0))</f>
        <v>1</v>
      </c>
      <c r="B6" s="17" t="str">
        <f t="shared" si="0"/>
        <v>Problem</v>
      </c>
      <c r="C6" s="30" t="s">
        <v>38</v>
      </c>
    </row>
    <row r="7" spans="1:3" x14ac:dyDescent="0.2">
      <c r="A7">
        <f>IF(ISERROR(VLOOKUP(C7,Questions!$A$1:G$9999,7,0)),"",VLOOKUP(C7,Questions!$A$1:G$9999,7,0))</f>
        <v>1</v>
      </c>
      <c r="B7" s="17" t="str">
        <f t="shared" si="0"/>
        <v>Problem</v>
      </c>
      <c r="C7" s="30" t="s">
        <v>40</v>
      </c>
    </row>
    <row r="8" spans="1:3" x14ac:dyDescent="0.2">
      <c r="A8">
        <f>IF(ISERROR(VLOOKUP(C8,Questions!$A$1:G$9999,7,0)),"",VLOOKUP(C8,Questions!$A$1:G$9999,7,0))</f>
        <v>1</v>
      </c>
      <c r="B8" s="17" t="str">
        <f t="shared" si="0"/>
        <v>Problem</v>
      </c>
      <c r="C8" s="30" t="s">
        <v>46</v>
      </c>
    </row>
    <row r="9" spans="1:3" x14ac:dyDescent="0.2">
      <c r="A9">
        <f>IF(ISERROR(VLOOKUP(C9,Questions!$A$1:G$9999,7,0)),"",VLOOKUP(C9,Questions!$A$1:G$9999,7,0))</f>
        <v>1</v>
      </c>
      <c r="B9" s="17" t="str">
        <f t="shared" si="0"/>
        <v>Problem</v>
      </c>
      <c r="C9" s="30" t="s">
        <v>786</v>
      </c>
    </row>
    <row r="10" spans="1:3" x14ac:dyDescent="0.2">
      <c r="A10" t="str">
        <f>IF(ISERROR(VLOOKUP(C10,Questions!$A$1:G$9999,7,0)),"",VLOOKUP(C10,Questions!$A$1:G$9999,7,0))</f>
        <v/>
      </c>
      <c r="B10" s="17" t="str">
        <f t="shared" si="0"/>
        <v>Problem</v>
      </c>
      <c r="C10" s="29" t="s">
        <v>787</v>
      </c>
    </row>
    <row r="11" spans="1:3" x14ac:dyDescent="0.2">
      <c r="A11">
        <f>IF(ISERROR(VLOOKUP(C11,Questions!$A$1:G$9999,7,0)),"",VLOOKUP(C11,Questions!$A$1:G$9999,7,0))</f>
        <v>3</v>
      </c>
      <c r="B11" s="17" t="str">
        <f t="shared" si="0"/>
        <v>Problem</v>
      </c>
      <c r="C11" s="30" t="s">
        <v>64</v>
      </c>
    </row>
    <row r="12" spans="1:3" x14ac:dyDescent="0.2">
      <c r="A12">
        <f>IF(ISERROR(VLOOKUP(C12,Questions!$A$1:G$9999,7,0)),"",VLOOKUP(C12,Questions!$A$1:G$9999,7,0))</f>
        <v>3</v>
      </c>
      <c r="B12" s="17" t="str">
        <f t="shared" si="0"/>
        <v>Problem</v>
      </c>
      <c r="C12" s="30" t="s">
        <v>65</v>
      </c>
    </row>
    <row r="13" spans="1:3" x14ac:dyDescent="0.2">
      <c r="A13">
        <f>IF(ISERROR(VLOOKUP(C13,Questions!$A$1:G$9999,7,0)),"",VLOOKUP(C13,Questions!$A$1:G$9999,7,0))</f>
        <v>1</v>
      </c>
      <c r="B13" s="17" t="str">
        <f t="shared" si="0"/>
        <v>Problem</v>
      </c>
      <c r="C13" s="30" t="s">
        <v>79</v>
      </c>
    </row>
    <row r="14" spans="1:3" x14ac:dyDescent="0.2">
      <c r="A14">
        <f>IF(ISERROR(VLOOKUP(C14,Questions!$A$1:G$9999,7,0)),"",VLOOKUP(C14,Questions!$A$1:G$9999,7,0))</f>
        <v>2</v>
      </c>
      <c r="B14" s="17" t="str">
        <f t="shared" si="0"/>
        <v>Problem</v>
      </c>
      <c r="C14" s="30" t="s">
        <v>788</v>
      </c>
    </row>
    <row r="15" spans="1:3" x14ac:dyDescent="0.2">
      <c r="A15" t="str">
        <f>IF(ISERROR(VLOOKUP(C15,Questions!$A$1:G$9999,7,0)),"",VLOOKUP(C15,Questions!$A$1:G$9999,7,0))</f>
        <v/>
      </c>
      <c r="B15" s="17" t="str">
        <f t="shared" si="0"/>
        <v>Problem</v>
      </c>
      <c r="C15" s="29" t="s">
        <v>789</v>
      </c>
    </row>
    <row r="16" spans="1:3" x14ac:dyDescent="0.2">
      <c r="A16">
        <f>IF(ISERROR(VLOOKUP(C16,Questions!$A$1:G$9999,7,0)),"",VLOOKUP(C16,Questions!$A$1:G$9999,7,0))</f>
        <v>4</v>
      </c>
      <c r="B16" s="17" t="str">
        <f t="shared" si="0"/>
        <v>Problem</v>
      </c>
      <c r="C16" s="30" t="s">
        <v>111</v>
      </c>
    </row>
    <row r="17" spans="1:3" x14ac:dyDescent="0.2">
      <c r="A17">
        <f>IF(ISERROR(VLOOKUP(C17,Questions!$A$1:G$9999,7,0)),"",VLOOKUP(C17,Questions!$A$1:G$9999,7,0))</f>
        <v>2</v>
      </c>
      <c r="B17" s="17" t="str">
        <f t="shared" si="0"/>
        <v>Problem</v>
      </c>
      <c r="C17" s="30" t="s">
        <v>113</v>
      </c>
    </row>
    <row r="18" spans="1:3" x14ac:dyDescent="0.2">
      <c r="A18">
        <f>IF(ISERROR(VLOOKUP(C18,Questions!$A$1:G$9999,7,0)),"",VLOOKUP(C18,Questions!$A$1:G$9999,7,0))</f>
        <v>2</v>
      </c>
      <c r="B18" s="17" t="str">
        <f t="shared" si="0"/>
        <v>Problem</v>
      </c>
      <c r="C18" s="30" t="s">
        <v>790</v>
      </c>
    </row>
    <row r="19" spans="1:3" x14ac:dyDescent="0.2">
      <c r="A19">
        <f>IF(ISERROR(VLOOKUP(C19,Questions!$A$1:G$9999,7,0)),"",VLOOKUP(C19,Questions!$A$1:G$9999,7,0))</f>
        <v>1</v>
      </c>
      <c r="B19" s="17" t="str">
        <f t="shared" si="0"/>
        <v>Problem</v>
      </c>
      <c r="C19" s="30" t="s">
        <v>791</v>
      </c>
    </row>
    <row r="20" spans="1:3" x14ac:dyDescent="0.2">
      <c r="A20">
        <f>IF(ISERROR(VLOOKUP(C20,Questions!$A$1:G$9999,7,0)),"",VLOOKUP(C20,Questions!$A$1:G$9999,7,0))</f>
        <v>3</v>
      </c>
      <c r="B20" s="17" t="str">
        <f t="shared" si="0"/>
        <v>Problem</v>
      </c>
      <c r="C20" s="30" t="s">
        <v>792</v>
      </c>
    </row>
    <row r="21" spans="1:3" x14ac:dyDescent="0.2">
      <c r="A21" t="str">
        <f>IF(ISERROR(VLOOKUP(C21,Questions!$A$1:G$9999,7,0)),"",VLOOKUP(C21,Questions!$A$1:G$9999,7,0))</f>
        <v/>
      </c>
      <c r="B21" s="17" t="str">
        <f t="shared" si="0"/>
        <v>Problem</v>
      </c>
      <c r="C21" s="29" t="s">
        <v>793</v>
      </c>
    </row>
    <row r="22" spans="1:3" x14ac:dyDescent="0.2">
      <c r="A22">
        <f>IF(ISERROR(VLOOKUP(C22,Questions!$A$1:G$9999,7,0)),"",VLOOKUP(C22,Questions!$A$1:G$9999,7,0))</f>
        <v>3</v>
      </c>
      <c r="B22" s="17" t="str">
        <f t="shared" si="0"/>
        <v>Problem</v>
      </c>
      <c r="C22" s="30" t="s">
        <v>139</v>
      </c>
    </row>
    <row r="23" spans="1:3" x14ac:dyDescent="0.2">
      <c r="A23">
        <f>IF(ISERROR(VLOOKUP(C23,Questions!$A$1:G$9999,7,0)),"",VLOOKUP(C23,Questions!$A$1:G$9999,7,0))</f>
        <v>4</v>
      </c>
      <c r="B23" s="17" t="str">
        <f t="shared" si="0"/>
        <v>Problem</v>
      </c>
      <c r="C23" s="30" t="s">
        <v>141</v>
      </c>
    </row>
    <row r="24" spans="1:3" x14ac:dyDescent="0.2">
      <c r="A24">
        <f>IF(ISERROR(VLOOKUP(C24,Questions!$A$1:G$9999,7,0)),"",VLOOKUP(C24,Questions!$A$1:G$9999,7,0))</f>
        <v>2</v>
      </c>
      <c r="B24" s="17" t="str">
        <f t="shared" si="0"/>
        <v>Problem</v>
      </c>
      <c r="C24" s="30" t="s">
        <v>143</v>
      </c>
    </row>
    <row r="25" spans="1:3" x14ac:dyDescent="0.2">
      <c r="A25">
        <f>IF(ISERROR(VLOOKUP(C25,Questions!$A$1:G$9999,7,0)),"",VLOOKUP(C25,Questions!$A$1:G$9999,7,0))</f>
        <v>1</v>
      </c>
      <c r="B25" s="17" t="str">
        <f t="shared" si="0"/>
        <v>Problem</v>
      </c>
      <c r="C25" s="30" t="s">
        <v>144</v>
      </c>
    </row>
    <row r="26" spans="1:3" x14ac:dyDescent="0.2">
      <c r="A26">
        <f>IF(ISERROR(VLOOKUP(C26,Questions!$A$1:G$9999,7,0)),"",VLOOKUP(C26,Questions!$A$1:G$9999,7,0))</f>
        <v>2</v>
      </c>
      <c r="B26" s="17" t="str">
        <f t="shared" si="0"/>
        <v>Problem</v>
      </c>
      <c r="C26" s="30" t="s">
        <v>146</v>
      </c>
    </row>
    <row r="27" spans="1:3" x14ac:dyDescent="0.2">
      <c r="A27">
        <f>IF(ISERROR(VLOOKUP(C27,Questions!$A$1:G$9999,7,0)),"",VLOOKUP(C27,Questions!$A$1:G$9999,7,0))</f>
        <v>3</v>
      </c>
      <c r="B27" s="17" t="str">
        <f t="shared" si="0"/>
        <v>Problem</v>
      </c>
      <c r="C27" s="30" t="s">
        <v>794</v>
      </c>
    </row>
    <row r="28" spans="1:3" x14ac:dyDescent="0.2">
      <c r="A28" t="str">
        <f>IF(ISERROR(VLOOKUP(C28,Questions!$A$1:G$9999,7,0)),"",VLOOKUP(C28,Questions!$A$1:G$9999,7,0))</f>
        <v/>
      </c>
      <c r="B28" s="17" t="str">
        <f t="shared" si="0"/>
        <v>Problem</v>
      </c>
      <c r="C28" s="29" t="s">
        <v>795</v>
      </c>
    </row>
    <row r="29" spans="1:3" x14ac:dyDescent="0.2">
      <c r="A29">
        <f>IF(ISERROR(VLOOKUP(C29,Questions!$A$1:G$9999,7,0)),"",VLOOKUP(C29,Questions!$A$1:G$9999,7,0))</f>
        <v>2</v>
      </c>
      <c r="B29" s="17" t="str">
        <f t="shared" si="0"/>
        <v>Problem</v>
      </c>
      <c r="C29" s="30" t="s">
        <v>177</v>
      </c>
    </row>
    <row r="30" spans="1:3" x14ac:dyDescent="0.2">
      <c r="A30">
        <f>IF(ISERROR(VLOOKUP(C30,Questions!$A$1:G$9999,7,0)),"",VLOOKUP(C30,Questions!$A$1:G$9999,7,0))</f>
        <v>4</v>
      </c>
      <c r="B30" s="17" t="str">
        <f t="shared" si="0"/>
        <v>Problem</v>
      </c>
      <c r="C30" s="30" t="s">
        <v>178</v>
      </c>
    </row>
    <row r="31" spans="1:3" x14ac:dyDescent="0.2">
      <c r="A31">
        <f>IF(ISERROR(VLOOKUP(C31,Questions!$A$1:G$9999,7,0)),"",VLOOKUP(C31,Questions!$A$1:G$9999,7,0))</f>
        <v>3</v>
      </c>
      <c r="B31" s="17" t="str">
        <f t="shared" si="0"/>
        <v>Problem</v>
      </c>
      <c r="C31" s="30" t="s">
        <v>179</v>
      </c>
    </row>
    <row r="32" spans="1:3" x14ac:dyDescent="0.2">
      <c r="A32">
        <f>IF(ISERROR(VLOOKUP(C32,Questions!$A$1:G$9999,7,0)),"",VLOOKUP(C32,Questions!$A$1:G$9999,7,0))</f>
        <v>1</v>
      </c>
      <c r="B32" s="17" t="str">
        <f t="shared" si="0"/>
        <v>Problem</v>
      </c>
      <c r="C32" s="30" t="s">
        <v>180</v>
      </c>
    </row>
    <row r="33" spans="1:3" x14ac:dyDescent="0.2">
      <c r="A33">
        <f>IF(ISERROR(VLOOKUP(C33,Questions!$A$1:G$9999,7,0)),"",VLOOKUP(C33,Questions!$A$1:G$9999,7,0))</f>
        <v>1</v>
      </c>
      <c r="B33" s="17" t="str">
        <f t="shared" si="0"/>
        <v>Problem</v>
      </c>
      <c r="C33" s="30" t="s">
        <v>796</v>
      </c>
    </row>
    <row r="34" spans="1:3" x14ac:dyDescent="0.2">
      <c r="A34" t="str">
        <f>IF(ISERROR(VLOOKUP(C34,Questions!$A$1:G$9999,7,0)),"",VLOOKUP(C34,Questions!$A$1:G$9999,7,0))</f>
        <v/>
      </c>
      <c r="B34" s="17" t="str">
        <f t="shared" si="0"/>
        <v>Problem</v>
      </c>
      <c r="C34" s="29" t="s">
        <v>797</v>
      </c>
    </row>
    <row r="35" spans="1:3" x14ac:dyDescent="0.2">
      <c r="A35">
        <f>IF(ISERROR(VLOOKUP(C35,Questions!$A$1:G$9999,7,0)),"",VLOOKUP(C35,Questions!$A$1:G$9999,7,0))</f>
        <v>4</v>
      </c>
      <c r="B35" s="17" t="str">
        <f t="shared" si="0"/>
        <v>Problem</v>
      </c>
      <c r="C35" s="30" t="s">
        <v>213</v>
      </c>
    </row>
    <row r="36" spans="1:3" x14ac:dyDescent="0.2">
      <c r="A36">
        <f>IF(ISERROR(VLOOKUP(C36,Questions!$A$1:G$9999,7,0)),"",VLOOKUP(C36,Questions!$A$1:G$9999,7,0))</f>
        <v>1</v>
      </c>
      <c r="B36" s="17" t="str">
        <f t="shared" si="0"/>
        <v>Problem</v>
      </c>
      <c r="C36" s="30" t="s">
        <v>214</v>
      </c>
    </row>
    <row r="37" spans="1:3" x14ac:dyDescent="0.2">
      <c r="A37">
        <f>IF(ISERROR(VLOOKUP(C37,Questions!$A$1:G$9999,7,0)),"",VLOOKUP(C37,Questions!$A$1:G$9999,7,0))</f>
        <v>2</v>
      </c>
      <c r="B37" s="17" t="str">
        <f t="shared" si="0"/>
        <v>Problem</v>
      </c>
      <c r="C37" s="30" t="s">
        <v>216</v>
      </c>
    </row>
    <row r="38" spans="1:3" x14ac:dyDescent="0.2">
      <c r="A38">
        <f>IF(ISERROR(VLOOKUP(C38,Questions!$A$1:G$9999,7,0)),"",VLOOKUP(C38,Questions!$A$1:G$9999,7,0))</f>
        <v>3</v>
      </c>
      <c r="B38" s="17" t="str">
        <f t="shared" si="0"/>
        <v>Problem</v>
      </c>
      <c r="C38" s="30" t="s">
        <v>217</v>
      </c>
    </row>
    <row r="39" spans="1:3" x14ac:dyDescent="0.2">
      <c r="A39">
        <f>IF(ISERROR(VLOOKUP(C39,Questions!$A$1:G$9999,7,0)),"",VLOOKUP(C39,Questions!$A$1:G$9999,7,0))</f>
        <v>3</v>
      </c>
      <c r="B39" s="17" t="str">
        <f t="shared" si="0"/>
        <v>Problem</v>
      </c>
      <c r="C39" s="30" t="s">
        <v>218</v>
      </c>
    </row>
    <row r="40" spans="1:3" x14ac:dyDescent="0.2">
      <c r="A40">
        <f>IF(ISERROR(VLOOKUP(C40,Questions!$A$1:G$9999,7,0)),"",VLOOKUP(C40,Questions!$A$1:G$9999,7,0))</f>
        <v>1</v>
      </c>
      <c r="B40" s="17" t="str">
        <f t="shared" si="0"/>
        <v>Problem</v>
      </c>
      <c r="C40" s="30" t="s">
        <v>220</v>
      </c>
    </row>
    <row r="41" spans="1:3" x14ac:dyDescent="0.2">
      <c r="A41">
        <f>IF(ISERROR(VLOOKUP(C41,Questions!$A$1:G$9999,7,0)),"",VLOOKUP(C41,Questions!$A$1:G$9999,7,0))</f>
        <v>1</v>
      </c>
      <c r="B41" s="17" t="str">
        <f t="shared" si="0"/>
        <v>Problem</v>
      </c>
      <c r="C41" s="30" t="s">
        <v>798</v>
      </c>
    </row>
    <row r="42" spans="1:3" x14ac:dyDescent="0.2">
      <c r="A42" t="str">
        <f>IF(ISERROR(VLOOKUP(C42,Questions!$A$1:G$9999,7,0)),"",VLOOKUP(C42,Questions!$A$1:G$9999,7,0))</f>
        <v/>
      </c>
      <c r="B42" s="17" t="str">
        <f t="shared" si="0"/>
        <v>Problem</v>
      </c>
      <c r="C42" s="29" t="s">
        <v>799</v>
      </c>
    </row>
    <row r="43" spans="1:3" x14ac:dyDescent="0.2">
      <c r="A43">
        <f>IF(ISERROR(VLOOKUP(C43,Questions!$A$1:G$9999,7,0)),"",VLOOKUP(C43,Questions!$A$1:G$9999,7,0))</f>
        <v>1</v>
      </c>
      <c r="B43" s="17" t="str">
        <f t="shared" si="0"/>
        <v>Problem</v>
      </c>
      <c r="C43" s="30" t="s">
        <v>233</v>
      </c>
    </row>
    <row r="44" spans="1:3" x14ac:dyDescent="0.2">
      <c r="A44">
        <f>IF(ISERROR(VLOOKUP(C44,Questions!$A$1:G$9999,7,0)),"",VLOOKUP(C44,Questions!$A$1:G$9999,7,0))</f>
        <v>4</v>
      </c>
      <c r="B44" s="17" t="str">
        <f t="shared" si="0"/>
        <v>Problem</v>
      </c>
      <c r="C44" s="30" t="s">
        <v>236</v>
      </c>
    </row>
    <row r="45" spans="1:3" x14ac:dyDescent="0.2">
      <c r="A45">
        <f>IF(ISERROR(VLOOKUP(C45,Questions!$A$1:G$9999,7,0)),"",VLOOKUP(C45,Questions!$A$1:G$9999,7,0))</f>
        <v>4</v>
      </c>
      <c r="B45" s="17" t="str">
        <f t="shared" si="0"/>
        <v>Problem</v>
      </c>
      <c r="C45" s="30" t="s">
        <v>237</v>
      </c>
    </row>
    <row r="46" spans="1:3" x14ac:dyDescent="0.2">
      <c r="A46">
        <f>IF(ISERROR(VLOOKUP(C46,Questions!$A$1:G$9999,7,0)),"",VLOOKUP(C46,Questions!$A$1:G$9999,7,0))</f>
        <v>1</v>
      </c>
      <c r="B46" s="17" t="str">
        <f t="shared" si="0"/>
        <v>Problem</v>
      </c>
      <c r="C46" s="30" t="s">
        <v>238</v>
      </c>
    </row>
    <row r="47" spans="1:3" x14ac:dyDescent="0.2">
      <c r="A47">
        <f>IF(ISERROR(VLOOKUP(C47,Questions!$A$1:G$9999,7,0)),"",VLOOKUP(C47,Questions!$A$1:G$9999,7,0))</f>
        <v>1</v>
      </c>
      <c r="B47" s="17" t="str">
        <f t="shared" si="0"/>
        <v>Problem</v>
      </c>
      <c r="C47" s="30" t="s">
        <v>240</v>
      </c>
    </row>
    <row r="48" spans="1:3" x14ac:dyDescent="0.2">
      <c r="A48">
        <f>IF(ISERROR(VLOOKUP(C48,Questions!$A$1:G$9999,7,0)),"",VLOOKUP(C48,Questions!$A$1:G$9999,7,0))</f>
        <v>3</v>
      </c>
      <c r="B48" s="17" t="str">
        <f t="shared" si="0"/>
        <v>Problem</v>
      </c>
      <c r="C48" s="30" t="s">
        <v>800</v>
      </c>
    </row>
    <row r="49" spans="1:3" x14ac:dyDescent="0.2">
      <c r="A49" t="str">
        <f>IF(ISERROR(VLOOKUP(C49,Questions!$A$1:G$9999,7,0)),"",VLOOKUP(C49,Questions!$A$1:G$9999,7,0))</f>
        <v/>
      </c>
      <c r="B49" s="17" t="str">
        <f t="shared" si="0"/>
        <v>Problem</v>
      </c>
      <c r="C49" s="29" t="s">
        <v>801</v>
      </c>
    </row>
    <row r="50" spans="1:3" x14ac:dyDescent="0.2">
      <c r="A50">
        <f>IF(ISERROR(VLOOKUP(C50,Questions!$A$1:G$9999,7,0)),"",VLOOKUP(C50,Questions!$A$1:G$9999,7,0))</f>
        <v>1</v>
      </c>
      <c r="B50" s="17" t="str">
        <f t="shared" si="0"/>
        <v>Problem</v>
      </c>
      <c r="C50" s="30" t="s">
        <v>281</v>
      </c>
    </row>
    <row r="51" spans="1:3" x14ac:dyDescent="0.2">
      <c r="A51">
        <f>IF(ISERROR(VLOOKUP(C51,Questions!$A$1:G$9999,7,0)),"",VLOOKUP(C51,Questions!$A$1:G$9999,7,0))</f>
        <v>2</v>
      </c>
      <c r="B51" s="17" t="str">
        <f t="shared" si="0"/>
        <v>Problem</v>
      </c>
      <c r="C51" s="30" t="s">
        <v>282</v>
      </c>
    </row>
    <row r="52" spans="1:3" x14ac:dyDescent="0.2">
      <c r="A52">
        <f>IF(ISERROR(VLOOKUP(C52,Questions!$A$1:G$9999,7,0)),"",VLOOKUP(C52,Questions!$A$1:G$9999,7,0))</f>
        <v>1</v>
      </c>
      <c r="B52" s="17" t="str">
        <f t="shared" si="0"/>
        <v>Problem</v>
      </c>
      <c r="C52" s="30" t="s">
        <v>283</v>
      </c>
    </row>
    <row r="53" spans="1:3" x14ac:dyDescent="0.2">
      <c r="A53">
        <f>IF(ISERROR(VLOOKUP(C53,Questions!$A$1:G$9999,7,0)),"",VLOOKUP(C53,Questions!$A$1:G$9999,7,0))</f>
        <v>4</v>
      </c>
      <c r="B53" s="17" t="str">
        <f t="shared" si="0"/>
        <v>Problem</v>
      </c>
      <c r="C53" s="30" t="s">
        <v>286</v>
      </c>
    </row>
    <row r="54" spans="1:3" x14ac:dyDescent="0.2">
      <c r="A54" t="str">
        <f>IF(ISERROR(VLOOKUP(C54,Questions!$A$1:G$9999,7,0)),"",VLOOKUP(C54,Questions!$A$1:G$9999,7,0))</f>
        <v/>
      </c>
      <c r="B54" s="17" t="str">
        <f t="shared" si="0"/>
        <v>Problem</v>
      </c>
      <c r="C54" s="29" t="s">
        <v>802</v>
      </c>
    </row>
    <row r="55" spans="1:3" x14ac:dyDescent="0.2">
      <c r="A55">
        <f>IF(ISERROR(VLOOKUP(C55,Questions!$A$1:G$9999,7,0)),"",VLOOKUP(C55,Questions!$A$1:G$9999,7,0))</f>
        <v>4</v>
      </c>
      <c r="B55" s="17" t="str">
        <f t="shared" si="0"/>
        <v>Problem</v>
      </c>
      <c r="C55" s="30" t="s">
        <v>319</v>
      </c>
    </row>
    <row r="56" spans="1:3" x14ac:dyDescent="0.2">
      <c r="A56">
        <f>IF(ISERROR(VLOOKUP(C56,Questions!$A$1:G$9999,7,0)),"",VLOOKUP(C56,Questions!$A$1:G$9999,7,0))</f>
        <v>1</v>
      </c>
      <c r="B56" s="17" t="str">
        <f t="shared" si="0"/>
        <v>Problem</v>
      </c>
      <c r="C56" s="30" t="s">
        <v>320</v>
      </c>
    </row>
    <row r="57" spans="1:3" x14ac:dyDescent="0.2">
      <c r="A57">
        <f>IF(ISERROR(VLOOKUP(C57,Questions!$A$1:G$9999,7,0)),"",VLOOKUP(C57,Questions!$A$1:G$9999,7,0))</f>
        <v>2</v>
      </c>
      <c r="B57" s="17" t="str">
        <f t="shared" si="0"/>
        <v>Problem</v>
      </c>
      <c r="C57" s="30" t="s">
        <v>322</v>
      </c>
    </row>
    <row r="58" spans="1:3" x14ac:dyDescent="0.2">
      <c r="A58" t="str">
        <f>IF(ISERROR(VLOOKUP(C58,Questions!$A$1:G$9999,7,0)),"",VLOOKUP(C58,Questions!$A$1:G$9999,7,0))</f>
        <v/>
      </c>
      <c r="B58" s="17" t="str">
        <f t="shared" si="0"/>
        <v>Problem</v>
      </c>
      <c r="C58" s="29" t="s">
        <v>803</v>
      </c>
    </row>
    <row r="59" spans="1:3" x14ac:dyDescent="0.2">
      <c r="A59">
        <f>IF(ISERROR(VLOOKUP(C59,Questions!$A$1:G$9999,7,0)),"",VLOOKUP(C59,Questions!$A$1:G$9999,7,0))</f>
        <v>2</v>
      </c>
      <c r="B59" s="17" t="str">
        <f t="shared" si="0"/>
        <v>Problem</v>
      </c>
      <c r="C59" s="30" t="s">
        <v>343</v>
      </c>
    </row>
    <row r="60" spans="1:3" x14ac:dyDescent="0.2">
      <c r="A60">
        <f>IF(ISERROR(VLOOKUP(C60,Questions!$A$1:G$9999,7,0)),"",VLOOKUP(C60,Questions!$A$1:G$9999,7,0))</f>
        <v>2</v>
      </c>
      <c r="B60" s="17" t="str">
        <f t="shared" si="0"/>
        <v>Problem</v>
      </c>
      <c r="C60" s="30" t="s">
        <v>351</v>
      </c>
    </row>
    <row r="61" spans="1:3" x14ac:dyDescent="0.2">
      <c r="A61">
        <f>IF(ISERROR(VLOOKUP(C61,Questions!$A$1:G$9999,7,0)),"",VLOOKUP(C61,Questions!$A$1:G$9999,7,0))</f>
        <v>2</v>
      </c>
      <c r="B61" s="17" t="str">
        <f t="shared" si="0"/>
        <v>Problem</v>
      </c>
      <c r="C61" s="30" t="s">
        <v>354</v>
      </c>
    </row>
    <row r="62" spans="1:3" x14ac:dyDescent="0.2">
      <c r="A62">
        <f>IF(ISERROR(VLOOKUP(C62,Questions!$A$1:G$9999,7,0)),"",VLOOKUP(C62,Questions!$A$1:G$9999,7,0))</f>
        <v>2</v>
      </c>
      <c r="B62" s="17" t="str">
        <f t="shared" si="0"/>
        <v>Problem</v>
      </c>
      <c r="C62" s="30" t="s">
        <v>355</v>
      </c>
    </row>
    <row r="63" spans="1:3" x14ac:dyDescent="0.2">
      <c r="A63">
        <f>IF(ISERROR(VLOOKUP(C63,Questions!$A$1:G$9999,7,0)),"",VLOOKUP(C63,Questions!$A$1:G$9999,7,0))</f>
        <v>2</v>
      </c>
      <c r="B63" s="17" t="str">
        <f t="shared" si="0"/>
        <v>Problem</v>
      </c>
      <c r="C63" s="30" t="s">
        <v>356</v>
      </c>
    </row>
    <row r="64" spans="1:3" x14ac:dyDescent="0.2">
      <c r="A64">
        <f>IF(ISERROR(VLOOKUP(C64,Questions!$A$1:G$9999,7,0)),"",VLOOKUP(C64,Questions!$A$1:G$9999,7,0))</f>
        <v>3</v>
      </c>
      <c r="B64" s="17" t="str">
        <f t="shared" si="0"/>
        <v>Problem</v>
      </c>
      <c r="C64" s="30" t="s">
        <v>804</v>
      </c>
    </row>
    <row r="65" spans="1:3" x14ac:dyDescent="0.2">
      <c r="A65" t="str">
        <f>IF(ISERROR(VLOOKUP(C65,Questions!$A$1:G$9999,7,0)),"",VLOOKUP(C65,Questions!$A$1:G$9999,7,0))</f>
        <v/>
      </c>
      <c r="B65" s="17" t="str">
        <f t="shared" si="0"/>
        <v>Problem</v>
      </c>
      <c r="C65" s="29" t="s">
        <v>805</v>
      </c>
    </row>
    <row r="66" spans="1:3" x14ac:dyDescent="0.2">
      <c r="A66">
        <f>IF(ISERROR(VLOOKUP(C66,Questions!$A$1:G$9999,7,0)),"",VLOOKUP(C66,Questions!$A$1:G$9999,7,0))</f>
        <v>4</v>
      </c>
      <c r="B66" s="17" t="str">
        <f t="shared" si="0"/>
        <v>Problem</v>
      </c>
      <c r="C66" s="30" t="s">
        <v>384</v>
      </c>
    </row>
    <row r="67" spans="1:3" x14ac:dyDescent="0.2">
      <c r="A67">
        <f>IF(ISERROR(VLOOKUP(C67,Questions!$A$1:G$9999,7,0)),"",VLOOKUP(C67,Questions!$A$1:G$9999,7,0))</f>
        <v>1</v>
      </c>
      <c r="B67" s="17" t="str">
        <f t="shared" si="0"/>
        <v>Problem</v>
      </c>
      <c r="C67" s="30" t="s">
        <v>385</v>
      </c>
    </row>
    <row r="68" spans="1:3" x14ac:dyDescent="0.2">
      <c r="A68">
        <f>IF(ISERROR(VLOOKUP(C68,Questions!$A$1:G$9999,7,0)),"",VLOOKUP(C68,Questions!$A$1:G$9999,7,0))</f>
        <v>4</v>
      </c>
      <c r="B68" s="17" t="str">
        <f t="shared" ref="B68:B131" si="1">HYPERLINK("http://www.mrhosey.com/RPhys/" &amp; C68 &amp; ".gif","Problem")</f>
        <v>Problem</v>
      </c>
      <c r="C68" s="30" t="s">
        <v>387</v>
      </c>
    </row>
    <row r="69" spans="1:3" x14ac:dyDescent="0.2">
      <c r="A69">
        <f>IF(ISERROR(VLOOKUP(C69,Questions!$A$1:G$9999,7,0)),"",VLOOKUP(C69,Questions!$A$1:G$9999,7,0))</f>
        <v>2</v>
      </c>
      <c r="B69" s="17" t="str">
        <f t="shared" si="1"/>
        <v>Problem</v>
      </c>
      <c r="C69" s="30" t="s">
        <v>388</v>
      </c>
    </row>
    <row r="70" spans="1:3" x14ac:dyDescent="0.2">
      <c r="A70">
        <f>IF(ISERROR(VLOOKUP(C70,Questions!$A$1:G$9999,7,0)),"",VLOOKUP(C70,Questions!$A$1:G$9999,7,0))</f>
        <v>3</v>
      </c>
      <c r="B70" s="17" t="str">
        <f t="shared" si="1"/>
        <v>Problem</v>
      </c>
      <c r="C70" s="30" t="s">
        <v>389</v>
      </c>
    </row>
    <row r="71" spans="1:3" x14ac:dyDescent="0.2">
      <c r="A71">
        <f>IF(ISERROR(VLOOKUP(C71,Questions!$A$1:G$9999,7,0)),"",VLOOKUP(C71,Questions!$A$1:G$9999,7,0))</f>
        <v>4</v>
      </c>
      <c r="B71" s="17" t="str">
        <f t="shared" si="1"/>
        <v>Problem</v>
      </c>
      <c r="C71" s="30" t="s">
        <v>806</v>
      </c>
    </row>
    <row r="72" spans="1:3" x14ac:dyDescent="0.2">
      <c r="A72" t="str">
        <f>IF(ISERROR(VLOOKUP(C72,Questions!$A$1:G$9999,7,0)),"",VLOOKUP(C72,Questions!$A$1:G$9999,7,0))</f>
        <v/>
      </c>
      <c r="B72" s="17" t="str">
        <f t="shared" si="1"/>
        <v>Problem</v>
      </c>
      <c r="C72" s="29" t="s">
        <v>807</v>
      </c>
    </row>
    <row r="73" spans="1:3" x14ac:dyDescent="0.2">
      <c r="A73">
        <f>IF(ISERROR(VLOOKUP(C73,Questions!$A$1:G$9999,7,0)),"",VLOOKUP(C73,Questions!$A$1:G$9999,7,0))</f>
        <v>1</v>
      </c>
      <c r="B73" s="17" t="str">
        <f t="shared" si="1"/>
        <v>Problem</v>
      </c>
      <c r="C73" s="30" t="s">
        <v>417</v>
      </c>
    </row>
    <row r="74" spans="1:3" x14ac:dyDescent="0.2">
      <c r="A74">
        <f>IF(ISERROR(VLOOKUP(C74,Questions!$A$1:G$9999,7,0)),"",VLOOKUP(C74,Questions!$A$1:G$9999,7,0))</f>
        <v>2</v>
      </c>
      <c r="B74" s="17" t="str">
        <f t="shared" si="1"/>
        <v>Problem</v>
      </c>
      <c r="C74" s="30" t="s">
        <v>421</v>
      </c>
    </row>
    <row r="75" spans="1:3" x14ac:dyDescent="0.2">
      <c r="A75">
        <f>IF(ISERROR(VLOOKUP(C75,Questions!$A$1:G$9999,7,0)),"",VLOOKUP(C75,Questions!$A$1:G$9999,7,0))</f>
        <v>4</v>
      </c>
      <c r="B75" s="17" t="str">
        <f t="shared" si="1"/>
        <v>Problem</v>
      </c>
      <c r="C75" s="30" t="s">
        <v>422</v>
      </c>
    </row>
    <row r="76" spans="1:3" x14ac:dyDescent="0.2">
      <c r="A76">
        <f>IF(ISERROR(VLOOKUP(C76,Questions!$A$1:G$9999,7,0)),"",VLOOKUP(C76,Questions!$A$1:G$9999,7,0))</f>
        <v>1</v>
      </c>
      <c r="B76" s="17" t="str">
        <f t="shared" si="1"/>
        <v>Problem</v>
      </c>
      <c r="C76" s="30" t="s">
        <v>425</v>
      </c>
    </row>
    <row r="77" spans="1:3" x14ac:dyDescent="0.2">
      <c r="A77">
        <f>IF(ISERROR(VLOOKUP(C77,Questions!$A$1:G$9999,7,0)),"",VLOOKUP(C77,Questions!$A$1:G$9999,7,0))</f>
        <v>4</v>
      </c>
      <c r="B77" s="17" t="str">
        <f t="shared" si="1"/>
        <v>Problem</v>
      </c>
      <c r="C77" s="30" t="s">
        <v>427</v>
      </c>
    </row>
    <row r="78" spans="1:3" x14ac:dyDescent="0.2">
      <c r="A78" t="str">
        <f>IF(ISERROR(VLOOKUP(C78,Questions!$A$1:G$9999,7,0)),"",VLOOKUP(C78,Questions!$A$1:G$9999,7,0))</f>
        <v/>
      </c>
      <c r="B78" s="17" t="str">
        <f t="shared" si="1"/>
        <v>Problem</v>
      </c>
      <c r="C78" s="29" t="s">
        <v>808</v>
      </c>
    </row>
    <row r="79" spans="1:3" x14ac:dyDescent="0.2">
      <c r="A79">
        <f>IF(ISERROR(VLOOKUP(C79,Questions!$A$1:G$9999,7,0)),"",VLOOKUP(C79,Questions!$A$1:G$9999,7,0))</f>
        <v>4</v>
      </c>
      <c r="B79" s="17" t="str">
        <f t="shared" si="1"/>
        <v>Problem</v>
      </c>
      <c r="C79" s="30" t="s">
        <v>454</v>
      </c>
    </row>
    <row r="80" spans="1:3" x14ac:dyDescent="0.2">
      <c r="A80">
        <f>IF(ISERROR(VLOOKUP(C80,Questions!$A$1:G$9999,7,0)),"",VLOOKUP(C80,Questions!$A$1:G$9999,7,0))</f>
        <v>1</v>
      </c>
      <c r="B80" s="17" t="str">
        <f t="shared" si="1"/>
        <v>Problem</v>
      </c>
      <c r="C80" s="30" t="s">
        <v>458</v>
      </c>
    </row>
    <row r="81" spans="1:3" x14ac:dyDescent="0.2">
      <c r="A81">
        <f>IF(ISERROR(VLOOKUP(C81,Questions!$A$1:G$9999,7,0)),"",VLOOKUP(C81,Questions!$A$1:G$9999,7,0))</f>
        <v>2</v>
      </c>
      <c r="B81" s="17" t="str">
        <f t="shared" si="1"/>
        <v>Problem</v>
      </c>
      <c r="C81" s="30" t="s">
        <v>459</v>
      </c>
    </row>
    <row r="82" spans="1:3" x14ac:dyDescent="0.2">
      <c r="A82">
        <f>IF(ISERROR(VLOOKUP(C82,Questions!$A$1:G$9999,7,0)),"",VLOOKUP(C82,Questions!$A$1:G$9999,7,0))</f>
        <v>4</v>
      </c>
      <c r="B82" s="17" t="str">
        <f t="shared" si="1"/>
        <v>Problem</v>
      </c>
      <c r="C82" s="30" t="s">
        <v>463</v>
      </c>
    </row>
    <row r="83" spans="1:3" x14ac:dyDescent="0.2">
      <c r="A83">
        <f>IF(ISERROR(VLOOKUP(C83,Questions!$A$1:G$9999,7,0)),"",VLOOKUP(C83,Questions!$A$1:G$9999,7,0))</f>
        <v>4</v>
      </c>
      <c r="B83" s="17" t="str">
        <f t="shared" si="1"/>
        <v>Problem</v>
      </c>
      <c r="C83" s="30" t="s">
        <v>465</v>
      </c>
    </row>
    <row r="84" spans="1:3" x14ac:dyDescent="0.2">
      <c r="A84">
        <f>IF(ISERROR(VLOOKUP(C84,Questions!$A$1:G$9999,7,0)),"",VLOOKUP(C84,Questions!$A$1:G$9999,7,0))</f>
        <v>4</v>
      </c>
      <c r="B84" s="17" t="str">
        <f t="shared" si="1"/>
        <v>Problem</v>
      </c>
      <c r="C84" s="30" t="s">
        <v>809</v>
      </c>
    </row>
    <row r="85" spans="1:3" x14ac:dyDescent="0.2">
      <c r="A85" t="str">
        <f>IF(ISERROR(VLOOKUP(C85,Questions!$A$1:G$9999,7,0)),"",VLOOKUP(C85,Questions!$A$1:G$9999,7,0))</f>
        <v/>
      </c>
      <c r="B85" s="17" t="str">
        <f t="shared" si="1"/>
        <v>Problem</v>
      </c>
      <c r="C85" s="29" t="s">
        <v>810</v>
      </c>
    </row>
    <row r="86" spans="1:3" x14ac:dyDescent="0.2">
      <c r="A86">
        <f>IF(ISERROR(VLOOKUP(C86,Questions!$A$1:G$9999,7,0)),"",VLOOKUP(C86,Questions!$A$1:G$9999,7,0))</f>
        <v>3</v>
      </c>
      <c r="B86" s="17" t="str">
        <f t="shared" si="1"/>
        <v>Problem</v>
      </c>
      <c r="C86" s="30" t="s">
        <v>492</v>
      </c>
    </row>
    <row r="87" spans="1:3" x14ac:dyDescent="0.2">
      <c r="A87">
        <f>IF(ISERROR(VLOOKUP(C87,Questions!$A$1:G$9999,7,0)),"",VLOOKUP(C87,Questions!$A$1:G$9999,7,0))</f>
        <v>4</v>
      </c>
      <c r="B87" s="17" t="str">
        <f t="shared" si="1"/>
        <v>Problem</v>
      </c>
      <c r="C87" s="30" t="s">
        <v>494</v>
      </c>
    </row>
    <row r="88" spans="1:3" x14ac:dyDescent="0.2">
      <c r="A88">
        <f>IF(ISERROR(VLOOKUP(C88,Questions!$A$1:G$9999,7,0)),"",VLOOKUP(C88,Questions!$A$1:G$9999,7,0))</f>
        <v>4</v>
      </c>
      <c r="B88" s="17" t="str">
        <f t="shared" si="1"/>
        <v>Problem</v>
      </c>
      <c r="C88" s="30" t="s">
        <v>495</v>
      </c>
    </row>
    <row r="89" spans="1:3" x14ac:dyDescent="0.2">
      <c r="A89">
        <f>IF(ISERROR(VLOOKUP(C89,Questions!$A$1:G$9999,7,0)),"",VLOOKUP(C89,Questions!$A$1:G$9999,7,0))</f>
        <v>4</v>
      </c>
      <c r="B89" s="17" t="str">
        <f t="shared" si="1"/>
        <v>Problem</v>
      </c>
      <c r="C89" s="30" t="s">
        <v>498</v>
      </c>
    </row>
    <row r="90" spans="1:3" x14ac:dyDescent="0.2">
      <c r="A90" t="str">
        <f>IF(ISERROR(VLOOKUP(C90,Questions!$A$1:G$9999,7,0)),"",VLOOKUP(C90,Questions!$A$1:G$9999,7,0))</f>
        <v/>
      </c>
      <c r="B90" s="17" t="str">
        <f t="shared" si="1"/>
        <v>Problem</v>
      </c>
      <c r="C90" s="29" t="s">
        <v>811</v>
      </c>
    </row>
    <row r="91" spans="1:3" x14ac:dyDescent="0.2">
      <c r="A91">
        <f>IF(ISERROR(VLOOKUP(C91,Questions!$A$1:G$9999,7,0)),"",VLOOKUP(C91,Questions!$A$1:G$9999,7,0))</f>
        <v>4</v>
      </c>
      <c r="B91" s="17" t="str">
        <f t="shared" si="1"/>
        <v>Problem</v>
      </c>
      <c r="C91" s="30" t="s">
        <v>524</v>
      </c>
    </row>
    <row r="92" spans="1:3" x14ac:dyDescent="0.2">
      <c r="A92">
        <f>IF(ISERROR(VLOOKUP(C92,Questions!$A$1:G$9999,7,0)),"",VLOOKUP(C92,Questions!$A$1:G$9999,7,0))</f>
        <v>2</v>
      </c>
      <c r="B92" s="17" t="str">
        <f t="shared" si="1"/>
        <v>Problem</v>
      </c>
      <c r="C92" s="30" t="s">
        <v>525</v>
      </c>
    </row>
    <row r="93" spans="1:3" x14ac:dyDescent="0.2">
      <c r="A93">
        <f>IF(ISERROR(VLOOKUP(C93,Questions!$A$1:G$9999,7,0)),"",VLOOKUP(C93,Questions!$A$1:G$9999,7,0))</f>
        <v>3</v>
      </c>
      <c r="B93" s="17" t="str">
        <f t="shared" si="1"/>
        <v>Problem</v>
      </c>
      <c r="C93" s="30" t="s">
        <v>528</v>
      </c>
    </row>
    <row r="94" spans="1:3" x14ac:dyDescent="0.2">
      <c r="A94">
        <f>IF(ISERROR(VLOOKUP(C94,Questions!$A$1:G$9999,7,0)),"",VLOOKUP(C94,Questions!$A$1:G$9999,7,0))</f>
        <v>1</v>
      </c>
      <c r="B94" s="17" t="str">
        <f t="shared" si="1"/>
        <v>Problem</v>
      </c>
      <c r="C94" s="30" t="s">
        <v>529</v>
      </c>
    </row>
    <row r="95" spans="1:3" x14ac:dyDescent="0.2">
      <c r="A95">
        <f>IF(ISERROR(VLOOKUP(C95,Questions!$A$1:G$9999,7,0)),"",VLOOKUP(C95,Questions!$A$1:G$9999,7,0))</f>
        <v>4</v>
      </c>
      <c r="B95" s="17" t="str">
        <f t="shared" si="1"/>
        <v>Problem</v>
      </c>
      <c r="C95" s="30" t="s">
        <v>531</v>
      </c>
    </row>
    <row r="96" spans="1:3" x14ac:dyDescent="0.2">
      <c r="A96">
        <f>IF(ISERROR(VLOOKUP(C96,Questions!$A$1:G$9999,7,0)),"",VLOOKUP(C96,Questions!$A$1:G$9999,7,0))</f>
        <v>1</v>
      </c>
      <c r="B96" s="17" t="str">
        <f t="shared" si="1"/>
        <v>Problem</v>
      </c>
      <c r="C96" s="30" t="s">
        <v>532</v>
      </c>
    </row>
    <row r="97" spans="1:3" x14ac:dyDescent="0.2">
      <c r="A97">
        <f>IF(ISERROR(VLOOKUP(C97,Questions!$A$1:G$9999,7,0)),"",VLOOKUP(C97,Questions!$A$1:G$9999,7,0))</f>
        <v>1</v>
      </c>
      <c r="B97" s="17" t="str">
        <f t="shared" si="1"/>
        <v>Problem</v>
      </c>
      <c r="C97" s="30" t="s">
        <v>533</v>
      </c>
    </row>
    <row r="98" spans="1:3" x14ac:dyDescent="0.2">
      <c r="A98">
        <f>IF(ISERROR(VLOOKUP(C98,Questions!$A$1:G$9999,7,0)),"",VLOOKUP(C98,Questions!$A$1:G$9999,7,0))</f>
        <v>1</v>
      </c>
      <c r="B98" s="17" t="str">
        <f t="shared" si="1"/>
        <v>Problem</v>
      </c>
      <c r="C98" s="30" t="s">
        <v>812</v>
      </c>
    </row>
    <row r="99" spans="1:3" x14ac:dyDescent="0.2">
      <c r="A99" t="str">
        <f>IF(ISERROR(VLOOKUP(C99,Questions!$A$1:G$9999,7,0)),"",VLOOKUP(C99,Questions!$A$1:G$9999,7,0))</f>
        <v/>
      </c>
      <c r="B99" s="17" t="str">
        <f t="shared" si="1"/>
        <v>Problem</v>
      </c>
      <c r="C99" s="29" t="s">
        <v>777</v>
      </c>
    </row>
    <row r="100" spans="1:3" x14ac:dyDescent="0.2">
      <c r="A100">
        <f>IF(ISERROR(VLOOKUP(C100,Questions!$A$1:G$9999,7,0)),"",VLOOKUP(C100,Questions!$A$1:G$9999,7,0))</f>
        <v>2</v>
      </c>
      <c r="B100" s="17" t="str">
        <f t="shared" si="1"/>
        <v>Problem</v>
      </c>
      <c r="C100" s="30" t="s">
        <v>644</v>
      </c>
    </row>
    <row r="101" spans="1:3" x14ac:dyDescent="0.2">
      <c r="A101">
        <f>IF(ISERROR(VLOOKUP(C101,Questions!$A$1:G$9999,7,0)),"",VLOOKUP(C101,Questions!$A$1:G$9999,7,0))</f>
        <v>2</v>
      </c>
      <c r="B101" s="17" t="str">
        <f t="shared" si="1"/>
        <v>Problem</v>
      </c>
      <c r="C101" s="30" t="s">
        <v>647</v>
      </c>
    </row>
    <row r="102" spans="1:3" x14ac:dyDescent="0.2">
      <c r="A102">
        <f>IF(ISERROR(VLOOKUP(C102,Questions!$A$1:G$9999,7,0)),"",VLOOKUP(C102,Questions!$A$1:G$9999,7,0))</f>
        <v>3</v>
      </c>
      <c r="B102" s="17" t="str">
        <f t="shared" si="1"/>
        <v>Problem</v>
      </c>
      <c r="C102" s="30" t="s">
        <v>648</v>
      </c>
    </row>
    <row r="103" spans="1:3" x14ac:dyDescent="0.2">
      <c r="A103">
        <f>IF(ISERROR(VLOOKUP(C103,Questions!$A$1:G$9999,7,0)),"",VLOOKUP(C103,Questions!$A$1:G$9999,7,0))</f>
        <v>4</v>
      </c>
      <c r="B103" s="17" t="str">
        <f t="shared" si="1"/>
        <v>Problem</v>
      </c>
      <c r="C103" s="30" t="s">
        <v>649</v>
      </c>
    </row>
    <row r="104" spans="1:3" x14ac:dyDescent="0.2">
      <c r="A104" t="str">
        <f>IF(ISERROR(VLOOKUP(C104,Questions!$A$1:G$9999,7,0)),"",VLOOKUP(C104,Questions!$A$1:G$9999,7,0))</f>
        <v/>
      </c>
      <c r="B104" s="17" t="str">
        <f t="shared" si="1"/>
        <v>Problem</v>
      </c>
      <c r="C104" s="29" t="s">
        <v>778</v>
      </c>
    </row>
    <row r="105" spans="1:3" x14ac:dyDescent="0.2">
      <c r="A105">
        <f>IF(ISERROR(VLOOKUP(C105,Questions!$A$1:G$9999,7,0)),"",VLOOKUP(C105,Questions!$A$1:G$9999,7,0))</f>
        <v>4</v>
      </c>
      <c r="B105" s="17" t="str">
        <f t="shared" si="1"/>
        <v>Problem</v>
      </c>
      <c r="C105" s="30" t="s">
        <v>715</v>
      </c>
    </row>
    <row r="106" spans="1:3" x14ac:dyDescent="0.2">
      <c r="A106">
        <f>IF(ISERROR(VLOOKUP(C106,Questions!$A$1:G$9999,7,0)),"",VLOOKUP(C106,Questions!$A$1:G$9999,7,0))</f>
        <v>3</v>
      </c>
      <c r="B106" s="17" t="str">
        <f t="shared" si="1"/>
        <v>Problem</v>
      </c>
      <c r="C106" s="30" t="s">
        <v>716</v>
      </c>
    </row>
    <row r="107" spans="1:3" x14ac:dyDescent="0.2">
      <c r="A107">
        <f>IF(ISERROR(VLOOKUP(C107,Questions!$A$1:G$9999,7,0)),"",VLOOKUP(C107,Questions!$A$1:G$9999,7,0))</f>
        <v>1</v>
      </c>
      <c r="B107" s="17" t="str">
        <f t="shared" si="1"/>
        <v>Problem</v>
      </c>
      <c r="C107" s="30" t="s">
        <v>718</v>
      </c>
    </row>
    <row r="108" spans="1:3" x14ac:dyDescent="0.2">
      <c r="A108">
        <f>IF(ISERROR(VLOOKUP(C108,Questions!$A$1:G$9999,7,0)),"",VLOOKUP(C108,Questions!$A$1:G$9999,7,0))</f>
        <v>2</v>
      </c>
      <c r="B108" s="17" t="str">
        <f t="shared" si="1"/>
        <v>Problem</v>
      </c>
      <c r="C108" s="30" t="s">
        <v>723</v>
      </c>
    </row>
    <row r="109" spans="1:3" x14ac:dyDescent="0.2">
      <c r="A109">
        <f>IF(ISERROR(VLOOKUP(C109,Questions!$A$1:G$9999,7,0)),"",VLOOKUP(C109,Questions!$A$1:G$9999,7,0))</f>
        <v>1</v>
      </c>
      <c r="B109" s="17" t="str">
        <f t="shared" si="1"/>
        <v>Problem</v>
      </c>
      <c r="C109" s="30" t="s">
        <v>737</v>
      </c>
    </row>
    <row r="110" spans="1:3" x14ac:dyDescent="0.2">
      <c r="A110" t="str">
        <f>IF(ISERROR(VLOOKUP(C110,Questions!$A$1:G$9999,7,0)),"",VLOOKUP(C110,Questions!$A$1:G$9999,7,0))</f>
        <v/>
      </c>
      <c r="B110" s="17" t="str">
        <f t="shared" si="1"/>
        <v>Problem</v>
      </c>
      <c r="C110" s="29" t="s">
        <v>779</v>
      </c>
    </row>
    <row r="111" spans="1:3" x14ac:dyDescent="0.2">
      <c r="A111">
        <f>IF(ISERROR(VLOOKUP(C111,Questions!$A$1:G$9999,7,0)),"",VLOOKUP(C111,Questions!$A$1:G$9999,7,0))</f>
        <v>3</v>
      </c>
      <c r="B111" s="17" t="str">
        <f t="shared" si="1"/>
        <v>Problem</v>
      </c>
      <c r="C111" s="30" t="s">
        <v>813</v>
      </c>
    </row>
    <row r="112" spans="1:3" x14ac:dyDescent="0.2">
      <c r="A112">
        <f>IF(ISERROR(VLOOKUP(C112,Questions!$A$1:G$9999,7,0)),"",VLOOKUP(C112,Questions!$A$1:G$9999,7,0))</f>
        <v>3</v>
      </c>
      <c r="B112" s="17" t="str">
        <f t="shared" si="1"/>
        <v>Problem</v>
      </c>
      <c r="C112" s="30" t="s">
        <v>814</v>
      </c>
    </row>
    <row r="113" spans="1:3" x14ac:dyDescent="0.2">
      <c r="A113">
        <f>IF(ISERROR(VLOOKUP(C113,Questions!$A$1:G$9999,7,0)),"",VLOOKUP(C113,Questions!$A$1:G$9999,7,0))</f>
        <v>3</v>
      </c>
      <c r="B113" s="17" t="str">
        <f t="shared" si="1"/>
        <v>Problem</v>
      </c>
      <c r="C113" s="30" t="s">
        <v>815</v>
      </c>
    </row>
    <row r="114" spans="1:3" x14ac:dyDescent="0.2">
      <c r="A114">
        <f>IF(ISERROR(VLOOKUP(C114,Questions!$A$1:G$9999,7,0)),"",VLOOKUP(C114,Questions!$A$1:G$9999,7,0))</f>
        <v>4</v>
      </c>
      <c r="B114" s="17" t="str">
        <f t="shared" si="1"/>
        <v>Problem</v>
      </c>
      <c r="C114" s="30" t="s">
        <v>816</v>
      </c>
    </row>
    <row r="115" spans="1:3" x14ac:dyDescent="0.2">
      <c r="A115" t="str">
        <f>IF(ISERROR(VLOOKUP(C115,Questions!$A$1:G$9999,7,0)),"",VLOOKUP(C115,Questions!$A$1:G$9999,7,0))</f>
        <v/>
      </c>
      <c r="B115" s="17" t="str">
        <f t="shared" si="1"/>
        <v>Problem</v>
      </c>
      <c r="C115" s="29" t="s">
        <v>780</v>
      </c>
    </row>
    <row r="116" spans="1:3" x14ac:dyDescent="0.2">
      <c r="A116">
        <f>IF(ISERROR(VLOOKUP(C116,Questions!$A$1:G$9999,7,0)),"",VLOOKUP(C116,Questions!$A$1:G$9999,7,0))</f>
        <v>1</v>
      </c>
      <c r="B116" s="17" t="str">
        <f t="shared" si="1"/>
        <v>Problem</v>
      </c>
      <c r="C116" s="30" t="s">
        <v>817</v>
      </c>
    </row>
    <row r="117" spans="1:3" x14ac:dyDescent="0.2">
      <c r="A117">
        <f>IF(ISERROR(VLOOKUP(C117,Questions!$A$1:G$9999,7,0)),"",VLOOKUP(C117,Questions!$A$1:G$9999,7,0))</f>
        <v>2</v>
      </c>
      <c r="B117" s="17" t="str">
        <f t="shared" si="1"/>
        <v>Problem</v>
      </c>
      <c r="C117" s="30" t="s">
        <v>818</v>
      </c>
    </row>
    <row r="118" spans="1:3" x14ac:dyDescent="0.2">
      <c r="A118">
        <f>IF(ISERROR(VLOOKUP(C118,Questions!$A$1:G$9999,7,0)),"",VLOOKUP(C118,Questions!$A$1:G$9999,7,0))</f>
        <v>4</v>
      </c>
      <c r="B118" s="17" t="str">
        <f t="shared" si="1"/>
        <v>Problem</v>
      </c>
      <c r="C118" s="30" t="s">
        <v>819</v>
      </c>
    </row>
    <row r="119" spans="1:3" x14ac:dyDescent="0.2">
      <c r="A119">
        <f>IF(ISERROR(VLOOKUP(C119,Questions!$A$1:G$9999,7,0)),"",VLOOKUP(C119,Questions!$A$1:G$9999,7,0))</f>
        <v>2</v>
      </c>
      <c r="B119" s="17" t="str">
        <f t="shared" si="1"/>
        <v>Problem</v>
      </c>
      <c r="C119" s="30" t="s">
        <v>820</v>
      </c>
    </row>
    <row r="120" spans="1:3" x14ac:dyDescent="0.2">
      <c r="A120" t="str">
        <f>IF(ISERROR(VLOOKUP(C120,Questions!$A$1:G$9999,7,0)),"",VLOOKUP(C120,Questions!$A$1:G$9999,7,0))</f>
        <v/>
      </c>
      <c r="B120" s="17" t="str">
        <f t="shared" si="1"/>
        <v>Problem</v>
      </c>
      <c r="C120" s="29" t="s">
        <v>781</v>
      </c>
    </row>
    <row r="121" spans="1:3" x14ac:dyDescent="0.2">
      <c r="A121">
        <f>IF(ISERROR(VLOOKUP(C121,Questions!$A$1:G$9999,7,0)),"",VLOOKUP(C121,Questions!$A$1:G$9999,7,0))</f>
        <v>2</v>
      </c>
      <c r="B121" s="17" t="str">
        <f t="shared" si="1"/>
        <v>Problem</v>
      </c>
      <c r="C121" s="30" t="s">
        <v>821</v>
      </c>
    </row>
    <row r="122" spans="1:3" x14ac:dyDescent="0.2">
      <c r="A122">
        <f>IF(ISERROR(VLOOKUP(C122,Questions!$A$1:G$9999,7,0)),"",VLOOKUP(C122,Questions!$A$1:G$9999,7,0))</f>
        <v>1</v>
      </c>
      <c r="B122" s="17" t="str">
        <f t="shared" si="1"/>
        <v>Problem</v>
      </c>
      <c r="C122" s="30" t="s">
        <v>822</v>
      </c>
    </row>
    <row r="123" spans="1:3" x14ac:dyDescent="0.2">
      <c r="A123">
        <f>IF(ISERROR(VLOOKUP(C123,Questions!$A$1:G$9999,7,0)),"",VLOOKUP(C123,Questions!$A$1:G$9999,7,0))</f>
        <v>4</v>
      </c>
      <c r="B123" s="17" t="str">
        <f t="shared" si="1"/>
        <v>Problem</v>
      </c>
      <c r="C123" s="30" t="s">
        <v>823</v>
      </c>
    </row>
    <row r="124" spans="1:3" x14ac:dyDescent="0.2">
      <c r="A124">
        <f>IF(ISERROR(VLOOKUP(C124,Questions!$A$1:G$9999,7,0)),"",VLOOKUP(C124,Questions!$A$1:G$9999,7,0))</f>
        <v>2</v>
      </c>
      <c r="B124" s="17" t="str">
        <f t="shared" si="1"/>
        <v>Problem</v>
      </c>
      <c r="C124" s="30" t="s">
        <v>824</v>
      </c>
    </row>
    <row r="125" spans="1:3" x14ac:dyDescent="0.2">
      <c r="A125">
        <f>IF(ISERROR(VLOOKUP(C125,Questions!$A$1:G$9999,7,0)),"",VLOOKUP(C125,Questions!$A$1:G$9999,7,0))</f>
        <v>1</v>
      </c>
      <c r="B125" s="17" t="str">
        <f t="shared" si="1"/>
        <v>Problem</v>
      </c>
      <c r="C125" s="30" t="s">
        <v>825</v>
      </c>
    </row>
    <row r="126" spans="1:3" x14ac:dyDescent="0.2">
      <c r="A126" t="str">
        <f>IF(ISERROR(VLOOKUP(C126,Questions!$A$1:G$9999,7,0)),"",VLOOKUP(C126,Questions!$A$1:G$9999,7,0))</f>
        <v/>
      </c>
      <c r="B126" s="17" t="str">
        <f t="shared" si="1"/>
        <v>Problem</v>
      </c>
      <c r="C126" s="29" t="s">
        <v>826</v>
      </c>
    </row>
    <row r="127" spans="1:3" x14ac:dyDescent="0.2">
      <c r="A127">
        <f>IF(ISERROR(VLOOKUP(C127,Questions!$A$1:G$9999,7,0)),"",VLOOKUP(C127,Questions!$A$1:G$9999,7,0))</f>
        <v>2</v>
      </c>
      <c r="B127" s="17" t="str">
        <f t="shared" si="1"/>
        <v>Problem</v>
      </c>
      <c r="C127" s="30" t="s">
        <v>827</v>
      </c>
    </row>
    <row r="128" spans="1:3" x14ac:dyDescent="0.2">
      <c r="A128">
        <f>IF(ISERROR(VLOOKUP(C128,Questions!$A$1:G$9999,7,0)),"",VLOOKUP(C128,Questions!$A$1:G$9999,7,0))</f>
        <v>2</v>
      </c>
      <c r="B128" s="17" t="str">
        <f t="shared" si="1"/>
        <v>Problem</v>
      </c>
      <c r="C128" s="30" t="s">
        <v>828</v>
      </c>
    </row>
    <row r="129" spans="1:3" x14ac:dyDescent="0.2">
      <c r="A129">
        <f>IF(ISERROR(VLOOKUP(C129,Questions!$A$1:G$9999,7,0)),"",VLOOKUP(C129,Questions!$A$1:G$9999,7,0))</f>
        <v>2</v>
      </c>
      <c r="B129" s="17" t="str">
        <f t="shared" si="1"/>
        <v>Problem</v>
      </c>
      <c r="C129" s="30" t="s">
        <v>829</v>
      </c>
    </row>
    <row r="130" spans="1:3" x14ac:dyDescent="0.2">
      <c r="A130">
        <f>IF(ISERROR(VLOOKUP(C130,Questions!$A$1:G$9999,7,0)),"",VLOOKUP(C130,Questions!$A$1:G$9999,7,0))</f>
        <v>2</v>
      </c>
      <c r="B130" s="17" t="str">
        <f t="shared" si="1"/>
        <v>Problem</v>
      </c>
      <c r="C130" s="30" t="s">
        <v>830</v>
      </c>
    </row>
    <row r="131" spans="1:3" x14ac:dyDescent="0.2">
      <c r="A131" t="str">
        <f>IF(ISERROR(VLOOKUP(C131,Questions!$A$1:G$9999,7,0)),"",VLOOKUP(C131,Questions!$A$1:G$9999,7,0))</f>
        <v/>
      </c>
      <c r="B131" s="17" t="str">
        <f t="shared" si="1"/>
        <v>Problem</v>
      </c>
      <c r="C131" s="29" t="s">
        <v>1195</v>
      </c>
    </row>
    <row r="132" spans="1:3" x14ac:dyDescent="0.2">
      <c r="A132">
        <f>IF(ISERROR(VLOOKUP(C132,Questions!$A$1:G$9999,7,0)),"",VLOOKUP(C132,Questions!$A$1:G$9999,7,0))</f>
        <v>4</v>
      </c>
      <c r="B132" s="17" t="str">
        <f t="shared" ref="B132:B195" si="2">HYPERLINK("http://www.mrhosey.com/RPhys/" &amp; C132 &amp; ".gif","Problem")</f>
        <v>Problem</v>
      </c>
      <c r="C132" s="30" t="s">
        <v>1196</v>
      </c>
    </row>
    <row r="133" spans="1:3" x14ac:dyDescent="0.2">
      <c r="A133">
        <f>IF(ISERROR(VLOOKUP(C133,Questions!$A$1:G$9999,7,0)),"",VLOOKUP(C133,Questions!$A$1:G$9999,7,0))</f>
        <v>3</v>
      </c>
      <c r="B133" s="17" t="str">
        <f t="shared" si="2"/>
        <v>Problem</v>
      </c>
      <c r="C133" s="30" t="s">
        <v>1197</v>
      </c>
    </row>
    <row r="134" spans="1:3" x14ac:dyDescent="0.2">
      <c r="A134">
        <f>IF(ISERROR(VLOOKUP(C134,Questions!$A$1:G$9999,7,0)),"",VLOOKUP(C134,Questions!$A$1:G$9999,7,0))</f>
        <v>3</v>
      </c>
      <c r="B134" s="17" t="str">
        <f t="shared" si="2"/>
        <v>Problem</v>
      </c>
      <c r="C134" s="30" t="s">
        <v>1198</v>
      </c>
    </row>
    <row r="135" spans="1:3" x14ac:dyDescent="0.2">
      <c r="A135">
        <f>IF(ISERROR(VLOOKUP(C135,Questions!$A$1:G$9999,7,0)),"",VLOOKUP(C135,Questions!$A$1:G$9999,7,0))</f>
        <v>4</v>
      </c>
      <c r="B135" s="17" t="str">
        <f t="shared" si="2"/>
        <v>Problem</v>
      </c>
      <c r="C135" s="30" t="s">
        <v>1199</v>
      </c>
    </row>
    <row r="136" spans="1:3" x14ac:dyDescent="0.2">
      <c r="A136">
        <f>IF(ISERROR(VLOOKUP(C136,Questions!$A$1:G$9999,7,0)),"",VLOOKUP(C136,Questions!$A$1:G$9999,7,0))</f>
        <v>2</v>
      </c>
      <c r="B136" s="17" t="str">
        <f t="shared" si="2"/>
        <v>Problem</v>
      </c>
      <c r="C136" s="30" t="s">
        <v>1200</v>
      </c>
    </row>
    <row r="137" spans="1:3" x14ac:dyDescent="0.2">
      <c r="A137">
        <f>IF(ISERROR(VLOOKUP(C137,Questions!$A$1:G$9999,7,0)),"",VLOOKUP(C137,Questions!$A$1:G$9999,7,0))</f>
        <v>1</v>
      </c>
      <c r="B137" s="17" t="str">
        <f t="shared" si="2"/>
        <v>Problem</v>
      </c>
      <c r="C137" s="30" t="s">
        <v>1201</v>
      </c>
    </row>
    <row r="138" spans="1:3" x14ac:dyDescent="0.2">
      <c r="A138">
        <f>IF(ISERROR(VLOOKUP(C138,Questions!$A$1:G$9999,7,0)),"",VLOOKUP(C138,Questions!$A$1:G$9999,7,0))</f>
        <v>4</v>
      </c>
      <c r="B138" s="17" t="str">
        <f t="shared" si="2"/>
        <v>Problem</v>
      </c>
      <c r="C138" s="30" t="s">
        <v>1202</v>
      </c>
    </row>
    <row r="139" spans="1:3" x14ac:dyDescent="0.2">
      <c r="A139" t="str">
        <f>IF(ISERROR(VLOOKUP(C139,Questions!$A$1:G$9999,7,0)),"",VLOOKUP(C139,Questions!$A$1:G$9999,7,0))</f>
        <v/>
      </c>
      <c r="B139" s="17" t="str">
        <f t="shared" si="2"/>
        <v>Problem</v>
      </c>
      <c r="C139" s="12" t="s">
        <v>11</v>
      </c>
    </row>
    <row r="140" spans="1:3" x14ac:dyDescent="0.2">
      <c r="A140" t="str">
        <f>IF(ISERROR(VLOOKUP(C140,Questions!$A$1:G$9999,7,0)),"",VLOOKUP(C140,Questions!$A$1:G$9999,7,0))</f>
        <v/>
      </c>
      <c r="B140" s="17" t="str">
        <f t="shared" si="2"/>
        <v>Problem</v>
      </c>
      <c r="C140" s="29" t="s">
        <v>785</v>
      </c>
    </row>
    <row r="141" spans="1:3" x14ac:dyDescent="0.2">
      <c r="A141">
        <f>IF(ISERROR(VLOOKUP(C141,Questions!$A$1:G$9999,7,0)),"",VLOOKUP(C141,Questions!$A$1:G$9999,7,0))</f>
        <v>1</v>
      </c>
      <c r="B141" s="17" t="str">
        <f t="shared" si="2"/>
        <v>Problem</v>
      </c>
      <c r="C141" s="30" t="s">
        <v>32</v>
      </c>
    </row>
    <row r="142" spans="1:3" x14ac:dyDescent="0.2">
      <c r="A142">
        <f>IF(ISERROR(VLOOKUP(C142,Questions!$A$1:G$9999,7,0)),"",VLOOKUP(C142,Questions!$A$1:G$9999,7,0))</f>
        <v>3</v>
      </c>
      <c r="B142" s="17" t="str">
        <f t="shared" si="2"/>
        <v>Problem</v>
      </c>
      <c r="C142" s="30" t="s">
        <v>33</v>
      </c>
    </row>
    <row r="143" spans="1:3" x14ac:dyDescent="0.2">
      <c r="A143">
        <f>IF(ISERROR(VLOOKUP(C143,Questions!$A$1:G$9999,7,0)),"",VLOOKUP(C143,Questions!$A$1:G$9999,7,0))</f>
        <v>3</v>
      </c>
      <c r="B143" s="17" t="str">
        <f t="shared" si="2"/>
        <v>Problem</v>
      </c>
      <c r="C143" s="30" t="s">
        <v>34</v>
      </c>
    </row>
    <row r="144" spans="1:3" x14ac:dyDescent="0.2">
      <c r="A144">
        <f>IF(ISERROR(VLOOKUP(C144,Questions!$A$1:G$9999,7,0)),"",VLOOKUP(C144,Questions!$A$1:G$9999,7,0))</f>
        <v>4</v>
      </c>
      <c r="B144" s="17" t="str">
        <f t="shared" si="2"/>
        <v>Problem</v>
      </c>
      <c r="C144" s="30" t="s">
        <v>35</v>
      </c>
    </row>
    <row r="145" spans="1:3" x14ac:dyDescent="0.2">
      <c r="A145">
        <f>IF(ISERROR(VLOOKUP(C145,Questions!$A$1:G$9999,7,0)),"",VLOOKUP(C145,Questions!$A$1:G$9999,7,0))</f>
        <v>4</v>
      </c>
      <c r="B145" s="17" t="str">
        <f t="shared" si="2"/>
        <v>Problem</v>
      </c>
      <c r="C145" s="30" t="s">
        <v>43</v>
      </c>
    </row>
    <row r="146" spans="1:3" x14ac:dyDescent="0.2">
      <c r="A146">
        <f>IF(ISERROR(VLOOKUP(C146,Questions!$A$1:G$9999,7,0)),"",VLOOKUP(C146,Questions!$A$1:G$9999,7,0))</f>
        <v>1</v>
      </c>
      <c r="B146" s="17" t="str">
        <f t="shared" si="2"/>
        <v>Problem</v>
      </c>
      <c r="C146" s="30" t="s">
        <v>45</v>
      </c>
    </row>
    <row r="147" spans="1:3" x14ac:dyDescent="0.2">
      <c r="A147">
        <f>IF(ISERROR(VLOOKUP(C147,Questions!$A$1:G$9999,7,0)),"",VLOOKUP(C147,Questions!$A$1:G$9999,7,0))</f>
        <v>3</v>
      </c>
      <c r="B147" s="17" t="str">
        <f t="shared" si="2"/>
        <v>Problem</v>
      </c>
      <c r="C147" s="30" t="s">
        <v>831</v>
      </c>
    </row>
    <row r="148" spans="1:3" x14ac:dyDescent="0.2">
      <c r="A148">
        <f>IF(ISERROR(VLOOKUP(C148,Questions!$A$1:G$9999,7,0)),"",VLOOKUP(C148,Questions!$A$1:G$9999,7,0))</f>
        <v>2</v>
      </c>
      <c r="B148" s="17" t="str">
        <f t="shared" si="2"/>
        <v>Problem</v>
      </c>
      <c r="C148" s="30" t="s">
        <v>832</v>
      </c>
    </row>
    <row r="149" spans="1:3" x14ac:dyDescent="0.2">
      <c r="A149" t="str">
        <f>IF(ISERROR(VLOOKUP(C149,Questions!$A$1:G$9999,7,0)),"",VLOOKUP(C149,Questions!$A$1:G$9999,7,0))</f>
        <v/>
      </c>
      <c r="B149" s="17" t="str">
        <f t="shared" si="2"/>
        <v>Problem</v>
      </c>
      <c r="C149" s="29" t="s">
        <v>787</v>
      </c>
    </row>
    <row r="150" spans="1:3" x14ac:dyDescent="0.2">
      <c r="A150">
        <f>IF(ISERROR(VLOOKUP(C150,Questions!$A$1:G$9999,7,0)),"",VLOOKUP(C150,Questions!$A$1:G$9999,7,0))</f>
        <v>2</v>
      </c>
      <c r="B150" s="17" t="str">
        <f t="shared" si="2"/>
        <v>Problem</v>
      </c>
      <c r="C150" s="30" t="s">
        <v>59</v>
      </c>
    </row>
    <row r="151" spans="1:3" x14ac:dyDescent="0.2">
      <c r="A151">
        <f>IF(ISERROR(VLOOKUP(C151,Questions!$A$1:G$9999,7,0)),"",VLOOKUP(C151,Questions!$A$1:G$9999,7,0))</f>
        <v>4</v>
      </c>
      <c r="B151" s="17" t="str">
        <f t="shared" si="2"/>
        <v>Problem</v>
      </c>
      <c r="C151" s="30" t="s">
        <v>60</v>
      </c>
    </row>
    <row r="152" spans="1:3" x14ac:dyDescent="0.2">
      <c r="A152">
        <f>IF(ISERROR(VLOOKUP(C152,Questions!$A$1:G$9999,7,0)),"",VLOOKUP(C152,Questions!$A$1:G$9999,7,0))</f>
        <v>1</v>
      </c>
      <c r="B152" s="17" t="str">
        <f t="shared" si="2"/>
        <v>Problem</v>
      </c>
      <c r="C152" s="30" t="s">
        <v>80</v>
      </c>
    </row>
    <row r="153" spans="1:3" x14ac:dyDescent="0.2">
      <c r="A153">
        <f>IF(ISERROR(VLOOKUP(C153,Questions!$A$1:G$9999,7,0)),"",VLOOKUP(C153,Questions!$A$1:G$9999,7,0))</f>
        <v>1</v>
      </c>
      <c r="B153" s="17" t="str">
        <f t="shared" si="2"/>
        <v>Problem</v>
      </c>
      <c r="C153" s="30" t="s">
        <v>833</v>
      </c>
    </row>
    <row r="154" spans="1:3" x14ac:dyDescent="0.2">
      <c r="A154">
        <f>IF(ISERROR(VLOOKUP(C154,Questions!$A$1:G$9999,7,0)),"",VLOOKUP(C154,Questions!$A$1:G$9999,7,0))</f>
        <v>4</v>
      </c>
      <c r="B154" s="17" t="str">
        <f t="shared" si="2"/>
        <v>Problem</v>
      </c>
      <c r="C154" s="30" t="s">
        <v>834</v>
      </c>
    </row>
    <row r="155" spans="1:3" x14ac:dyDescent="0.2">
      <c r="A155">
        <f>IF(ISERROR(VLOOKUP(C155,Questions!$A$1:G$9999,7,0)),"",VLOOKUP(C155,Questions!$A$1:G$9999,7,0))</f>
        <v>1</v>
      </c>
      <c r="B155" s="17" t="str">
        <f t="shared" si="2"/>
        <v>Problem</v>
      </c>
      <c r="C155" s="30" t="s">
        <v>835</v>
      </c>
    </row>
    <row r="156" spans="1:3" x14ac:dyDescent="0.2">
      <c r="A156">
        <f>IF(ISERROR(VLOOKUP(C156,Questions!$A$1:G$9999,7,0)),"",VLOOKUP(C156,Questions!$A$1:G$9999,7,0))</f>
        <v>4</v>
      </c>
      <c r="B156" s="17" t="str">
        <f t="shared" si="2"/>
        <v>Problem</v>
      </c>
      <c r="C156" s="30" t="s">
        <v>836</v>
      </c>
    </row>
    <row r="157" spans="1:3" x14ac:dyDescent="0.2">
      <c r="A157" t="str">
        <f>IF(ISERROR(VLOOKUP(C157,Questions!$A$1:G$9999,7,0)),"",VLOOKUP(C157,Questions!$A$1:G$9999,7,0))</f>
        <v/>
      </c>
      <c r="B157" s="17" t="str">
        <f t="shared" si="2"/>
        <v>Problem</v>
      </c>
      <c r="C157" s="29" t="s">
        <v>789</v>
      </c>
    </row>
    <row r="158" spans="1:3" x14ac:dyDescent="0.2">
      <c r="A158">
        <f>IF(ISERROR(VLOOKUP(C158,Questions!$A$1:G$9999,7,0)),"",VLOOKUP(C158,Questions!$A$1:G$9999,7,0))</f>
        <v>2</v>
      </c>
      <c r="B158" s="17" t="str">
        <f t="shared" si="2"/>
        <v>Problem</v>
      </c>
      <c r="C158" s="30" t="s">
        <v>103</v>
      </c>
    </row>
    <row r="159" spans="1:3" x14ac:dyDescent="0.2">
      <c r="A159">
        <f>IF(ISERROR(VLOOKUP(C159,Questions!$A$1:G$9999,7,0)),"",VLOOKUP(C159,Questions!$A$1:G$9999,7,0))</f>
        <v>2</v>
      </c>
      <c r="B159" s="17" t="str">
        <f t="shared" si="2"/>
        <v>Problem</v>
      </c>
      <c r="C159" s="30" t="s">
        <v>106</v>
      </c>
    </row>
    <row r="160" spans="1:3" x14ac:dyDescent="0.2">
      <c r="A160">
        <f>IF(ISERROR(VLOOKUP(C160,Questions!$A$1:G$9999,7,0)),"",VLOOKUP(C160,Questions!$A$1:G$9999,7,0))</f>
        <v>4</v>
      </c>
      <c r="B160" s="17" t="str">
        <f t="shared" si="2"/>
        <v>Problem</v>
      </c>
      <c r="C160" s="30" t="s">
        <v>107</v>
      </c>
    </row>
    <row r="161" spans="1:3" x14ac:dyDescent="0.2">
      <c r="A161">
        <f>IF(ISERROR(VLOOKUP(C161,Questions!$A$1:G$9999,7,0)),"",VLOOKUP(C161,Questions!$A$1:G$9999,7,0))</f>
        <v>1</v>
      </c>
      <c r="B161" s="17" t="str">
        <f t="shared" si="2"/>
        <v>Problem</v>
      </c>
      <c r="C161" s="30" t="s">
        <v>837</v>
      </c>
    </row>
    <row r="162" spans="1:3" x14ac:dyDescent="0.2">
      <c r="A162">
        <f>IF(ISERROR(VLOOKUP(C162,Questions!$A$1:G$9999,7,0)),"",VLOOKUP(C162,Questions!$A$1:G$9999,7,0))</f>
        <v>4</v>
      </c>
      <c r="B162" s="17" t="str">
        <f t="shared" si="2"/>
        <v>Problem</v>
      </c>
      <c r="C162" s="30" t="s">
        <v>838</v>
      </c>
    </row>
    <row r="163" spans="1:3" x14ac:dyDescent="0.2">
      <c r="A163">
        <f>IF(ISERROR(VLOOKUP(C163,Questions!$A$1:G$9999,7,0)),"",VLOOKUP(C163,Questions!$A$1:G$9999,7,0))</f>
        <v>2</v>
      </c>
      <c r="B163" s="17" t="str">
        <f t="shared" si="2"/>
        <v>Problem</v>
      </c>
      <c r="C163" s="30" t="s">
        <v>839</v>
      </c>
    </row>
    <row r="164" spans="1:3" x14ac:dyDescent="0.2">
      <c r="A164" t="str">
        <f>IF(ISERROR(VLOOKUP(C164,Questions!$A$1:G$9999,7,0)),"",VLOOKUP(C164,Questions!$A$1:G$9999,7,0))</f>
        <v/>
      </c>
      <c r="B164" s="17" t="str">
        <f t="shared" si="2"/>
        <v>Problem</v>
      </c>
      <c r="C164" s="29" t="s">
        <v>793</v>
      </c>
    </row>
    <row r="165" spans="1:3" x14ac:dyDescent="0.2">
      <c r="A165">
        <f>IF(ISERROR(VLOOKUP(C165,Questions!$A$1:G$9999,7,0)),"",VLOOKUP(C165,Questions!$A$1:G$9999,7,0))</f>
        <v>3</v>
      </c>
      <c r="B165" s="17" t="str">
        <f t="shared" si="2"/>
        <v>Problem</v>
      </c>
      <c r="C165" s="30" t="s">
        <v>140</v>
      </c>
    </row>
    <row r="166" spans="1:3" x14ac:dyDescent="0.2">
      <c r="A166">
        <f>IF(ISERROR(VLOOKUP(C166,Questions!$A$1:G$9999,7,0)),"",VLOOKUP(C166,Questions!$A$1:G$9999,7,0))</f>
        <v>3</v>
      </c>
      <c r="B166" s="17" t="str">
        <f t="shared" si="2"/>
        <v>Problem</v>
      </c>
      <c r="C166" s="30" t="s">
        <v>840</v>
      </c>
    </row>
    <row r="167" spans="1:3" x14ac:dyDescent="0.2">
      <c r="A167">
        <f>IF(ISERROR(VLOOKUP(C167,Questions!$A$1:G$9999,7,0)),"",VLOOKUP(C167,Questions!$A$1:G$9999,7,0))</f>
        <v>4</v>
      </c>
      <c r="B167" s="17" t="str">
        <f t="shared" si="2"/>
        <v>Problem</v>
      </c>
      <c r="C167" s="30" t="s">
        <v>841</v>
      </c>
    </row>
    <row r="168" spans="1:3" x14ac:dyDescent="0.2">
      <c r="A168">
        <f>IF(ISERROR(VLOOKUP(C168,Questions!$A$1:G$9999,7,0)),"",VLOOKUP(C168,Questions!$A$1:G$9999,7,0))</f>
        <v>4</v>
      </c>
      <c r="B168" s="17" t="str">
        <f t="shared" si="2"/>
        <v>Problem</v>
      </c>
      <c r="C168" s="30" t="s">
        <v>842</v>
      </c>
    </row>
    <row r="169" spans="1:3" x14ac:dyDescent="0.2">
      <c r="A169" t="str">
        <f>IF(ISERROR(VLOOKUP(C169,Questions!$A$1:G$9999,7,0)),"",VLOOKUP(C169,Questions!$A$1:G$9999,7,0))</f>
        <v/>
      </c>
      <c r="B169" s="17" t="str">
        <f t="shared" si="2"/>
        <v>Problem</v>
      </c>
      <c r="C169" s="29" t="s">
        <v>795</v>
      </c>
    </row>
    <row r="170" spans="1:3" x14ac:dyDescent="0.2">
      <c r="A170">
        <f>IF(ISERROR(VLOOKUP(C170,Questions!$A$1:G$9999,7,0)),"",VLOOKUP(C170,Questions!$A$1:G$9999,7,0))</f>
        <v>4</v>
      </c>
      <c r="B170" s="17" t="str">
        <f t="shared" si="2"/>
        <v>Problem</v>
      </c>
      <c r="C170" s="30" t="s">
        <v>166</v>
      </c>
    </row>
    <row r="171" spans="1:3" x14ac:dyDescent="0.2">
      <c r="A171">
        <f>IF(ISERROR(VLOOKUP(C171,Questions!$A$1:G$9999,7,0)),"",VLOOKUP(C171,Questions!$A$1:G$9999,7,0))</f>
        <v>3</v>
      </c>
      <c r="B171" s="17" t="str">
        <f t="shared" si="2"/>
        <v>Problem</v>
      </c>
      <c r="C171" s="30" t="s">
        <v>172</v>
      </c>
    </row>
    <row r="172" spans="1:3" x14ac:dyDescent="0.2">
      <c r="A172">
        <f>IF(ISERROR(VLOOKUP(C172,Questions!$A$1:G$9999,7,0)),"",VLOOKUP(C172,Questions!$A$1:G$9999,7,0))</f>
        <v>3</v>
      </c>
      <c r="B172" s="17" t="str">
        <f t="shared" si="2"/>
        <v>Problem</v>
      </c>
      <c r="C172" s="30" t="s">
        <v>174</v>
      </c>
    </row>
    <row r="173" spans="1:3" x14ac:dyDescent="0.2">
      <c r="A173">
        <f>IF(ISERROR(VLOOKUP(C173,Questions!$A$1:G$9999,7,0)),"",VLOOKUP(C173,Questions!$A$1:G$9999,7,0))</f>
        <v>2</v>
      </c>
      <c r="B173" s="17" t="str">
        <f t="shared" si="2"/>
        <v>Problem</v>
      </c>
      <c r="C173" s="30" t="s">
        <v>843</v>
      </c>
    </row>
    <row r="174" spans="1:3" x14ac:dyDescent="0.2">
      <c r="A174">
        <f>IF(ISERROR(VLOOKUP(C174,Questions!$A$1:G$9999,7,0)),"",VLOOKUP(C174,Questions!$A$1:G$9999,7,0))</f>
        <v>2</v>
      </c>
      <c r="B174" s="17" t="str">
        <f t="shared" si="2"/>
        <v>Problem</v>
      </c>
      <c r="C174" s="30" t="s">
        <v>844</v>
      </c>
    </row>
    <row r="175" spans="1:3" x14ac:dyDescent="0.2">
      <c r="A175">
        <f>IF(ISERROR(VLOOKUP(C175,Questions!$A$1:G$9999,7,0)),"",VLOOKUP(C175,Questions!$A$1:G$9999,7,0))</f>
        <v>3</v>
      </c>
      <c r="B175" s="17" t="str">
        <f t="shared" si="2"/>
        <v>Problem</v>
      </c>
      <c r="C175" s="30" t="s">
        <v>845</v>
      </c>
    </row>
    <row r="176" spans="1:3" x14ac:dyDescent="0.2">
      <c r="A176" t="str">
        <f>IF(ISERROR(VLOOKUP(C176,Questions!$A$1:G$9999,7,0)),"",VLOOKUP(C176,Questions!$A$1:G$9999,7,0))</f>
        <v/>
      </c>
      <c r="B176" s="17" t="str">
        <f t="shared" si="2"/>
        <v>Problem</v>
      </c>
      <c r="C176" s="29" t="s">
        <v>797</v>
      </c>
    </row>
    <row r="177" spans="1:3" x14ac:dyDescent="0.2">
      <c r="A177">
        <f>IF(ISERROR(VLOOKUP(C177,Questions!$A$1:G$9999,7,0)),"",VLOOKUP(C177,Questions!$A$1:G$9999,7,0))</f>
        <v>3</v>
      </c>
      <c r="B177" s="17" t="str">
        <f t="shared" si="2"/>
        <v>Problem</v>
      </c>
      <c r="C177" s="30" t="s">
        <v>205</v>
      </c>
    </row>
    <row r="178" spans="1:3" x14ac:dyDescent="0.2">
      <c r="A178">
        <f>IF(ISERROR(VLOOKUP(C178,Questions!$A$1:G$9999,7,0)),"",VLOOKUP(C178,Questions!$A$1:G$9999,7,0))</f>
        <v>1</v>
      </c>
      <c r="B178" s="17" t="str">
        <f t="shared" si="2"/>
        <v>Problem</v>
      </c>
      <c r="C178" s="30" t="s">
        <v>208</v>
      </c>
    </row>
    <row r="179" spans="1:3" x14ac:dyDescent="0.2">
      <c r="A179">
        <f>IF(ISERROR(VLOOKUP(C179,Questions!$A$1:G$9999,7,0)),"",VLOOKUP(C179,Questions!$A$1:G$9999,7,0))</f>
        <v>2</v>
      </c>
      <c r="B179" s="17" t="str">
        <f t="shared" si="2"/>
        <v>Problem</v>
      </c>
      <c r="C179" s="30" t="s">
        <v>209</v>
      </c>
    </row>
    <row r="180" spans="1:3" x14ac:dyDescent="0.2">
      <c r="A180">
        <f>IF(ISERROR(VLOOKUP(C180,Questions!$A$1:G$9999,7,0)),"",VLOOKUP(C180,Questions!$A$1:G$9999,7,0))</f>
        <v>2</v>
      </c>
      <c r="B180" s="17" t="str">
        <f t="shared" si="2"/>
        <v>Problem</v>
      </c>
      <c r="C180" s="30" t="s">
        <v>846</v>
      </c>
    </row>
    <row r="181" spans="1:3" x14ac:dyDescent="0.2">
      <c r="A181">
        <f>IF(ISERROR(VLOOKUP(C181,Questions!$A$1:G$9999,7,0)),"",VLOOKUP(C181,Questions!$A$1:G$9999,7,0))</f>
        <v>2</v>
      </c>
      <c r="B181" s="17" t="str">
        <f t="shared" si="2"/>
        <v>Problem</v>
      </c>
      <c r="C181" s="30" t="s">
        <v>847</v>
      </c>
    </row>
    <row r="182" spans="1:3" x14ac:dyDescent="0.2">
      <c r="A182">
        <f>IF(ISERROR(VLOOKUP(C182,Questions!$A$1:G$9999,7,0)),"",VLOOKUP(C182,Questions!$A$1:G$9999,7,0))</f>
        <v>1</v>
      </c>
      <c r="B182" s="17" t="str">
        <f t="shared" si="2"/>
        <v>Problem</v>
      </c>
      <c r="C182" s="30" t="s">
        <v>848</v>
      </c>
    </row>
    <row r="183" spans="1:3" x14ac:dyDescent="0.2">
      <c r="A183">
        <f>IF(ISERROR(VLOOKUP(C183,Questions!$A$1:G$9999,7,0)),"",VLOOKUP(C183,Questions!$A$1:G$9999,7,0))</f>
        <v>4</v>
      </c>
      <c r="B183" s="17" t="str">
        <f t="shared" si="2"/>
        <v>Problem</v>
      </c>
      <c r="C183" s="30" t="s">
        <v>849</v>
      </c>
    </row>
    <row r="184" spans="1:3" x14ac:dyDescent="0.2">
      <c r="A184" t="str">
        <f>IF(ISERROR(VLOOKUP(C184,Questions!$A$1:G$9999,7,0)),"",VLOOKUP(C184,Questions!$A$1:G$9999,7,0))</f>
        <v/>
      </c>
      <c r="B184" s="17" t="str">
        <f t="shared" si="2"/>
        <v>Problem</v>
      </c>
      <c r="C184" s="29" t="s">
        <v>799</v>
      </c>
    </row>
    <row r="185" spans="1:3" x14ac:dyDescent="0.2">
      <c r="A185">
        <f>IF(ISERROR(VLOOKUP(C185,Questions!$A$1:G$9999,7,0)),"",VLOOKUP(C185,Questions!$A$1:G$9999,7,0))</f>
        <v>2</v>
      </c>
      <c r="B185" s="17" t="str">
        <f t="shared" si="2"/>
        <v>Problem</v>
      </c>
      <c r="C185" s="30" t="s">
        <v>247</v>
      </c>
    </row>
    <row r="186" spans="1:3" x14ac:dyDescent="0.2">
      <c r="A186">
        <f>IF(ISERROR(VLOOKUP(C186,Questions!$A$1:G$9999,7,0)),"",VLOOKUP(C186,Questions!$A$1:G$9999,7,0))</f>
        <v>2</v>
      </c>
      <c r="B186" s="17" t="str">
        <f t="shared" si="2"/>
        <v>Problem</v>
      </c>
      <c r="C186" s="30" t="s">
        <v>248</v>
      </c>
    </row>
    <row r="187" spans="1:3" x14ac:dyDescent="0.2">
      <c r="A187">
        <f>IF(ISERROR(VLOOKUP(C187,Questions!$A$1:G$9999,7,0)),"",VLOOKUP(C187,Questions!$A$1:G$9999,7,0))</f>
        <v>4</v>
      </c>
      <c r="B187" s="17" t="str">
        <f t="shared" si="2"/>
        <v>Problem</v>
      </c>
      <c r="C187" s="30" t="s">
        <v>249</v>
      </c>
    </row>
    <row r="188" spans="1:3" x14ac:dyDescent="0.2">
      <c r="A188">
        <f>IF(ISERROR(VLOOKUP(C188,Questions!$A$1:G$9999,7,0)),"",VLOOKUP(C188,Questions!$A$1:G$9999,7,0))</f>
        <v>1</v>
      </c>
      <c r="B188" s="17" t="str">
        <f t="shared" si="2"/>
        <v>Problem</v>
      </c>
      <c r="C188" s="30" t="s">
        <v>250</v>
      </c>
    </row>
    <row r="189" spans="1:3" x14ac:dyDescent="0.2">
      <c r="A189">
        <f>IF(ISERROR(VLOOKUP(C189,Questions!$A$1:G$9999,7,0)),"",VLOOKUP(C189,Questions!$A$1:G$9999,7,0))</f>
        <v>3</v>
      </c>
      <c r="B189" s="17" t="str">
        <f t="shared" si="2"/>
        <v>Problem</v>
      </c>
      <c r="C189" s="30" t="s">
        <v>251</v>
      </c>
    </row>
    <row r="190" spans="1:3" x14ac:dyDescent="0.2">
      <c r="A190">
        <f>IF(ISERROR(VLOOKUP(C190,Questions!$A$1:G$9999,7,0)),"",VLOOKUP(C190,Questions!$A$1:G$9999,7,0))</f>
        <v>4</v>
      </c>
      <c r="B190" s="17" t="str">
        <f t="shared" si="2"/>
        <v>Problem</v>
      </c>
      <c r="C190" s="30" t="s">
        <v>252</v>
      </c>
    </row>
    <row r="191" spans="1:3" x14ac:dyDescent="0.2">
      <c r="A191">
        <f>IF(ISERROR(VLOOKUP(C191,Questions!$A$1:G$9999,7,0)),"",VLOOKUP(C191,Questions!$A$1:G$9999,7,0))</f>
        <v>1</v>
      </c>
      <c r="B191" s="17" t="str">
        <f t="shared" si="2"/>
        <v>Problem</v>
      </c>
      <c r="C191" s="30" t="s">
        <v>850</v>
      </c>
    </row>
    <row r="192" spans="1:3" x14ac:dyDescent="0.2">
      <c r="A192">
        <f>IF(ISERROR(VLOOKUP(C192,Questions!$A$1:G$9999,7,0)),"",VLOOKUP(C192,Questions!$A$1:G$9999,7,0))</f>
        <v>4</v>
      </c>
      <c r="B192" s="17" t="str">
        <f t="shared" si="2"/>
        <v>Problem</v>
      </c>
      <c r="C192" s="30" t="s">
        <v>851</v>
      </c>
    </row>
    <row r="193" spans="1:3" x14ac:dyDescent="0.2">
      <c r="A193" t="str">
        <f>IF(ISERROR(VLOOKUP(C193,Questions!$A$1:G$9999,7,0)),"",VLOOKUP(C193,Questions!$A$1:G$9999,7,0))</f>
        <v/>
      </c>
      <c r="B193" s="17" t="str">
        <f t="shared" si="2"/>
        <v>Problem</v>
      </c>
      <c r="C193" s="29" t="s">
        <v>801</v>
      </c>
    </row>
    <row r="194" spans="1:3" x14ac:dyDescent="0.2">
      <c r="A194">
        <f>IF(ISERROR(VLOOKUP(C194,Questions!$A$1:G$9999,7,0)),"",VLOOKUP(C194,Questions!$A$1:G$9999,7,0))</f>
        <v>3</v>
      </c>
      <c r="B194" s="17" t="str">
        <f t="shared" si="2"/>
        <v>Problem</v>
      </c>
      <c r="C194" s="30" t="s">
        <v>275</v>
      </c>
    </row>
    <row r="195" spans="1:3" x14ac:dyDescent="0.2">
      <c r="A195">
        <f>IF(ISERROR(VLOOKUP(C195,Questions!$A$1:G$9999,7,0)),"",VLOOKUP(C195,Questions!$A$1:G$9999,7,0))</f>
        <v>2</v>
      </c>
      <c r="B195" s="17" t="str">
        <f t="shared" si="2"/>
        <v>Problem</v>
      </c>
      <c r="C195" s="30" t="s">
        <v>276</v>
      </c>
    </row>
    <row r="196" spans="1:3" x14ac:dyDescent="0.2">
      <c r="A196">
        <f>IF(ISERROR(VLOOKUP(C196,Questions!$A$1:G$9999,7,0)),"",VLOOKUP(C196,Questions!$A$1:G$9999,7,0))</f>
        <v>3</v>
      </c>
      <c r="B196" s="17" t="str">
        <f t="shared" ref="B196:B259" si="3">HYPERLINK("http://www.mrhosey.com/RPhys/" &amp; C196 &amp; ".gif","Problem")</f>
        <v>Problem</v>
      </c>
      <c r="C196" s="30" t="s">
        <v>277</v>
      </c>
    </row>
    <row r="197" spans="1:3" x14ac:dyDescent="0.2">
      <c r="A197">
        <f>IF(ISERROR(VLOOKUP(C197,Questions!$A$1:G$9999,7,0)),"",VLOOKUP(C197,Questions!$A$1:G$9999,7,0))</f>
        <v>2</v>
      </c>
      <c r="B197" s="17" t="str">
        <f t="shared" si="3"/>
        <v>Problem</v>
      </c>
      <c r="C197" s="30" t="s">
        <v>278</v>
      </c>
    </row>
    <row r="198" spans="1:3" x14ac:dyDescent="0.2">
      <c r="A198">
        <f>IF(ISERROR(VLOOKUP(C198,Questions!$A$1:G$9999,7,0)),"",VLOOKUP(C198,Questions!$A$1:G$9999,7,0))</f>
        <v>4</v>
      </c>
      <c r="B198" s="17" t="str">
        <f t="shared" si="3"/>
        <v>Problem</v>
      </c>
      <c r="C198" s="30" t="s">
        <v>279</v>
      </c>
    </row>
    <row r="199" spans="1:3" x14ac:dyDescent="0.2">
      <c r="A199">
        <f>IF(ISERROR(VLOOKUP(C199,Questions!$A$1:G$9999,7,0)),"",VLOOKUP(C199,Questions!$A$1:G$9999,7,0))</f>
        <v>3</v>
      </c>
      <c r="B199" s="17" t="str">
        <f t="shared" si="3"/>
        <v>Problem</v>
      </c>
      <c r="C199" s="30" t="s">
        <v>852</v>
      </c>
    </row>
    <row r="200" spans="1:3" x14ac:dyDescent="0.2">
      <c r="A200">
        <f>IF(ISERROR(VLOOKUP(C200,Questions!$A$1:G$9999,7,0)),"",VLOOKUP(C200,Questions!$A$1:G$9999,7,0))</f>
        <v>2</v>
      </c>
      <c r="B200" s="17" t="str">
        <f t="shared" si="3"/>
        <v>Problem</v>
      </c>
      <c r="C200" s="30" t="s">
        <v>853</v>
      </c>
    </row>
    <row r="201" spans="1:3" x14ac:dyDescent="0.2">
      <c r="A201">
        <f>IF(ISERROR(VLOOKUP(C201,Questions!$A$1:G$9999,7,0)),"",VLOOKUP(C201,Questions!$A$1:G$9999,7,0))</f>
        <v>3</v>
      </c>
      <c r="B201" s="17" t="str">
        <f t="shared" si="3"/>
        <v>Problem</v>
      </c>
      <c r="C201" s="30" t="s">
        <v>854</v>
      </c>
    </row>
    <row r="202" spans="1:3" x14ac:dyDescent="0.2">
      <c r="A202" t="str">
        <f>IF(ISERROR(VLOOKUP(C202,Questions!$A$1:G$9999,7,0)),"",VLOOKUP(C202,Questions!$A$1:G$9999,7,0))</f>
        <v/>
      </c>
      <c r="B202" s="17" t="str">
        <f t="shared" si="3"/>
        <v>Problem</v>
      </c>
      <c r="C202" s="29" t="s">
        <v>802</v>
      </c>
    </row>
    <row r="203" spans="1:3" x14ac:dyDescent="0.2">
      <c r="A203">
        <f>IF(ISERROR(VLOOKUP(C203,Questions!$A$1:G$9999,7,0)),"",VLOOKUP(C203,Questions!$A$1:G$9999,7,0))</f>
        <v>2</v>
      </c>
      <c r="B203" s="17" t="str">
        <f t="shared" si="3"/>
        <v>Problem</v>
      </c>
      <c r="C203" s="30" t="s">
        <v>313</v>
      </c>
    </row>
    <row r="204" spans="1:3" x14ac:dyDescent="0.2">
      <c r="A204">
        <f>IF(ISERROR(VLOOKUP(C204,Questions!$A$1:G$9999,7,0)),"",VLOOKUP(C204,Questions!$A$1:G$9999,7,0))</f>
        <v>4</v>
      </c>
      <c r="B204" s="17" t="str">
        <f t="shared" si="3"/>
        <v>Problem</v>
      </c>
      <c r="C204" s="30" t="s">
        <v>314</v>
      </c>
    </row>
    <row r="205" spans="1:3" x14ac:dyDescent="0.2">
      <c r="A205">
        <f>IF(ISERROR(VLOOKUP(C205,Questions!$A$1:G$9999,7,0)),"",VLOOKUP(C205,Questions!$A$1:G$9999,7,0))</f>
        <v>3</v>
      </c>
      <c r="B205" s="17" t="str">
        <f t="shared" si="3"/>
        <v>Problem</v>
      </c>
      <c r="C205" s="30" t="s">
        <v>315</v>
      </c>
    </row>
    <row r="206" spans="1:3" x14ac:dyDescent="0.2">
      <c r="A206">
        <f>IF(ISERROR(VLOOKUP(C206,Questions!$A$1:G$9999,7,0)),"",VLOOKUP(C206,Questions!$A$1:G$9999,7,0))</f>
        <v>4</v>
      </c>
      <c r="B206" s="17" t="str">
        <f t="shared" si="3"/>
        <v>Problem</v>
      </c>
      <c r="C206" s="30" t="s">
        <v>316</v>
      </c>
    </row>
    <row r="207" spans="1:3" x14ac:dyDescent="0.2">
      <c r="A207">
        <f>IF(ISERROR(VLOOKUP(C207,Questions!$A$1:G$9999,7,0)),"",VLOOKUP(C207,Questions!$A$1:G$9999,7,0))</f>
        <v>2</v>
      </c>
      <c r="B207" s="17" t="str">
        <f t="shared" si="3"/>
        <v>Problem</v>
      </c>
      <c r="C207" s="30" t="s">
        <v>317</v>
      </c>
    </row>
    <row r="208" spans="1:3" x14ac:dyDescent="0.2">
      <c r="A208">
        <f>IF(ISERROR(VLOOKUP(C208,Questions!$A$1:G$9999,7,0)),"",VLOOKUP(C208,Questions!$A$1:G$9999,7,0))</f>
        <v>1</v>
      </c>
      <c r="B208" s="17" t="str">
        <f t="shared" si="3"/>
        <v>Problem</v>
      </c>
      <c r="C208" s="30" t="s">
        <v>855</v>
      </c>
    </row>
    <row r="209" spans="1:3" x14ac:dyDescent="0.2">
      <c r="A209" t="str">
        <f>IF(ISERROR(VLOOKUP(C209,Questions!$A$1:G$9999,7,0)),"",VLOOKUP(C209,Questions!$A$1:G$9999,7,0))</f>
        <v/>
      </c>
      <c r="B209" s="17" t="str">
        <f t="shared" si="3"/>
        <v>Problem</v>
      </c>
      <c r="C209" s="29" t="s">
        <v>803</v>
      </c>
    </row>
    <row r="210" spans="1:3" x14ac:dyDescent="0.2">
      <c r="A210">
        <f>IF(ISERROR(VLOOKUP(C210,Questions!$A$1:G$9999,7,0)),"",VLOOKUP(C210,Questions!$A$1:G$9999,7,0))</f>
        <v>2</v>
      </c>
      <c r="B210" s="17" t="str">
        <f t="shared" si="3"/>
        <v>Problem</v>
      </c>
      <c r="C210" s="30" t="s">
        <v>344</v>
      </c>
    </row>
    <row r="211" spans="1:3" x14ac:dyDescent="0.2">
      <c r="A211">
        <f>IF(ISERROR(VLOOKUP(C211,Questions!$A$1:G$9999,7,0)),"",VLOOKUP(C211,Questions!$A$1:G$9999,7,0))</f>
        <v>3</v>
      </c>
      <c r="B211" s="17" t="str">
        <f t="shared" si="3"/>
        <v>Problem</v>
      </c>
      <c r="C211" s="30" t="s">
        <v>345</v>
      </c>
    </row>
    <row r="212" spans="1:3" x14ac:dyDescent="0.2">
      <c r="A212">
        <f>IF(ISERROR(VLOOKUP(C212,Questions!$A$1:G$9999,7,0)),"",VLOOKUP(C212,Questions!$A$1:G$9999,7,0))</f>
        <v>4</v>
      </c>
      <c r="B212" s="17" t="str">
        <f t="shared" si="3"/>
        <v>Problem</v>
      </c>
      <c r="C212" s="30" t="s">
        <v>346</v>
      </c>
    </row>
    <row r="213" spans="1:3" x14ac:dyDescent="0.2">
      <c r="A213">
        <f>IF(ISERROR(VLOOKUP(C213,Questions!$A$1:G$9999,7,0)),"",VLOOKUP(C213,Questions!$A$1:G$9999,7,0))</f>
        <v>1</v>
      </c>
      <c r="B213" s="17" t="str">
        <f t="shared" si="3"/>
        <v>Problem</v>
      </c>
      <c r="C213" s="30" t="s">
        <v>347</v>
      </c>
    </row>
    <row r="214" spans="1:3" x14ac:dyDescent="0.2">
      <c r="A214">
        <f>IF(ISERROR(VLOOKUP(C214,Questions!$A$1:G$9999,7,0)),"",VLOOKUP(C214,Questions!$A$1:G$9999,7,0))</f>
        <v>1</v>
      </c>
      <c r="B214" s="17" t="str">
        <f t="shared" si="3"/>
        <v>Problem</v>
      </c>
      <c r="C214" s="30" t="s">
        <v>348</v>
      </c>
    </row>
    <row r="215" spans="1:3" x14ac:dyDescent="0.2">
      <c r="A215">
        <f>IF(ISERROR(VLOOKUP(C215,Questions!$A$1:G$9999,7,0)),"",VLOOKUP(C215,Questions!$A$1:G$9999,7,0))</f>
        <v>4</v>
      </c>
      <c r="B215" s="17" t="str">
        <f t="shared" si="3"/>
        <v>Problem</v>
      </c>
      <c r="C215" s="30" t="s">
        <v>349</v>
      </c>
    </row>
    <row r="216" spans="1:3" x14ac:dyDescent="0.2">
      <c r="A216">
        <f>IF(ISERROR(VLOOKUP(C216,Questions!$A$1:G$9999,7,0)),"",VLOOKUP(C216,Questions!$A$1:G$9999,7,0))</f>
        <v>3</v>
      </c>
      <c r="B216" s="17" t="str">
        <f t="shared" si="3"/>
        <v>Problem</v>
      </c>
      <c r="C216" s="30" t="s">
        <v>350</v>
      </c>
    </row>
    <row r="217" spans="1:3" x14ac:dyDescent="0.2">
      <c r="A217">
        <f>IF(ISERROR(VLOOKUP(C217,Questions!$A$1:G$9999,7,0)),"",VLOOKUP(C217,Questions!$A$1:G$9999,7,0))</f>
        <v>4</v>
      </c>
      <c r="B217" s="17" t="str">
        <f t="shared" si="3"/>
        <v>Problem</v>
      </c>
      <c r="C217" s="30" t="s">
        <v>856</v>
      </c>
    </row>
    <row r="218" spans="1:3" x14ac:dyDescent="0.2">
      <c r="A218" t="str">
        <f>IF(ISERROR(VLOOKUP(C218,Questions!$A$1:G$9999,7,0)),"",VLOOKUP(C218,Questions!$A$1:G$9999,7,0))</f>
        <v/>
      </c>
      <c r="B218" s="17" t="str">
        <f t="shared" si="3"/>
        <v>Problem</v>
      </c>
      <c r="C218" s="29" t="s">
        <v>805</v>
      </c>
    </row>
    <row r="219" spans="1:3" x14ac:dyDescent="0.2">
      <c r="A219">
        <f>IF(ISERROR(VLOOKUP(C219,Questions!$A$1:G$9999,7,0)),"",VLOOKUP(C219,Questions!$A$1:G$9999,7,0))</f>
        <v>1</v>
      </c>
      <c r="B219" s="17" t="str">
        <f t="shared" si="3"/>
        <v>Problem</v>
      </c>
      <c r="C219" s="30" t="s">
        <v>378</v>
      </c>
    </row>
    <row r="220" spans="1:3" x14ac:dyDescent="0.2">
      <c r="A220">
        <f>IF(ISERROR(VLOOKUP(C220,Questions!$A$1:G$9999,7,0)),"",VLOOKUP(C220,Questions!$A$1:G$9999,7,0))</f>
        <v>2</v>
      </c>
      <c r="B220" s="17" t="str">
        <f t="shared" si="3"/>
        <v>Problem</v>
      </c>
      <c r="C220" s="30" t="s">
        <v>857</v>
      </c>
    </row>
    <row r="221" spans="1:3" x14ac:dyDescent="0.2">
      <c r="A221">
        <f>IF(ISERROR(VLOOKUP(C221,Questions!$A$1:G$9999,7,0)),"",VLOOKUP(C221,Questions!$A$1:G$9999,7,0))</f>
        <v>3</v>
      </c>
      <c r="B221" s="17" t="str">
        <f t="shared" si="3"/>
        <v>Problem</v>
      </c>
      <c r="C221" s="30" t="s">
        <v>858</v>
      </c>
    </row>
    <row r="222" spans="1:3" x14ac:dyDescent="0.2">
      <c r="A222">
        <f>IF(ISERROR(VLOOKUP(C222,Questions!$A$1:G$9999,7,0)),"",VLOOKUP(C222,Questions!$A$1:G$9999,7,0))</f>
        <v>4</v>
      </c>
      <c r="B222" s="17" t="str">
        <f t="shared" si="3"/>
        <v>Problem</v>
      </c>
      <c r="C222" s="30" t="s">
        <v>859</v>
      </c>
    </row>
    <row r="223" spans="1:3" x14ac:dyDescent="0.2">
      <c r="A223" t="str">
        <f>IF(ISERROR(VLOOKUP(C223,Questions!$A$1:G$9999,7,0)),"",VLOOKUP(C223,Questions!$A$1:G$9999,7,0))</f>
        <v/>
      </c>
      <c r="B223" s="17" t="str">
        <f t="shared" si="3"/>
        <v>Problem</v>
      </c>
      <c r="C223" s="29" t="s">
        <v>807</v>
      </c>
    </row>
    <row r="224" spans="1:3" x14ac:dyDescent="0.2">
      <c r="A224">
        <f>IF(ISERROR(VLOOKUP(C224,Questions!$A$1:G$9999,7,0)),"",VLOOKUP(C224,Questions!$A$1:G$9999,7,0))</f>
        <v>2</v>
      </c>
      <c r="B224" s="17" t="str">
        <f t="shared" si="3"/>
        <v>Problem</v>
      </c>
      <c r="C224" s="30" t="s">
        <v>412</v>
      </c>
    </row>
    <row r="225" spans="1:3" x14ac:dyDescent="0.2">
      <c r="A225">
        <f>IF(ISERROR(VLOOKUP(C225,Questions!$A$1:G$9999,7,0)),"",VLOOKUP(C225,Questions!$A$1:G$9999,7,0))</f>
        <v>4</v>
      </c>
      <c r="B225" s="17" t="str">
        <f t="shared" si="3"/>
        <v>Problem</v>
      </c>
      <c r="C225" s="30" t="s">
        <v>413</v>
      </c>
    </row>
    <row r="226" spans="1:3" x14ac:dyDescent="0.2">
      <c r="A226">
        <f>IF(ISERROR(VLOOKUP(C226,Questions!$A$1:G$9999,7,0)),"",VLOOKUP(C226,Questions!$A$1:G$9999,7,0))</f>
        <v>4</v>
      </c>
      <c r="B226" s="17" t="str">
        <f t="shared" si="3"/>
        <v>Problem</v>
      </c>
      <c r="C226" s="30" t="s">
        <v>414</v>
      </c>
    </row>
    <row r="227" spans="1:3" x14ac:dyDescent="0.2">
      <c r="A227">
        <f>IF(ISERROR(VLOOKUP(C227,Questions!$A$1:G$9999,7,0)),"",VLOOKUP(C227,Questions!$A$1:G$9999,7,0))</f>
        <v>1</v>
      </c>
      <c r="B227" s="17" t="str">
        <f t="shared" si="3"/>
        <v>Problem</v>
      </c>
      <c r="C227" s="30" t="s">
        <v>415</v>
      </c>
    </row>
    <row r="228" spans="1:3" x14ac:dyDescent="0.2">
      <c r="A228">
        <f>IF(ISERROR(VLOOKUP(C228,Questions!$A$1:G$9999,7,0)),"",VLOOKUP(C228,Questions!$A$1:G$9999,7,0))</f>
        <v>3</v>
      </c>
      <c r="B228" s="17" t="str">
        <f t="shared" si="3"/>
        <v>Problem</v>
      </c>
      <c r="C228" s="30" t="s">
        <v>416</v>
      </c>
    </row>
    <row r="229" spans="1:3" x14ac:dyDescent="0.2">
      <c r="A229" t="str">
        <f>IF(ISERROR(VLOOKUP(C229,Questions!$A$1:G$9999,7,0)),"",VLOOKUP(C229,Questions!$A$1:G$9999,7,0))</f>
        <v/>
      </c>
      <c r="B229" s="17" t="str">
        <f t="shared" si="3"/>
        <v>Problem</v>
      </c>
      <c r="C229" s="29" t="s">
        <v>808</v>
      </c>
    </row>
    <row r="230" spans="1:3" x14ac:dyDescent="0.2">
      <c r="A230">
        <f>IF(ISERROR(VLOOKUP(C230,Questions!$A$1:G$9999,7,0)),"",VLOOKUP(C230,Questions!$A$1:G$9999,7,0))</f>
        <v>1</v>
      </c>
      <c r="B230" s="17" t="str">
        <f t="shared" si="3"/>
        <v>Problem</v>
      </c>
      <c r="C230" s="30" t="s">
        <v>445</v>
      </c>
    </row>
    <row r="231" spans="1:3" x14ac:dyDescent="0.2">
      <c r="A231">
        <f>IF(ISERROR(VLOOKUP(C231,Questions!$A$1:G$9999,7,0)),"",VLOOKUP(C231,Questions!$A$1:G$9999,7,0))</f>
        <v>3</v>
      </c>
      <c r="B231" s="17" t="str">
        <f t="shared" si="3"/>
        <v>Problem</v>
      </c>
      <c r="C231" s="30" t="s">
        <v>448</v>
      </c>
    </row>
    <row r="232" spans="1:3" x14ac:dyDescent="0.2">
      <c r="A232">
        <f>IF(ISERROR(VLOOKUP(C232,Questions!$A$1:G$9999,7,0)),"",VLOOKUP(C232,Questions!$A$1:G$9999,7,0))</f>
        <v>3</v>
      </c>
      <c r="B232" s="17" t="str">
        <f t="shared" si="3"/>
        <v>Problem</v>
      </c>
      <c r="C232" s="30" t="s">
        <v>451</v>
      </c>
    </row>
    <row r="233" spans="1:3" x14ac:dyDescent="0.2">
      <c r="A233">
        <f>IF(ISERROR(VLOOKUP(C233,Questions!$A$1:G$9999,7,0)),"",VLOOKUP(C233,Questions!$A$1:G$9999,7,0))</f>
        <v>1</v>
      </c>
      <c r="B233" s="17" t="str">
        <f t="shared" si="3"/>
        <v>Problem</v>
      </c>
      <c r="C233" s="30" t="s">
        <v>452</v>
      </c>
    </row>
    <row r="234" spans="1:3" x14ac:dyDescent="0.2">
      <c r="A234">
        <f>IF(ISERROR(VLOOKUP(C234,Questions!$A$1:G$9999,7,0)),"",VLOOKUP(C234,Questions!$A$1:G$9999,7,0))</f>
        <v>3</v>
      </c>
      <c r="B234" s="17" t="str">
        <f t="shared" si="3"/>
        <v>Problem</v>
      </c>
      <c r="C234" s="30" t="s">
        <v>453</v>
      </c>
    </row>
    <row r="235" spans="1:3" x14ac:dyDescent="0.2">
      <c r="A235">
        <f>IF(ISERROR(VLOOKUP(C235,Questions!$A$1:G$9999,7,0)),"",VLOOKUP(C235,Questions!$A$1:G$9999,7,0))</f>
        <v>4</v>
      </c>
      <c r="B235" s="17" t="str">
        <f t="shared" si="3"/>
        <v>Problem</v>
      </c>
      <c r="C235" s="30" t="s">
        <v>860</v>
      </c>
    </row>
    <row r="236" spans="1:3" x14ac:dyDescent="0.2">
      <c r="A236" t="str">
        <f>IF(ISERROR(VLOOKUP(C236,Questions!$A$1:G$9999,7,0)),"",VLOOKUP(C236,Questions!$A$1:G$9999,7,0))</f>
        <v/>
      </c>
      <c r="B236" s="17" t="str">
        <f t="shared" si="3"/>
        <v>Problem</v>
      </c>
      <c r="C236" s="29" t="s">
        <v>810</v>
      </c>
    </row>
    <row r="237" spans="1:3" x14ac:dyDescent="0.2">
      <c r="A237">
        <f>IF(ISERROR(VLOOKUP(C237,Questions!$A$1:G$9999,7,0)),"",VLOOKUP(C237,Questions!$A$1:G$9999,7,0))</f>
        <v>1</v>
      </c>
      <c r="B237" s="17" t="str">
        <f t="shared" si="3"/>
        <v>Problem</v>
      </c>
      <c r="C237" s="30" t="s">
        <v>486</v>
      </c>
    </row>
    <row r="238" spans="1:3" x14ac:dyDescent="0.2">
      <c r="A238">
        <f>IF(ISERROR(VLOOKUP(C238,Questions!$A$1:G$9999,7,0)),"",VLOOKUP(C238,Questions!$A$1:G$9999,7,0))</f>
        <v>1</v>
      </c>
      <c r="B238" s="17" t="str">
        <f t="shared" si="3"/>
        <v>Problem</v>
      </c>
      <c r="C238" s="30" t="s">
        <v>487</v>
      </c>
    </row>
    <row r="239" spans="1:3" x14ac:dyDescent="0.2">
      <c r="A239">
        <f>IF(ISERROR(VLOOKUP(C239,Questions!$A$1:G$9999,7,0)),"",VLOOKUP(C239,Questions!$A$1:G$9999,7,0))</f>
        <v>1</v>
      </c>
      <c r="B239" s="17" t="str">
        <f t="shared" si="3"/>
        <v>Problem</v>
      </c>
      <c r="C239" s="30" t="s">
        <v>490</v>
      </c>
    </row>
    <row r="240" spans="1:3" x14ac:dyDescent="0.2">
      <c r="A240">
        <f>IF(ISERROR(VLOOKUP(C240,Questions!$A$1:G$9999,7,0)),"",VLOOKUP(C240,Questions!$A$1:G$9999,7,0))</f>
        <v>3</v>
      </c>
      <c r="B240" s="17" t="str">
        <f t="shared" si="3"/>
        <v>Problem</v>
      </c>
      <c r="C240" s="30" t="s">
        <v>861</v>
      </c>
    </row>
    <row r="241" spans="1:3" x14ac:dyDescent="0.2">
      <c r="A241">
        <f>IF(ISERROR(VLOOKUP(C241,Questions!$A$1:G$9999,7,0)),"",VLOOKUP(C241,Questions!$A$1:G$9999,7,0))</f>
        <v>1</v>
      </c>
      <c r="B241" s="17" t="str">
        <f t="shared" si="3"/>
        <v>Problem</v>
      </c>
      <c r="C241" s="30" t="s">
        <v>862</v>
      </c>
    </row>
    <row r="242" spans="1:3" x14ac:dyDescent="0.2">
      <c r="A242" t="str">
        <f>IF(ISERROR(VLOOKUP(C242,Questions!$A$1:G$9999,7,0)),"",VLOOKUP(C242,Questions!$A$1:G$9999,7,0))</f>
        <v/>
      </c>
      <c r="B242" s="17" t="str">
        <f t="shared" si="3"/>
        <v>Problem</v>
      </c>
      <c r="C242" s="29" t="s">
        <v>811</v>
      </c>
    </row>
    <row r="243" spans="1:3" x14ac:dyDescent="0.2">
      <c r="A243">
        <f>IF(ISERROR(VLOOKUP(C243,Questions!$A$1:G$9999,7,0)),"",VLOOKUP(C243,Questions!$A$1:G$9999,7,0))</f>
        <v>1</v>
      </c>
      <c r="B243" s="17" t="str">
        <f t="shared" si="3"/>
        <v>Problem</v>
      </c>
      <c r="C243" s="30" t="s">
        <v>516</v>
      </c>
    </row>
    <row r="244" spans="1:3" x14ac:dyDescent="0.2">
      <c r="A244">
        <f>IF(ISERROR(VLOOKUP(C244,Questions!$A$1:G$9999,7,0)),"",VLOOKUP(C244,Questions!$A$1:G$9999,7,0))</f>
        <v>2</v>
      </c>
      <c r="B244" s="17" t="str">
        <f t="shared" si="3"/>
        <v>Problem</v>
      </c>
      <c r="C244" s="30" t="s">
        <v>517</v>
      </c>
    </row>
    <row r="245" spans="1:3" x14ac:dyDescent="0.2">
      <c r="A245">
        <f>IF(ISERROR(VLOOKUP(C245,Questions!$A$1:G$9999,7,0)),"",VLOOKUP(C245,Questions!$A$1:G$9999,7,0))</f>
        <v>2</v>
      </c>
      <c r="B245" s="17" t="str">
        <f t="shared" si="3"/>
        <v>Problem</v>
      </c>
      <c r="C245" s="30" t="s">
        <v>518</v>
      </c>
    </row>
    <row r="246" spans="1:3" x14ac:dyDescent="0.2">
      <c r="A246">
        <f>IF(ISERROR(VLOOKUP(C246,Questions!$A$1:G$9999,7,0)),"",VLOOKUP(C246,Questions!$A$1:G$9999,7,0))</f>
        <v>2</v>
      </c>
      <c r="B246" s="17" t="str">
        <f t="shared" si="3"/>
        <v>Problem</v>
      </c>
      <c r="C246" s="30" t="s">
        <v>519</v>
      </c>
    </row>
    <row r="247" spans="1:3" x14ac:dyDescent="0.2">
      <c r="A247">
        <f>IF(ISERROR(VLOOKUP(C247,Questions!$A$1:G$9999,7,0)),"",VLOOKUP(C247,Questions!$A$1:G$9999,7,0))</f>
        <v>1</v>
      </c>
      <c r="B247" s="17" t="str">
        <f t="shared" si="3"/>
        <v>Problem</v>
      </c>
      <c r="C247" s="30" t="s">
        <v>521</v>
      </c>
    </row>
    <row r="248" spans="1:3" x14ac:dyDescent="0.2">
      <c r="A248">
        <f>IF(ISERROR(VLOOKUP(C248,Questions!$A$1:G$9999,7,0)),"",VLOOKUP(C248,Questions!$A$1:G$9999,7,0))</f>
        <v>1</v>
      </c>
      <c r="B248" s="17" t="str">
        <f t="shared" si="3"/>
        <v>Problem</v>
      </c>
      <c r="C248" s="30" t="s">
        <v>863</v>
      </c>
    </row>
    <row r="249" spans="1:3" x14ac:dyDescent="0.2">
      <c r="A249">
        <f>IF(ISERROR(VLOOKUP(C249,Questions!$A$1:G$9999,7,0)),"",VLOOKUP(C249,Questions!$A$1:G$9999,7,0))</f>
        <v>4</v>
      </c>
      <c r="B249" s="17" t="str">
        <f t="shared" si="3"/>
        <v>Problem</v>
      </c>
      <c r="C249" s="30" t="s">
        <v>864</v>
      </c>
    </row>
    <row r="250" spans="1:3" x14ac:dyDescent="0.2">
      <c r="A250">
        <f>IF(ISERROR(VLOOKUP(C250,Questions!$A$1:G$9999,7,0)),"",VLOOKUP(C250,Questions!$A$1:G$9999,7,0))</f>
        <v>4</v>
      </c>
      <c r="B250" s="17" t="str">
        <f t="shared" si="3"/>
        <v>Problem</v>
      </c>
      <c r="C250" s="30" t="s">
        <v>865</v>
      </c>
    </row>
    <row r="251" spans="1:3" x14ac:dyDescent="0.2">
      <c r="A251">
        <f>IF(ISERROR(VLOOKUP(C251,Questions!$A$1:G$9999,7,0)),"",VLOOKUP(C251,Questions!$A$1:G$9999,7,0))</f>
        <v>3</v>
      </c>
      <c r="B251" s="17" t="str">
        <f t="shared" si="3"/>
        <v>Problem</v>
      </c>
      <c r="C251" s="30" t="s">
        <v>866</v>
      </c>
    </row>
    <row r="252" spans="1:3" x14ac:dyDescent="0.2">
      <c r="A252" t="str">
        <f>IF(ISERROR(VLOOKUP(C252,Questions!$A$1:G$9999,7,0)),"",VLOOKUP(C252,Questions!$A$1:G$9999,7,0))</f>
        <v/>
      </c>
      <c r="B252" s="17" t="str">
        <f t="shared" si="3"/>
        <v>Problem</v>
      </c>
      <c r="C252" s="29" t="s">
        <v>777</v>
      </c>
    </row>
    <row r="253" spans="1:3" x14ac:dyDescent="0.2">
      <c r="A253">
        <f>IF(ISERROR(VLOOKUP(C253,Questions!$A$1:G$9999,7,0)),"",VLOOKUP(C253,Questions!$A$1:G$9999,7,0))</f>
        <v>3</v>
      </c>
      <c r="B253" s="17" t="str">
        <f t="shared" si="3"/>
        <v>Problem</v>
      </c>
      <c r="C253" s="30" t="s">
        <v>639</v>
      </c>
    </row>
    <row r="254" spans="1:3" x14ac:dyDescent="0.2">
      <c r="A254">
        <f>IF(ISERROR(VLOOKUP(C254,Questions!$A$1:G$9999,7,0)),"",VLOOKUP(C254,Questions!$A$1:G$9999,7,0))</f>
        <v>2</v>
      </c>
      <c r="B254" s="17" t="str">
        <f t="shared" si="3"/>
        <v>Problem</v>
      </c>
      <c r="C254" s="30" t="s">
        <v>640</v>
      </c>
    </row>
    <row r="255" spans="1:3" x14ac:dyDescent="0.2">
      <c r="A255">
        <f>IF(ISERROR(VLOOKUP(C255,Questions!$A$1:G$9999,7,0)),"",VLOOKUP(C255,Questions!$A$1:G$9999,7,0))</f>
        <v>3</v>
      </c>
      <c r="B255" s="17" t="str">
        <f t="shared" si="3"/>
        <v>Problem</v>
      </c>
      <c r="C255" s="30" t="s">
        <v>641</v>
      </c>
    </row>
    <row r="256" spans="1:3" x14ac:dyDescent="0.2">
      <c r="A256">
        <f>IF(ISERROR(VLOOKUP(C256,Questions!$A$1:G$9999,7,0)),"",VLOOKUP(C256,Questions!$A$1:G$9999,7,0))</f>
        <v>1</v>
      </c>
      <c r="B256" s="17" t="str">
        <f t="shared" si="3"/>
        <v>Problem</v>
      </c>
      <c r="C256" s="30" t="s">
        <v>867</v>
      </c>
    </row>
    <row r="257" spans="1:3" x14ac:dyDescent="0.2">
      <c r="A257">
        <f>IF(ISERROR(VLOOKUP(C257,Questions!$A$1:G$9999,7,0)),"",VLOOKUP(C257,Questions!$A$1:G$9999,7,0))</f>
        <v>4</v>
      </c>
      <c r="B257" s="17" t="str">
        <f t="shared" si="3"/>
        <v>Problem</v>
      </c>
      <c r="C257" s="30" t="s">
        <v>868</v>
      </c>
    </row>
    <row r="258" spans="1:3" x14ac:dyDescent="0.2">
      <c r="A258">
        <f>IF(ISERROR(VLOOKUP(C258,Questions!$A$1:G$9999,7,0)),"",VLOOKUP(C258,Questions!$A$1:G$9999,7,0))</f>
        <v>3</v>
      </c>
      <c r="B258" s="17" t="str">
        <f t="shared" si="3"/>
        <v>Problem</v>
      </c>
      <c r="C258" s="30" t="s">
        <v>869</v>
      </c>
    </row>
    <row r="259" spans="1:3" x14ac:dyDescent="0.2">
      <c r="A259" t="str">
        <f>IF(ISERROR(VLOOKUP(C259,Questions!$A$1:G$9999,7,0)),"",VLOOKUP(C259,Questions!$A$1:G$9999,7,0))</f>
        <v/>
      </c>
      <c r="B259" s="17" t="str">
        <f t="shared" si="3"/>
        <v>Problem</v>
      </c>
      <c r="C259" s="29" t="s">
        <v>778</v>
      </c>
    </row>
    <row r="260" spans="1:3" x14ac:dyDescent="0.2">
      <c r="A260">
        <f>IF(ISERROR(VLOOKUP(C260,Questions!$A$1:G$9999,7,0)),"",VLOOKUP(C260,Questions!$A$1:G$9999,7,0))</f>
        <v>2</v>
      </c>
      <c r="B260" s="17" t="str">
        <f t="shared" ref="B260:B323" si="4">HYPERLINK("http://www.mrhosey.com/RPhys/" &amp; C260 &amp; ".gif","Problem")</f>
        <v>Problem</v>
      </c>
      <c r="C260" s="30" t="s">
        <v>706</v>
      </c>
    </row>
    <row r="261" spans="1:3" x14ac:dyDescent="0.2">
      <c r="A261">
        <f>IF(ISERROR(VLOOKUP(C261,Questions!$A$1:G$9999,7,0)),"",VLOOKUP(C261,Questions!$A$1:G$9999,7,0))</f>
        <v>2</v>
      </c>
      <c r="B261" s="17" t="str">
        <f t="shared" si="4"/>
        <v>Problem</v>
      </c>
      <c r="C261" s="30" t="s">
        <v>708</v>
      </c>
    </row>
    <row r="262" spans="1:3" x14ac:dyDescent="0.2">
      <c r="A262">
        <f>IF(ISERROR(VLOOKUP(C262,Questions!$A$1:G$9999,7,0)),"",VLOOKUP(C262,Questions!$A$1:G$9999,7,0))</f>
        <v>3</v>
      </c>
      <c r="B262" s="17" t="str">
        <f t="shared" si="4"/>
        <v>Problem</v>
      </c>
      <c r="C262" s="30" t="s">
        <v>711</v>
      </c>
    </row>
    <row r="263" spans="1:3" x14ac:dyDescent="0.2">
      <c r="A263">
        <f>IF(ISERROR(VLOOKUP(C263,Questions!$A$1:G$9999,7,0)),"",VLOOKUP(C263,Questions!$A$1:G$9999,7,0))</f>
        <v>1</v>
      </c>
      <c r="B263" s="17" t="str">
        <f t="shared" si="4"/>
        <v>Problem</v>
      </c>
      <c r="C263" s="30" t="s">
        <v>733</v>
      </c>
    </row>
    <row r="264" spans="1:3" x14ac:dyDescent="0.2">
      <c r="A264" t="str">
        <f>IF(ISERROR(VLOOKUP(C264,Questions!$A$1:G$9999,7,0)),"",VLOOKUP(C264,Questions!$A$1:G$9999,7,0))</f>
        <v/>
      </c>
      <c r="B264" s="17" t="str">
        <f t="shared" si="4"/>
        <v>Problem</v>
      </c>
      <c r="C264" s="29" t="s">
        <v>779</v>
      </c>
    </row>
    <row r="265" spans="1:3" x14ac:dyDescent="0.2">
      <c r="A265">
        <f>IF(ISERROR(VLOOKUP(C265,Questions!$A$1:G$9999,7,0)),"",VLOOKUP(C265,Questions!$A$1:G$9999,7,0))</f>
        <v>2</v>
      </c>
      <c r="B265" s="17" t="str">
        <f t="shared" si="4"/>
        <v>Problem</v>
      </c>
      <c r="C265" s="30" t="s">
        <v>870</v>
      </c>
    </row>
    <row r="266" spans="1:3" x14ac:dyDescent="0.2">
      <c r="A266">
        <f>IF(ISERROR(VLOOKUP(C266,Questions!$A$1:G$9999,7,0)),"",VLOOKUP(C266,Questions!$A$1:G$9999,7,0))</f>
        <v>2</v>
      </c>
      <c r="B266" s="17" t="str">
        <f t="shared" si="4"/>
        <v>Problem</v>
      </c>
      <c r="C266" s="30" t="s">
        <v>871</v>
      </c>
    </row>
    <row r="267" spans="1:3" x14ac:dyDescent="0.2">
      <c r="A267">
        <f>IF(ISERROR(VLOOKUP(C267,Questions!$A$1:G$9999,7,0)),"",VLOOKUP(C267,Questions!$A$1:G$9999,7,0))</f>
        <v>3</v>
      </c>
      <c r="B267" s="17" t="str">
        <f t="shared" si="4"/>
        <v>Problem</v>
      </c>
      <c r="C267" s="30" t="s">
        <v>872</v>
      </c>
    </row>
    <row r="268" spans="1:3" x14ac:dyDescent="0.2">
      <c r="A268">
        <f>IF(ISERROR(VLOOKUP(C268,Questions!$A$1:G$9999,7,0)),"",VLOOKUP(C268,Questions!$A$1:G$9999,7,0))</f>
        <v>3</v>
      </c>
      <c r="B268" s="17" t="str">
        <f t="shared" si="4"/>
        <v>Problem</v>
      </c>
      <c r="C268" s="30" t="s">
        <v>873</v>
      </c>
    </row>
    <row r="269" spans="1:3" x14ac:dyDescent="0.2">
      <c r="A269">
        <f>IF(ISERROR(VLOOKUP(C269,Questions!$A$1:G$9999,7,0)),"",VLOOKUP(C269,Questions!$A$1:G$9999,7,0))</f>
        <v>1</v>
      </c>
      <c r="B269" s="17" t="str">
        <f t="shared" si="4"/>
        <v>Problem</v>
      </c>
      <c r="C269" s="30" t="s">
        <v>874</v>
      </c>
    </row>
    <row r="270" spans="1:3" x14ac:dyDescent="0.2">
      <c r="A270">
        <f>IF(ISERROR(VLOOKUP(C270,Questions!$A$1:G$9999,7,0)),"",VLOOKUP(C270,Questions!$A$1:G$9999,7,0))</f>
        <v>4</v>
      </c>
      <c r="B270" s="17" t="str">
        <f t="shared" si="4"/>
        <v>Problem</v>
      </c>
      <c r="C270" s="30" t="s">
        <v>875</v>
      </c>
    </row>
    <row r="271" spans="1:3" x14ac:dyDescent="0.2">
      <c r="A271" t="str">
        <f>IF(ISERROR(VLOOKUP(C271,Questions!$A$1:G$9999,7,0)),"",VLOOKUP(C271,Questions!$A$1:G$9999,7,0))</f>
        <v/>
      </c>
      <c r="B271" s="17" t="str">
        <f t="shared" si="4"/>
        <v>Problem</v>
      </c>
      <c r="C271" s="29" t="s">
        <v>780</v>
      </c>
    </row>
    <row r="272" spans="1:3" x14ac:dyDescent="0.2">
      <c r="A272">
        <f>IF(ISERROR(VLOOKUP(C272,Questions!$A$1:G$9999,7,0)),"",VLOOKUP(C272,Questions!$A$1:G$9999,7,0))</f>
        <v>3</v>
      </c>
      <c r="B272" s="17" t="str">
        <f t="shared" si="4"/>
        <v>Problem</v>
      </c>
      <c r="C272" s="30" t="s">
        <v>876</v>
      </c>
    </row>
    <row r="273" spans="1:3" x14ac:dyDescent="0.2">
      <c r="A273">
        <f>IF(ISERROR(VLOOKUP(C273,Questions!$A$1:G$9999,7,0)),"",VLOOKUP(C273,Questions!$A$1:G$9999,7,0))</f>
        <v>4</v>
      </c>
      <c r="B273" s="17" t="str">
        <f t="shared" si="4"/>
        <v>Problem</v>
      </c>
      <c r="C273" s="30" t="s">
        <v>877</v>
      </c>
    </row>
    <row r="274" spans="1:3" x14ac:dyDescent="0.2">
      <c r="A274">
        <f>IF(ISERROR(VLOOKUP(C274,Questions!$A$1:G$9999,7,0)),"",VLOOKUP(C274,Questions!$A$1:G$9999,7,0))</f>
        <v>1</v>
      </c>
      <c r="B274" s="17" t="str">
        <f t="shared" si="4"/>
        <v>Problem</v>
      </c>
      <c r="C274" s="30" t="s">
        <v>878</v>
      </c>
    </row>
    <row r="275" spans="1:3" x14ac:dyDescent="0.2">
      <c r="A275">
        <f>IF(ISERROR(VLOOKUP(C275,Questions!$A$1:G$9999,7,0)),"",VLOOKUP(C275,Questions!$A$1:G$9999,7,0))</f>
        <v>1</v>
      </c>
      <c r="B275" s="17" t="str">
        <f t="shared" si="4"/>
        <v>Problem</v>
      </c>
      <c r="C275" s="30" t="s">
        <v>879</v>
      </c>
    </row>
    <row r="276" spans="1:3" x14ac:dyDescent="0.2">
      <c r="A276">
        <f>IF(ISERROR(VLOOKUP(C276,Questions!$A$1:G$9999,7,0)),"",VLOOKUP(C276,Questions!$A$1:G$9999,7,0))</f>
        <v>3</v>
      </c>
      <c r="B276" s="17" t="str">
        <f t="shared" si="4"/>
        <v>Problem</v>
      </c>
      <c r="C276" s="30" t="s">
        <v>880</v>
      </c>
    </row>
    <row r="277" spans="1:3" x14ac:dyDescent="0.2">
      <c r="A277">
        <f>IF(ISERROR(VLOOKUP(C277,Questions!$A$1:G$9999,7,0)),"",VLOOKUP(C277,Questions!$A$1:G$9999,7,0))</f>
        <v>1</v>
      </c>
      <c r="B277" s="17" t="str">
        <f t="shared" si="4"/>
        <v>Problem</v>
      </c>
      <c r="C277" s="30" t="s">
        <v>881</v>
      </c>
    </row>
    <row r="278" spans="1:3" x14ac:dyDescent="0.2">
      <c r="A278" t="str">
        <f>IF(ISERROR(VLOOKUP(C278,Questions!$A$1:G$9999,7,0)),"",VLOOKUP(C278,Questions!$A$1:G$9999,7,0))</f>
        <v/>
      </c>
      <c r="B278" s="17" t="str">
        <f t="shared" si="4"/>
        <v>Problem</v>
      </c>
      <c r="C278" s="29" t="s">
        <v>781</v>
      </c>
    </row>
    <row r="279" spans="1:3" x14ac:dyDescent="0.2">
      <c r="A279">
        <f>IF(ISERROR(VLOOKUP(C279,Questions!$A$1:G$9999,7,0)),"",VLOOKUP(C279,Questions!$A$1:G$9999,7,0))</f>
        <v>3</v>
      </c>
      <c r="B279" s="17" t="str">
        <f t="shared" si="4"/>
        <v>Problem</v>
      </c>
      <c r="C279" s="30" t="s">
        <v>882</v>
      </c>
    </row>
    <row r="280" spans="1:3" x14ac:dyDescent="0.2">
      <c r="A280">
        <f>IF(ISERROR(VLOOKUP(C280,Questions!$A$1:G$9999,7,0)),"",VLOOKUP(C280,Questions!$A$1:G$9999,7,0))</f>
        <v>3</v>
      </c>
      <c r="B280" s="17" t="str">
        <f t="shared" si="4"/>
        <v>Problem</v>
      </c>
      <c r="C280" s="30" t="s">
        <v>883</v>
      </c>
    </row>
    <row r="281" spans="1:3" x14ac:dyDescent="0.2">
      <c r="A281">
        <f>IF(ISERROR(VLOOKUP(C281,Questions!$A$1:G$9999,7,0)),"",VLOOKUP(C281,Questions!$A$1:G$9999,7,0))</f>
        <v>2</v>
      </c>
      <c r="B281" s="17" t="str">
        <f t="shared" si="4"/>
        <v>Problem</v>
      </c>
      <c r="C281" s="30" t="s">
        <v>884</v>
      </c>
    </row>
    <row r="282" spans="1:3" x14ac:dyDescent="0.2">
      <c r="A282">
        <f>IF(ISERROR(VLOOKUP(C282,Questions!$A$1:G$9999,7,0)),"",VLOOKUP(C282,Questions!$A$1:G$9999,7,0))</f>
        <v>1</v>
      </c>
      <c r="B282" s="17" t="str">
        <f t="shared" si="4"/>
        <v>Problem</v>
      </c>
      <c r="C282" s="30" t="s">
        <v>885</v>
      </c>
    </row>
    <row r="283" spans="1:3" x14ac:dyDescent="0.2">
      <c r="A283" t="str">
        <f>IF(ISERROR(VLOOKUP(C283,Questions!$A$1:G$9999,7,0)),"",VLOOKUP(C283,Questions!$A$1:G$9999,7,0))</f>
        <v/>
      </c>
      <c r="B283" s="17" t="str">
        <f t="shared" si="4"/>
        <v>Problem</v>
      </c>
      <c r="C283" s="29" t="s">
        <v>826</v>
      </c>
    </row>
    <row r="284" spans="1:3" x14ac:dyDescent="0.2">
      <c r="A284">
        <f>IF(ISERROR(VLOOKUP(C284,Questions!$A$1:G$9999,7,0)),"",VLOOKUP(C284,Questions!$A$1:G$9999,7,0))</f>
        <v>2</v>
      </c>
      <c r="B284" s="17" t="str">
        <f t="shared" si="4"/>
        <v>Problem</v>
      </c>
      <c r="C284" s="30" t="s">
        <v>886</v>
      </c>
    </row>
    <row r="285" spans="1:3" x14ac:dyDescent="0.2">
      <c r="A285">
        <f>IF(ISERROR(VLOOKUP(C285,Questions!$A$1:G$9999,7,0)),"",VLOOKUP(C285,Questions!$A$1:G$9999,7,0))</f>
        <v>2</v>
      </c>
      <c r="B285" s="17" t="str">
        <f t="shared" si="4"/>
        <v>Problem</v>
      </c>
      <c r="C285" s="30" t="s">
        <v>887</v>
      </c>
    </row>
    <row r="286" spans="1:3" x14ac:dyDescent="0.2">
      <c r="A286">
        <f>IF(ISERROR(VLOOKUP(C286,Questions!$A$1:G$9999,7,0)),"",VLOOKUP(C286,Questions!$A$1:G$9999,7,0))</f>
        <v>1</v>
      </c>
      <c r="B286" s="17" t="str">
        <f t="shared" si="4"/>
        <v>Problem</v>
      </c>
      <c r="C286" s="30" t="s">
        <v>888</v>
      </c>
    </row>
    <row r="287" spans="1:3" x14ac:dyDescent="0.2">
      <c r="A287" t="str">
        <f>IF(ISERROR(VLOOKUP(C287,Questions!$A$1:G$9999,7,0)),"",VLOOKUP(C287,Questions!$A$1:G$9999,7,0))</f>
        <v/>
      </c>
      <c r="B287" s="17" t="str">
        <f t="shared" si="4"/>
        <v>Problem</v>
      </c>
      <c r="C287" s="29" t="s">
        <v>1195</v>
      </c>
    </row>
    <row r="288" spans="1:3" x14ac:dyDescent="0.2">
      <c r="A288">
        <f>IF(ISERROR(VLOOKUP(C288,Questions!$A$1:G$9999,7,0)),"",VLOOKUP(C288,Questions!$A$1:G$9999,7,0))</f>
        <v>1</v>
      </c>
      <c r="B288" s="17" t="str">
        <f t="shared" si="4"/>
        <v>Problem</v>
      </c>
      <c r="C288" s="30" t="s">
        <v>1203</v>
      </c>
    </row>
    <row r="289" spans="1:3" x14ac:dyDescent="0.2">
      <c r="A289">
        <f>IF(ISERROR(VLOOKUP(C289,Questions!$A$1:G$9999,7,0)),"",VLOOKUP(C289,Questions!$A$1:G$9999,7,0))</f>
        <v>2</v>
      </c>
      <c r="B289" s="17" t="str">
        <f t="shared" si="4"/>
        <v>Problem</v>
      </c>
      <c r="C289" s="30" t="s">
        <v>1204</v>
      </c>
    </row>
    <row r="290" spans="1:3" x14ac:dyDescent="0.2">
      <c r="A290">
        <f>IF(ISERROR(VLOOKUP(C290,Questions!$A$1:G$9999,7,0)),"",VLOOKUP(C290,Questions!$A$1:G$9999,7,0))</f>
        <v>1</v>
      </c>
      <c r="B290" s="17" t="str">
        <f t="shared" si="4"/>
        <v>Problem</v>
      </c>
      <c r="C290" s="30" t="s">
        <v>1205</v>
      </c>
    </row>
    <row r="291" spans="1:3" x14ac:dyDescent="0.2">
      <c r="A291">
        <f>IF(ISERROR(VLOOKUP(C291,Questions!$A$1:G$9999,7,0)),"",VLOOKUP(C291,Questions!$A$1:G$9999,7,0))</f>
        <v>4</v>
      </c>
      <c r="B291" s="17" t="str">
        <f t="shared" si="4"/>
        <v>Problem</v>
      </c>
      <c r="C291" s="30" t="s">
        <v>1206</v>
      </c>
    </row>
    <row r="292" spans="1:3" x14ac:dyDescent="0.2">
      <c r="A292">
        <f>IF(ISERROR(VLOOKUP(C292,Questions!$A$1:G$9999,7,0)),"",VLOOKUP(C292,Questions!$A$1:G$9999,7,0))</f>
        <v>1</v>
      </c>
      <c r="B292" s="17" t="str">
        <f t="shared" si="4"/>
        <v>Problem</v>
      </c>
      <c r="C292" s="30" t="s">
        <v>1207</v>
      </c>
    </row>
    <row r="293" spans="1:3" x14ac:dyDescent="0.2">
      <c r="A293" t="str">
        <f>IF(ISERROR(VLOOKUP(C293,Questions!$A$1:G$9999,7,0)),"",VLOOKUP(C293,Questions!$A$1:G$9999,7,0))</f>
        <v/>
      </c>
      <c r="B293" s="17" t="str">
        <f t="shared" si="4"/>
        <v>Problem</v>
      </c>
      <c r="C293" s="12" t="s">
        <v>5</v>
      </c>
    </row>
    <row r="294" spans="1:3" x14ac:dyDescent="0.2">
      <c r="A294" t="str">
        <f>IF(ISERROR(VLOOKUP(C294,Questions!$A$1:G$9999,7,0)),"",VLOOKUP(C294,Questions!$A$1:G$9999,7,0))</f>
        <v/>
      </c>
      <c r="B294" s="17" t="str">
        <f t="shared" si="4"/>
        <v>Problem</v>
      </c>
      <c r="C294" s="29" t="s">
        <v>785</v>
      </c>
    </row>
    <row r="295" spans="1:3" x14ac:dyDescent="0.2">
      <c r="A295">
        <f>IF(ISERROR(VLOOKUP(C295,Questions!$A$1:G$9999,7,0)),"",VLOOKUP(C295,Questions!$A$1:G$9999,7,0))</f>
        <v>4</v>
      </c>
      <c r="B295" s="17" t="str">
        <f t="shared" si="4"/>
        <v>Problem</v>
      </c>
      <c r="C295" s="30" t="s">
        <v>538</v>
      </c>
    </row>
    <row r="296" spans="1:3" x14ac:dyDescent="0.2">
      <c r="A296">
        <f>IF(ISERROR(VLOOKUP(C296,Questions!$A$1:G$9999,7,0)),"",VLOOKUP(C296,Questions!$A$1:G$9999,7,0))</f>
        <v>2</v>
      </c>
      <c r="B296" s="17" t="str">
        <f t="shared" si="4"/>
        <v>Problem</v>
      </c>
      <c r="C296" s="30" t="s">
        <v>18</v>
      </c>
    </row>
    <row r="297" spans="1:3" x14ac:dyDescent="0.2">
      <c r="A297">
        <f>IF(ISERROR(VLOOKUP(C297,Questions!$A$1:G$9999,7,0)),"",VLOOKUP(C297,Questions!$A$1:G$9999,7,0))</f>
        <v>2</v>
      </c>
      <c r="B297" s="17" t="str">
        <f t="shared" si="4"/>
        <v>Problem</v>
      </c>
      <c r="C297" s="30" t="s">
        <v>21</v>
      </c>
    </row>
    <row r="298" spans="1:3" x14ac:dyDescent="0.2">
      <c r="A298" t="str">
        <f>IF(ISERROR(VLOOKUP(C298,Questions!$A$1:G$9999,7,0)),"",VLOOKUP(C298,Questions!$A$1:G$9999,7,0))</f>
        <v/>
      </c>
      <c r="B298" s="17" t="str">
        <f t="shared" si="4"/>
        <v>Problem</v>
      </c>
      <c r="C298" s="29" t="s">
        <v>787</v>
      </c>
    </row>
    <row r="299" spans="1:3" x14ac:dyDescent="0.2">
      <c r="A299">
        <f>IF(ISERROR(VLOOKUP(C299,Questions!$A$1:G$9999,7,0)),"",VLOOKUP(C299,Questions!$A$1:G$9999,7,0))</f>
        <v>4</v>
      </c>
      <c r="B299" s="17" t="str">
        <f t="shared" si="4"/>
        <v>Problem</v>
      </c>
      <c r="C299" s="30" t="s">
        <v>47</v>
      </c>
    </row>
    <row r="300" spans="1:3" x14ac:dyDescent="0.2">
      <c r="A300">
        <f>IF(ISERROR(VLOOKUP(C300,Questions!$A$1:G$9999,7,0)),"",VLOOKUP(C300,Questions!$A$1:G$9999,7,0))</f>
        <v>3</v>
      </c>
      <c r="B300" s="17" t="str">
        <f t="shared" si="4"/>
        <v>Problem</v>
      </c>
      <c r="C300" s="30" t="s">
        <v>51</v>
      </c>
    </row>
    <row r="301" spans="1:3" x14ac:dyDescent="0.2">
      <c r="A301">
        <f>IF(ISERROR(VLOOKUP(C301,Questions!$A$1:G$9999,7,0)),"",VLOOKUP(C301,Questions!$A$1:G$9999,7,0))</f>
        <v>3</v>
      </c>
      <c r="B301" s="17" t="str">
        <f t="shared" si="4"/>
        <v>Problem</v>
      </c>
      <c r="C301" s="30" t="s">
        <v>52</v>
      </c>
    </row>
    <row r="302" spans="1:3" x14ac:dyDescent="0.2">
      <c r="A302">
        <f>IF(ISERROR(VLOOKUP(C302,Questions!$A$1:G$9999,7,0)),"",VLOOKUP(C302,Questions!$A$1:G$9999,7,0))</f>
        <v>3</v>
      </c>
      <c r="B302" s="17" t="str">
        <f t="shared" si="4"/>
        <v>Problem</v>
      </c>
      <c r="C302" s="30" t="s">
        <v>72</v>
      </c>
    </row>
    <row r="303" spans="1:3" x14ac:dyDescent="0.2">
      <c r="A303">
        <f>IF(ISERROR(VLOOKUP(C303,Questions!$A$1:G$9999,7,0)),"",VLOOKUP(C303,Questions!$A$1:G$9999,7,0))</f>
        <v>1</v>
      </c>
      <c r="B303" s="17" t="str">
        <f t="shared" si="4"/>
        <v>Problem</v>
      </c>
      <c r="C303" s="30" t="s">
        <v>74</v>
      </c>
    </row>
    <row r="304" spans="1:3" x14ac:dyDescent="0.2">
      <c r="A304">
        <f>IF(ISERROR(VLOOKUP(C304,Questions!$A$1:G$9999,7,0)),"",VLOOKUP(C304,Questions!$A$1:G$9999,7,0))</f>
        <v>3</v>
      </c>
      <c r="B304" s="17" t="str">
        <f t="shared" si="4"/>
        <v>Problem</v>
      </c>
      <c r="C304" s="30" t="s">
        <v>77</v>
      </c>
    </row>
    <row r="305" spans="1:3" x14ac:dyDescent="0.2">
      <c r="A305">
        <f>IF(ISERROR(VLOOKUP(C305,Questions!$A$1:G$9999,7,0)),"",VLOOKUP(C305,Questions!$A$1:G$9999,7,0))</f>
        <v>2</v>
      </c>
      <c r="B305" s="17" t="str">
        <f t="shared" si="4"/>
        <v>Problem</v>
      </c>
      <c r="C305" s="30" t="s">
        <v>889</v>
      </c>
    </row>
    <row r="306" spans="1:3" x14ac:dyDescent="0.2">
      <c r="A306" t="str">
        <f>IF(ISERROR(VLOOKUP(C306,Questions!$A$1:G$9999,7,0)),"",VLOOKUP(C306,Questions!$A$1:G$9999,7,0))</f>
        <v/>
      </c>
      <c r="B306" s="17" t="str">
        <f t="shared" si="4"/>
        <v>Problem</v>
      </c>
      <c r="C306" s="29" t="s">
        <v>789</v>
      </c>
    </row>
    <row r="307" spans="1:3" x14ac:dyDescent="0.2">
      <c r="A307">
        <f>IF(ISERROR(VLOOKUP(C307,Questions!$A$1:G$9999,7,0)),"",VLOOKUP(C307,Questions!$A$1:G$9999,7,0))</f>
        <v>4</v>
      </c>
      <c r="B307" s="17" t="str">
        <f t="shared" si="4"/>
        <v>Problem</v>
      </c>
      <c r="C307" s="30" t="s">
        <v>85</v>
      </c>
    </row>
    <row r="308" spans="1:3" x14ac:dyDescent="0.2">
      <c r="A308">
        <f>IF(ISERROR(VLOOKUP(C308,Questions!$A$1:G$9999,7,0)),"",VLOOKUP(C308,Questions!$A$1:G$9999,7,0))</f>
        <v>2</v>
      </c>
      <c r="B308" s="17" t="str">
        <f t="shared" si="4"/>
        <v>Problem</v>
      </c>
      <c r="C308" s="30" t="s">
        <v>86</v>
      </c>
    </row>
    <row r="309" spans="1:3" x14ac:dyDescent="0.2">
      <c r="A309">
        <f>IF(ISERROR(VLOOKUP(C309,Questions!$A$1:G$9999,7,0)),"",VLOOKUP(C309,Questions!$A$1:G$9999,7,0))</f>
        <v>1</v>
      </c>
      <c r="B309" s="17" t="str">
        <f t="shared" si="4"/>
        <v>Problem</v>
      </c>
      <c r="C309" s="30" t="s">
        <v>87</v>
      </c>
    </row>
    <row r="310" spans="1:3" x14ac:dyDescent="0.2">
      <c r="A310">
        <f>IF(ISERROR(VLOOKUP(C310,Questions!$A$1:G$9999,7,0)),"",VLOOKUP(C310,Questions!$A$1:G$9999,7,0))</f>
        <v>2</v>
      </c>
      <c r="B310" s="17" t="str">
        <f t="shared" si="4"/>
        <v>Problem</v>
      </c>
      <c r="C310" s="30" t="s">
        <v>89</v>
      </c>
    </row>
    <row r="311" spans="1:3" x14ac:dyDescent="0.2">
      <c r="A311">
        <f>IF(ISERROR(VLOOKUP(C311,Questions!$A$1:G$9999,7,0)),"",VLOOKUP(C311,Questions!$A$1:G$9999,7,0))</f>
        <v>2</v>
      </c>
      <c r="B311" s="17" t="str">
        <f t="shared" si="4"/>
        <v>Problem</v>
      </c>
      <c r="C311" s="30" t="s">
        <v>93</v>
      </c>
    </row>
    <row r="312" spans="1:3" x14ac:dyDescent="0.2">
      <c r="A312">
        <f>IF(ISERROR(VLOOKUP(C312,Questions!$A$1:G$9999,7,0)),"",VLOOKUP(C312,Questions!$A$1:G$9999,7,0))</f>
        <v>1</v>
      </c>
      <c r="B312" s="17" t="str">
        <f t="shared" si="4"/>
        <v>Problem</v>
      </c>
      <c r="C312" s="30" t="s">
        <v>95</v>
      </c>
    </row>
    <row r="313" spans="1:3" x14ac:dyDescent="0.2">
      <c r="A313">
        <f>IF(ISERROR(VLOOKUP(C313,Questions!$A$1:G$9999,7,0)),"",VLOOKUP(C313,Questions!$A$1:G$9999,7,0))</f>
        <v>2</v>
      </c>
      <c r="B313" s="17" t="str">
        <f t="shared" si="4"/>
        <v>Problem</v>
      </c>
      <c r="C313" s="30" t="s">
        <v>890</v>
      </c>
    </row>
    <row r="314" spans="1:3" x14ac:dyDescent="0.2">
      <c r="A314" t="str">
        <f>IF(ISERROR(VLOOKUP(C314,Questions!$A$1:G$9999,7,0)),"",VLOOKUP(C314,Questions!$A$1:G$9999,7,0))</f>
        <v/>
      </c>
      <c r="B314" s="17" t="str">
        <f t="shared" si="4"/>
        <v>Problem</v>
      </c>
      <c r="C314" s="29" t="s">
        <v>793</v>
      </c>
    </row>
    <row r="315" spans="1:3" x14ac:dyDescent="0.2">
      <c r="A315">
        <f>IF(ISERROR(VLOOKUP(C315,Questions!$A$1:G$9999,7,0)),"",VLOOKUP(C315,Questions!$A$1:G$9999,7,0))</f>
        <v>1</v>
      </c>
      <c r="B315" s="17" t="str">
        <f t="shared" si="4"/>
        <v>Problem</v>
      </c>
      <c r="C315" s="30" t="s">
        <v>121</v>
      </c>
    </row>
    <row r="316" spans="1:3" x14ac:dyDescent="0.2">
      <c r="A316">
        <f>IF(ISERROR(VLOOKUP(C316,Questions!$A$1:G$9999,7,0)),"",VLOOKUP(C316,Questions!$A$1:G$9999,7,0))</f>
        <v>4</v>
      </c>
      <c r="B316" s="17" t="str">
        <f t="shared" si="4"/>
        <v>Problem</v>
      </c>
      <c r="C316" s="30" t="s">
        <v>124</v>
      </c>
    </row>
    <row r="317" spans="1:3" x14ac:dyDescent="0.2">
      <c r="A317">
        <f>IF(ISERROR(VLOOKUP(C317,Questions!$A$1:G$9999,7,0)),"",VLOOKUP(C317,Questions!$A$1:G$9999,7,0))</f>
        <v>2</v>
      </c>
      <c r="B317" s="17" t="str">
        <f t="shared" si="4"/>
        <v>Problem</v>
      </c>
      <c r="C317" s="30" t="s">
        <v>125</v>
      </c>
    </row>
    <row r="318" spans="1:3" x14ac:dyDescent="0.2">
      <c r="A318">
        <f>IF(ISERROR(VLOOKUP(C318,Questions!$A$1:G$9999,7,0)),"",VLOOKUP(C318,Questions!$A$1:G$9999,7,0))</f>
        <v>3</v>
      </c>
      <c r="B318" s="17" t="str">
        <f t="shared" si="4"/>
        <v>Problem</v>
      </c>
      <c r="C318" s="30" t="s">
        <v>127</v>
      </c>
    </row>
    <row r="319" spans="1:3" x14ac:dyDescent="0.2">
      <c r="A319">
        <f>IF(ISERROR(VLOOKUP(C319,Questions!$A$1:G$9999,7,0)),"",VLOOKUP(C319,Questions!$A$1:G$9999,7,0))</f>
        <v>1</v>
      </c>
      <c r="B319" s="17" t="str">
        <f t="shared" si="4"/>
        <v>Problem</v>
      </c>
      <c r="C319" s="30" t="s">
        <v>131</v>
      </c>
    </row>
    <row r="320" spans="1:3" x14ac:dyDescent="0.2">
      <c r="A320">
        <f>IF(ISERROR(VLOOKUP(C320,Questions!$A$1:G$9999,7,0)),"",VLOOKUP(C320,Questions!$A$1:G$9999,7,0))</f>
        <v>4</v>
      </c>
      <c r="B320" s="17" t="str">
        <f t="shared" si="4"/>
        <v>Problem</v>
      </c>
      <c r="C320" s="30" t="s">
        <v>891</v>
      </c>
    </row>
    <row r="321" spans="1:3" x14ac:dyDescent="0.2">
      <c r="A321" t="str">
        <f>IF(ISERROR(VLOOKUP(C321,Questions!$A$1:G$9999,7,0)),"",VLOOKUP(C321,Questions!$A$1:G$9999,7,0))</f>
        <v/>
      </c>
      <c r="B321" s="17" t="str">
        <f t="shared" si="4"/>
        <v>Problem</v>
      </c>
      <c r="C321" s="29" t="s">
        <v>795</v>
      </c>
    </row>
    <row r="322" spans="1:3" x14ac:dyDescent="0.2">
      <c r="A322">
        <f>IF(ISERROR(VLOOKUP(C322,Questions!$A$1:G$9999,7,0)),"",VLOOKUP(C322,Questions!$A$1:G$9999,7,0))</f>
        <v>4</v>
      </c>
      <c r="B322" s="17" t="str">
        <f t="shared" si="4"/>
        <v>Problem</v>
      </c>
      <c r="C322" s="30" t="s">
        <v>156</v>
      </c>
    </row>
    <row r="323" spans="1:3" x14ac:dyDescent="0.2">
      <c r="A323">
        <f>IF(ISERROR(VLOOKUP(C323,Questions!$A$1:G$9999,7,0)),"",VLOOKUP(C323,Questions!$A$1:G$9999,7,0))</f>
        <v>1</v>
      </c>
      <c r="B323" s="17" t="str">
        <f t="shared" si="4"/>
        <v>Problem</v>
      </c>
      <c r="C323" s="30" t="s">
        <v>161</v>
      </c>
    </row>
    <row r="324" spans="1:3" x14ac:dyDescent="0.2">
      <c r="A324">
        <f>IF(ISERROR(VLOOKUP(C324,Questions!$A$1:G$9999,7,0)),"",VLOOKUP(C324,Questions!$A$1:G$9999,7,0))</f>
        <v>3</v>
      </c>
      <c r="B324" s="17" t="str">
        <f t="shared" ref="B324:B387" si="5">HYPERLINK("http://www.mrhosey.com/RPhys/" &amp; C324 &amp; ".gif","Problem")</f>
        <v>Problem</v>
      </c>
      <c r="C324" s="30" t="s">
        <v>892</v>
      </c>
    </row>
    <row r="325" spans="1:3" x14ac:dyDescent="0.2">
      <c r="A325">
        <f>IF(ISERROR(VLOOKUP(C325,Questions!$A$1:G$9999,7,0)),"",VLOOKUP(C325,Questions!$A$1:G$9999,7,0))</f>
        <v>2</v>
      </c>
      <c r="B325" s="17" t="str">
        <f t="shared" si="5"/>
        <v>Problem</v>
      </c>
      <c r="C325" s="30" t="s">
        <v>893</v>
      </c>
    </row>
    <row r="326" spans="1:3" x14ac:dyDescent="0.2">
      <c r="A326" t="str">
        <f>IF(ISERROR(VLOOKUP(C326,Questions!$A$1:G$9999,7,0)),"",VLOOKUP(C326,Questions!$A$1:G$9999,7,0))</f>
        <v/>
      </c>
      <c r="B326" s="17" t="str">
        <f t="shared" si="5"/>
        <v>Problem</v>
      </c>
      <c r="C326" s="29" t="s">
        <v>797</v>
      </c>
    </row>
    <row r="327" spans="1:3" x14ac:dyDescent="0.2">
      <c r="A327">
        <f>IF(ISERROR(VLOOKUP(C327,Questions!$A$1:G$9999,7,0)),"",VLOOKUP(C327,Questions!$A$1:G$9999,7,0))</f>
        <v>4</v>
      </c>
      <c r="B327" s="17" t="str">
        <f t="shared" si="5"/>
        <v>Problem</v>
      </c>
      <c r="C327" s="30" t="s">
        <v>189</v>
      </c>
    </row>
    <row r="328" spans="1:3" x14ac:dyDescent="0.2">
      <c r="A328">
        <f>IF(ISERROR(VLOOKUP(C328,Questions!$A$1:G$9999,7,0)),"",VLOOKUP(C328,Questions!$A$1:G$9999,7,0))</f>
        <v>1</v>
      </c>
      <c r="B328" s="17" t="str">
        <f t="shared" si="5"/>
        <v>Problem</v>
      </c>
      <c r="C328" s="30" t="s">
        <v>192</v>
      </c>
    </row>
    <row r="329" spans="1:3" x14ac:dyDescent="0.2">
      <c r="A329">
        <f>IF(ISERROR(VLOOKUP(C329,Questions!$A$1:G$9999,7,0)),"",VLOOKUP(C329,Questions!$A$1:G$9999,7,0))</f>
        <v>2</v>
      </c>
      <c r="B329" s="17" t="str">
        <f t="shared" si="5"/>
        <v>Problem</v>
      </c>
      <c r="C329" s="30" t="s">
        <v>194</v>
      </c>
    </row>
    <row r="330" spans="1:3" x14ac:dyDescent="0.2">
      <c r="A330">
        <f>IF(ISERROR(VLOOKUP(C330,Questions!$A$1:G$9999,7,0)),"",VLOOKUP(C330,Questions!$A$1:G$9999,7,0))</f>
        <v>4</v>
      </c>
      <c r="B330" s="17" t="str">
        <f t="shared" si="5"/>
        <v>Problem</v>
      </c>
      <c r="C330" s="30" t="s">
        <v>894</v>
      </c>
    </row>
    <row r="331" spans="1:3" x14ac:dyDescent="0.2">
      <c r="A331" t="str">
        <f>IF(ISERROR(VLOOKUP(C331,Questions!$A$1:G$9999,7,0)),"",VLOOKUP(C331,Questions!$A$1:G$9999,7,0))</f>
        <v/>
      </c>
      <c r="B331" s="17" t="str">
        <f t="shared" si="5"/>
        <v>Problem</v>
      </c>
      <c r="C331" s="29" t="s">
        <v>799</v>
      </c>
    </row>
    <row r="332" spans="1:3" x14ac:dyDescent="0.2">
      <c r="A332">
        <f>IF(ISERROR(VLOOKUP(C332,Questions!$A$1:G$9999,7,0)),"",VLOOKUP(C332,Questions!$A$1:G$9999,7,0))</f>
        <v>3</v>
      </c>
      <c r="B332" s="17" t="str">
        <f t="shared" si="5"/>
        <v>Problem</v>
      </c>
      <c r="C332" s="30" t="s">
        <v>226</v>
      </c>
    </row>
    <row r="333" spans="1:3" x14ac:dyDescent="0.2">
      <c r="A333">
        <f>IF(ISERROR(VLOOKUP(C333,Questions!$A$1:G$9999,7,0)),"",VLOOKUP(C333,Questions!$A$1:G$9999,7,0))</f>
        <v>4</v>
      </c>
      <c r="B333" s="17" t="str">
        <f t="shared" si="5"/>
        <v>Problem</v>
      </c>
      <c r="C333" s="30" t="s">
        <v>229</v>
      </c>
    </row>
    <row r="334" spans="1:3" x14ac:dyDescent="0.2">
      <c r="A334">
        <f>IF(ISERROR(VLOOKUP(C334,Questions!$A$1:G$9999,7,0)),"",VLOOKUP(C334,Questions!$A$1:G$9999,7,0))</f>
        <v>3</v>
      </c>
      <c r="B334" s="17" t="str">
        <f t="shared" si="5"/>
        <v>Problem</v>
      </c>
      <c r="C334" s="30" t="s">
        <v>230</v>
      </c>
    </row>
    <row r="335" spans="1:3" x14ac:dyDescent="0.2">
      <c r="A335">
        <f>IF(ISERROR(VLOOKUP(C335,Questions!$A$1:G$9999,7,0)),"",VLOOKUP(C335,Questions!$A$1:G$9999,7,0))</f>
        <v>3</v>
      </c>
      <c r="B335" s="17" t="str">
        <f t="shared" si="5"/>
        <v>Problem</v>
      </c>
      <c r="C335" s="30" t="s">
        <v>895</v>
      </c>
    </row>
    <row r="336" spans="1:3" x14ac:dyDescent="0.2">
      <c r="A336" t="str">
        <f>IF(ISERROR(VLOOKUP(C336,Questions!$A$1:G$9999,7,0)),"",VLOOKUP(C336,Questions!$A$1:G$9999,7,0))</f>
        <v/>
      </c>
      <c r="B336" s="17" t="str">
        <f t="shared" si="5"/>
        <v>Problem</v>
      </c>
      <c r="C336" s="29" t="s">
        <v>801</v>
      </c>
    </row>
    <row r="337" spans="1:3" x14ac:dyDescent="0.2">
      <c r="A337">
        <f>IF(ISERROR(VLOOKUP(C337,Questions!$A$1:G$9999,7,0)),"",VLOOKUP(C337,Questions!$A$1:G$9999,7,0))</f>
        <v>4</v>
      </c>
      <c r="B337" s="17" t="str">
        <f t="shared" si="5"/>
        <v>Problem</v>
      </c>
      <c r="C337" s="30" t="s">
        <v>264</v>
      </c>
    </row>
    <row r="338" spans="1:3" x14ac:dyDescent="0.2">
      <c r="A338">
        <f>IF(ISERROR(VLOOKUP(C338,Questions!$A$1:G$9999,7,0)),"",VLOOKUP(C338,Questions!$A$1:G$9999,7,0))</f>
        <v>1</v>
      </c>
      <c r="B338" s="17" t="str">
        <f t="shared" si="5"/>
        <v>Problem</v>
      </c>
      <c r="C338" s="30" t="s">
        <v>265</v>
      </c>
    </row>
    <row r="339" spans="1:3" x14ac:dyDescent="0.2">
      <c r="A339">
        <f>IF(ISERROR(VLOOKUP(C339,Questions!$A$1:G$9999,7,0)),"",VLOOKUP(C339,Questions!$A$1:G$9999,7,0))</f>
        <v>2</v>
      </c>
      <c r="B339" s="17" t="str">
        <f t="shared" si="5"/>
        <v>Problem</v>
      </c>
      <c r="C339" s="30" t="s">
        <v>267</v>
      </c>
    </row>
    <row r="340" spans="1:3" x14ac:dyDescent="0.2">
      <c r="A340">
        <f>IF(ISERROR(VLOOKUP(C340,Questions!$A$1:G$9999,7,0)),"",VLOOKUP(C340,Questions!$A$1:G$9999,7,0))</f>
        <v>1</v>
      </c>
      <c r="B340" s="17" t="str">
        <f t="shared" si="5"/>
        <v>Problem</v>
      </c>
      <c r="C340" s="30" t="s">
        <v>268</v>
      </c>
    </row>
    <row r="341" spans="1:3" x14ac:dyDescent="0.2">
      <c r="A341">
        <f>IF(ISERROR(VLOOKUP(C341,Questions!$A$1:G$9999,7,0)),"",VLOOKUP(C341,Questions!$A$1:G$9999,7,0))</f>
        <v>1</v>
      </c>
      <c r="B341" s="17" t="str">
        <f t="shared" si="5"/>
        <v>Problem</v>
      </c>
      <c r="C341" s="30" t="s">
        <v>269</v>
      </c>
    </row>
    <row r="342" spans="1:3" x14ac:dyDescent="0.2">
      <c r="A342">
        <f>IF(ISERROR(VLOOKUP(C342,Questions!$A$1:G$9999,7,0)),"",VLOOKUP(C342,Questions!$A$1:G$9999,7,0))</f>
        <v>4</v>
      </c>
      <c r="B342" s="17" t="str">
        <f t="shared" si="5"/>
        <v>Problem</v>
      </c>
      <c r="C342" s="30" t="s">
        <v>896</v>
      </c>
    </row>
    <row r="343" spans="1:3" x14ac:dyDescent="0.2">
      <c r="A343" t="str">
        <f>IF(ISERROR(VLOOKUP(C343,Questions!$A$1:G$9999,7,0)),"",VLOOKUP(C343,Questions!$A$1:G$9999,7,0))</f>
        <v/>
      </c>
      <c r="B343" s="17" t="str">
        <f t="shared" si="5"/>
        <v>Problem</v>
      </c>
      <c r="C343" s="29" t="s">
        <v>802</v>
      </c>
    </row>
    <row r="344" spans="1:3" x14ac:dyDescent="0.2">
      <c r="A344">
        <f>IF(ISERROR(VLOOKUP(C344,Questions!$A$1:G$9999,7,0)),"",VLOOKUP(C344,Questions!$A$1:G$9999,7,0))</f>
        <v>3</v>
      </c>
      <c r="B344" s="17" t="str">
        <f t="shared" si="5"/>
        <v>Problem</v>
      </c>
      <c r="C344" s="30" t="s">
        <v>297</v>
      </c>
    </row>
    <row r="345" spans="1:3" x14ac:dyDescent="0.2">
      <c r="A345">
        <f>IF(ISERROR(VLOOKUP(C345,Questions!$A$1:G$9999,7,0)),"",VLOOKUP(C345,Questions!$A$1:G$9999,7,0))</f>
        <v>3</v>
      </c>
      <c r="B345" s="17" t="str">
        <f t="shared" si="5"/>
        <v>Problem</v>
      </c>
      <c r="C345" s="30" t="s">
        <v>298</v>
      </c>
    </row>
    <row r="346" spans="1:3" x14ac:dyDescent="0.2">
      <c r="A346">
        <f>IF(ISERROR(VLOOKUP(C346,Questions!$A$1:G$9999,7,0)),"",VLOOKUP(C346,Questions!$A$1:G$9999,7,0))</f>
        <v>1</v>
      </c>
      <c r="B346" s="17" t="str">
        <f t="shared" si="5"/>
        <v>Problem</v>
      </c>
      <c r="C346" s="30" t="s">
        <v>299</v>
      </c>
    </row>
    <row r="347" spans="1:3" x14ac:dyDescent="0.2">
      <c r="A347">
        <f>IF(ISERROR(VLOOKUP(C347,Questions!$A$1:G$9999,7,0)),"",VLOOKUP(C347,Questions!$A$1:G$9999,7,0))</f>
        <v>4</v>
      </c>
      <c r="B347" s="17" t="str">
        <f t="shared" si="5"/>
        <v>Problem</v>
      </c>
      <c r="C347" s="30" t="s">
        <v>300</v>
      </c>
    </row>
    <row r="348" spans="1:3" x14ac:dyDescent="0.2">
      <c r="A348">
        <f>IF(ISERROR(VLOOKUP(C348,Questions!$A$1:G$9999,7,0)),"",VLOOKUP(C348,Questions!$A$1:G$9999,7,0))</f>
        <v>1</v>
      </c>
      <c r="B348" s="17" t="str">
        <f t="shared" si="5"/>
        <v>Problem</v>
      </c>
      <c r="C348" s="30" t="s">
        <v>301</v>
      </c>
    </row>
    <row r="349" spans="1:3" x14ac:dyDescent="0.2">
      <c r="A349">
        <f>IF(ISERROR(VLOOKUP(C349,Questions!$A$1:G$9999,7,0)),"",VLOOKUP(C349,Questions!$A$1:G$9999,7,0))</f>
        <v>3</v>
      </c>
      <c r="B349" s="17" t="str">
        <f t="shared" si="5"/>
        <v>Problem</v>
      </c>
      <c r="C349" s="30" t="s">
        <v>304</v>
      </c>
    </row>
    <row r="350" spans="1:3" x14ac:dyDescent="0.2">
      <c r="A350">
        <f>IF(ISERROR(VLOOKUP(C350,Questions!$A$1:G$9999,7,0)),"",VLOOKUP(C350,Questions!$A$1:G$9999,7,0))</f>
        <v>2</v>
      </c>
      <c r="B350" s="17" t="str">
        <f t="shared" si="5"/>
        <v>Problem</v>
      </c>
      <c r="C350" s="30" t="s">
        <v>897</v>
      </c>
    </row>
    <row r="351" spans="1:3" x14ac:dyDescent="0.2">
      <c r="A351" t="str">
        <f>IF(ISERROR(VLOOKUP(C351,Questions!$A$1:G$9999,7,0)),"",VLOOKUP(C351,Questions!$A$1:G$9999,7,0))</f>
        <v/>
      </c>
      <c r="B351" s="17" t="str">
        <f t="shared" si="5"/>
        <v>Problem</v>
      </c>
      <c r="C351" s="29" t="s">
        <v>803</v>
      </c>
    </row>
    <row r="352" spans="1:3" x14ac:dyDescent="0.2">
      <c r="A352">
        <f>IF(ISERROR(VLOOKUP(C352,Questions!$A$1:G$9999,7,0)),"",VLOOKUP(C352,Questions!$A$1:G$9999,7,0))</f>
        <v>4</v>
      </c>
      <c r="B352" s="17" t="str">
        <f t="shared" si="5"/>
        <v>Problem</v>
      </c>
      <c r="C352" s="30" t="s">
        <v>331</v>
      </c>
    </row>
    <row r="353" spans="1:3" x14ac:dyDescent="0.2">
      <c r="A353">
        <f>IF(ISERROR(VLOOKUP(C353,Questions!$A$1:G$9999,7,0)),"",VLOOKUP(C353,Questions!$A$1:G$9999,7,0))</f>
        <v>1</v>
      </c>
      <c r="B353" s="17" t="str">
        <f t="shared" si="5"/>
        <v>Problem</v>
      </c>
      <c r="C353" s="30" t="s">
        <v>898</v>
      </c>
    </row>
    <row r="354" spans="1:3" x14ac:dyDescent="0.2">
      <c r="A354">
        <f>IF(ISERROR(VLOOKUP(C354,Questions!$A$1:G$9999,7,0)),"",VLOOKUP(C354,Questions!$A$1:G$9999,7,0))</f>
        <v>1</v>
      </c>
      <c r="B354" s="17" t="str">
        <f t="shared" si="5"/>
        <v>Problem</v>
      </c>
      <c r="C354" s="30" t="s">
        <v>899</v>
      </c>
    </row>
    <row r="355" spans="1:3" x14ac:dyDescent="0.2">
      <c r="A355" t="str">
        <f>IF(ISERROR(VLOOKUP(C355,Questions!$A$1:G$9999,7,0)),"",VLOOKUP(C355,Questions!$A$1:G$9999,7,0))</f>
        <v/>
      </c>
      <c r="B355" s="17" t="str">
        <f t="shared" si="5"/>
        <v>Problem</v>
      </c>
      <c r="C355" s="29" t="s">
        <v>805</v>
      </c>
    </row>
    <row r="356" spans="1:3" x14ac:dyDescent="0.2">
      <c r="A356">
        <f>IF(ISERROR(VLOOKUP(C356,Questions!$A$1:G$9999,7,0)),"",VLOOKUP(C356,Questions!$A$1:G$9999,7,0))</f>
        <v>4</v>
      </c>
      <c r="B356" s="17" t="str">
        <f t="shared" si="5"/>
        <v>Problem</v>
      </c>
      <c r="C356" s="30" t="s">
        <v>370</v>
      </c>
    </row>
    <row r="357" spans="1:3" x14ac:dyDescent="0.2">
      <c r="A357">
        <f>IF(ISERROR(VLOOKUP(C357,Questions!$A$1:G$9999,7,0)),"",VLOOKUP(C357,Questions!$A$1:G$9999,7,0))</f>
        <v>2</v>
      </c>
      <c r="B357" s="17" t="str">
        <f t="shared" si="5"/>
        <v>Problem</v>
      </c>
      <c r="C357" s="30" t="s">
        <v>371</v>
      </c>
    </row>
    <row r="358" spans="1:3" x14ac:dyDescent="0.2">
      <c r="A358">
        <f>IF(ISERROR(VLOOKUP(C358,Questions!$A$1:G$9999,7,0)),"",VLOOKUP(C358,Questions!$A$1:G$9999,7,0))</f>
        <v>2</v>
      </c>
      <c r="B358" s="17" t="str">
        <f t="shared" si="5"/>
        <v>Problem</v>
      </c>
      <c r="C358" s="30" t="s">
        <v>900</v>
      </c>
    </row>
    <row r="359" spans="1:3" x14ac:dyDescent="0.2">
      <c r="A359">
        <f>IF(ISERROR(VLOOKUP(C359,Questions!$A$1:G$9999,7,0)),"",VLOOKUP(C359,Questions!$A$1:G$9999,7,0))</f>
        <v>1</v>
      </c>
      <c r="B359" s="17" t="str">
        <f t="shared" si="5"/>
        <v>Problem</v>
      </c>
      <c r="C359" s="30" t="s">
        <v>901</v>
      </c>
    </row>
    <row r="360" spans="1:3" x14ac:dyDescent="0.2">
      <c r="A360" t="str">
        <f>IF(ISERROR(VLOOKUP(C360,Questions!$A$1:G$9999,7,0)),"",VLOOKUP(C360,Questions!$A$1:G$9999,7,0))</f>
        <v/>
      </c>
      <c r="B360" s="17" t="str">
        <f t="shared" si="5"/>
        <v>Problem</v>
      </c>
      <c r="C360" s="29" t="s">
        <v>807</v>
      </c>
    </row>
    <row r="361" spans="1:3" x14ac:dyDescent="0.2">
      <c r="A361">
        <f>IF(ISERROR(VLOOKUP(C361,Questions!$A$1:G$9999,7,0)),"",VLOOKUP(C361,Questions!$A$1:G$9999,7,0))</f>
        <v>2</v>
      </c>
      <c r="B361" s="17" t="str">
        <f t="shared" si="5"/>
        <v>Problem</v>
      </c>
      <c r="C361" s="30" t="s">
        <v>399</v>
      </c>
    </row>
    <row r="362" spans="1:3" x14ac:dyDescent="0.2">
      <c r="A362">
        <f>IF(ISERROR(VLOOKUP(C362,Questions!$A$1:G$9999,7,0)),"",VLOOKUP(C362,Questions!$A$1:G$9999,7,0))</f>
        <v>2</v>
      </c>
      <c r="B362" s="17" t="str">
        <f t="shared" si="5"/>
        <v>Problem</v>
      </c>
      <c r="C362" s="30" t="s">
        <v>403</v>
      </c>
    </row>
    <row r="363" spans="1:3" x14ac:dyDescent="0.2">
      <c r="A363">
        <f>IF(ISERROR(VLOOKUP(C363,Questions!$A$1:G$9999,7,0)),"",VLOOKUP(C363,Questions!$A$1:G$9999,7,0))</f>
        <v>3</v>
      </c>
      <c r="B363" s="17" t="str">
        <f t="shared" si="5"/>
        <v>Problem</v>
      </c>
      <c r="C363" s="30" t="s">
        <v>410</v>
      </c>
    </row>
    <row r="364" spans="1:3" x14ac:dyDescent="0.2">
      <c r="A364" t="str">
        <f>IF(ISERROR(VLOOKUP(C364,Questions!$A$1:G$9999,7,0)),"",VLOOKUP(C364,Questions!$A$1:G$9999,7,0))</f>
        <v/>
      </c>
      <c r="B364" s="17" t="str">
        <f t="shared" si="5"/>
        <v>Problem</v>
      </c>
      <c r="C364" s="29" t="s">
        <v>808</v>
      </c>
    </row>
    <row r="365" spans="1:3" x14ac:dyDescent="0.2">
      <c r="A365">
        <f>IF(ISERROR(VLOOKUP(C365,Questions!$A$1:G$9999,7,0)),"",VLOOKUP(C365,Questions!$A$1:G$9999,7,0))</f>
        <v>4</v>
      </c>
      <c r="B365" s="17" t="str">
        <f t="shared" si="5"/>
        <v>Problem</v>
      </c>
      <c r="C365" s="30" t="s">
        <v>436</v>
      </c>
    </row>
    <row r="366" spans="1:3" x14ac:dyDescent="0.2">
      <c r="A366">
        <f>IF(ISERROR(VLOOKUP(C366,Questions!$A$1:G$9999,7,0)),"",VLOOKUP(C366,Questions!$A$1:G$9999,7,0))</f>
        <v>4</v>
      </c>
      <c r="B366" s="17" t="str">
        <f t="shared" si="5"/>
        <v>Problem</v>
      </c>
      <c r="C366" s="30" t="s">
        <v>437</v>
      </c>
    </row>
    <row r="367" spans="1:3" x14ac:dyDescent="0.2">
      <c r="A367">
        <f>IF(ISERROR(VLOOKUP(C367,Questions!$A$1:G$9999,7,0)),"",VLOOKUP(C367,Questions!$A$1:G$9999,7,0))</f>
        <v>1</v>
      </c>
      <c r="B367" s="17" t="str">
        <f t="shared" si="5"/>
        <v>Problem</v>
      </c>
      <c r="C367" s="30" t="s">
        <v>440</v>
      </c>
    </row>
    <row r="368" spans="1:3" x14ac:dyDescent="0.2">
      <c r="A368">
        <f>IF(ISERROR(VLOOKUP(C368,Questions!$A$1:G$9999,7,0)),"",VLOOKUP(C368,Questions!$A$1:G$9999,7,0))</f>
        <v>1</v>
      </c>
      <c r="B368" s="17" t="str">
        <f t="shared" si="5"/>
        <v>Problem</v>
      </c>
      <c r="C368" s="30" t="s">
        <v>902</v>
      </c>
    </row>
    <row r="369" spans="1:3" x14ac:dyDescent="0.2">
      <c r="A369" t="str">
        <f>IF(ISERROR(VLOOKUP(C369,Questions!$A$1:G$9999,7,0)),"",VLOOKUP(C369,Questions!$A$1:G$9999,7,0))</f>
        <v/>
      </c>
      <c r="B369" s="17" t="str">
        <f t="shared" si="5"/>
        <v>Problem</v>
      </c>
      <c r="C369" s="29" t="s">
        <v>810</v>
      </c>
    </row>
    <row r="370" spans="1:3" x14ac:dyDescent="0.2">
      <c r="A370">
        <f>IF(ISERROR(VLOOKUP(C370,Questions!$A$1:G$9999,7,0)),"",VLOOKUP(C370,Questions!$A$1:G$9999,7,0))</f>
        <v>4</v>
      </c>
      <c r="B370" s="17" t="str">
        <f t="shared" si="5"/>
        <v>Problem</v>
      </c>
      <c r="C370" s="30" t="s">
        <v>469</v>
      </c>
    </row>
    <row r="371" spans="1:3" x14ac:dyDescent="0.2">
      <c r="A371">
        <f>IF(ISERROR(VLOOKUP(C371,Questions!$A$1:G$9999,7,0)),"",VLOOKUP(C371,Questions!$A$1:G$9999,7,0))</f>
        <v>3</v>
      </c>
      <c r="B371" s="17" t="str">
        <f t="shared" si="5"/>
        <v>Problem</v>
      </c>
      <c r="C371" s="30" t="s">
        <v>474</v>
      </c>
    </row>
    <row r="372" spans="1:3" x14ac:dyDescent="0.2">
      <c r="A372">
        <f>IF(ISERROR(VLOOKUP(C372,Questions!$A$1:G$9999,7,0)),"",VLOOKUP(C372,Questions!$A$1:G$9999,7,0))</f>
        <v>2</v>
      </c>
      <c r="B372" s="17" t="str">
        <f t="shared" si="5"/>
        <v>Problem</v>
      </c>
      <c r="C372" s="30" t="s">
        <v>475</v>
      </c>
    </row>
    <row r="373" spans="1:3" x14ac:dyDescent="0.2">
      <c r="A373">
        <f>IF(ISERROR(VLOOKUP(C373,Questions!$A$1:G$9999,7,0)),"",VLOOKUP(C373,Questions!$A$1:G$9999,7,0))</f>
        <v>3</v>
      </c>
      <c r="B373" s="17" t="str">
        <f t="shared" si="5"/>
        <v>Problem</v>
      </c>
      <c r="C373" s="30" t="s">
        <v>478</v>
      </c>
    </row>
    <row r="374" spans="1:3" x14ac:dyDescent="0.2">
      <c r="A374">
        <f>IF(ISERROR(VLOOKUP(C374,Questions!$A$1:G$9999,7,0)),"",VLOOKUP(C374,Questions!$A$1:G$9999,7,0))</f>
        <v>3</v>
      </c>
      <c r="B374" s="17" t="str">
        <f t="shared" si="5"/>
        <v>Problem</v>
      </c>
      <c r="C374" s="30" t="s">
        <v>482</v>
      </c>
    </row>
    <row r="375" spans="1:3" x14ac:dyDescent="0.2">
      <c r="A375">
        <f>IF(ISERROR(VLOOKUP(C375,Questions!$A$1:G$9999,7,0)),"",VLOOKUP(C375,Questions!$A$1:G$9999,7,0))</f>
        <v>3</v>
      </c>
      <c r="B375" s="17" t="str">
        <f t="shared" si="5"/>
        <v>Problem</v>
      </c>
      <c r="C375" s="30" t="s">
        <v>903</v>
      </c>
    </row>
    <row r="376" spans="1:3" x14ac:dyDescent="0.2">
      <c r="A376">
        <f>IF(ISERROR(VLOOKUP(C376,Questions!$A$1:G$9999,7,0)),"",VLOOKUP(C376,Questions!$A$1:G$9999,7,0))</f>
        <v>2</v>
      </c>
      <c r="B376" s="17" t="str">
        <f t="shared" si="5"/>
        <v>Problem</v>
      </c>
      <c r="C376" s="30" t="s">
        <v>904</v>
      </c>
    </row>
    <row r="377" spans="1:3" x14ac:dyDescent="0.2">
      <c r="A377">
        <f>IF(ISERROR(VLOOKUP(C377,Questions!$A$1:G$9999,7,0)),"",VLOOKUP(C377,Questions!$A$1:G$9999,7,0))</f>
        <v>1</v>
      </c>
      <c r="B377" s="17" t="str">
        <f t="shared" si="5"/>
        <v>Problem</v>
      </c>
      <c r="C377" s="30" t="s">
        <v>905</v>
      </c>
    </row>
    <row r="378" spans="1:3" x14ac:dyDescent="0.2">
      <c r="A378" t="str">
        <f>IF(ISERROR(VLOOKUP(C378,Questions!$A$1:G$9999,7,0)),"",VLOOKUP(C378,Questions!$A$1:G$9999,7,0))</f>
        <v/>
      </c>
      <c r="B378" s="17" t="str">
        <f t="shared" si="5"/>
        <v>Problem</v>
      </c>
      <c r="C378" s="29" t="s">
        <v>811</v>
      </c>
    </row>
    <row r="379" spans="1:3" x14ac:dyDescent="0.2">
      <c r="A379">
        <f>IF(ISERROR(VLOOKUP(C379,Questions!$A$1:G$9999,7,0)),"",VLOOKUP(C379,Questions!$A$1:G$9999,7,0))</f>
        <v>4</v>
      </c>
      <c r="B379" s="17" t="str">
        <f t="shared" si="5"/>
        <v>Problem</v>
      </c>
      <c r="C379" s="30" t="s">
        <v>502</v>
      </c>
    </row>
    <row r="380" spans="1:3" x14ac:dyDescent="0.2">
      <c r="A380">
        <f>IF(ISERROR(VLOOKUP(C380,Questions!$A$1:G$9999,7,0)),"",VLOOKUP(C380,Questions!$A$1:G$9999,7,0))</f>
        <v>2</v>
      </c>
      <c r="B380" s="17" t="str">
        <f t="shared" si="5"/>
        <v>Problem</v>
      </c>
      <c r="C380" s="30" t="s">
        <v>503</v>
      </c>
    </row>
    <row r="381" spans="1:3" x14ac:dyDescent="0.2">
      <c r="A381">
        <f>IF(ISERROR(VLOOKUP(C381,Questions!$A$1:G$9999,7,0)),"",VLOOKUP(C381,Questions!$A$1:G$9999,7,0))</f>
        <v>3</v>
      </c>
      <c r="B381" s="17" t="str">
        <f t="shared" si="5"/>
        <v>Problem</v>
      </c>
      <c r="C381" s="30" t="s">
        <v>504</v>
      </c>
    </row>
    <row r="382" spans="1:3" x14ac:dyDescent="0.2">
      <c r="A382">
        <f>IF(ISERROR(VLOOKUP(C382,Questions!$A$1:G$9999,7,0)),"",VLOOKUP(C382,Questions!$A$1:G$9999,7,0))</f>
        <v>3</v>
      </c>
      <c r="B382" s="17" t="str">
        <f t="shared" si="5"/>
        <v>Problem</v>
      </c>
      <c r="C382" s="30" t="s">
        <v>507</v>
      </c>
    </row>
    <row r="383" spans="1:3" x14ac:dyDescent="0.2">
      <c r="A383">
        <f>IF(ISERROR(VLOOKUP(C383,Questions!$A$1:G$9999,7,0)),"",VLOOKUP(C383,Questions!$A$1:G$9999,7,0))</f>
        <v>1</v>
      </c>
      <c r="B383" s="17" t="str">
        <f t="shared" si="5"/>
        <v>Problem</v>
      </c>
      <c r="C383" s="30" t="s">
        <v>512</v>
      </c>
    </row>
    <row r="384" spans="1:3" x14ac:dyDescent="0.2">
      <c r="A384">
        <f>IF(ISERROR(VLOOKUP(C384,Questions!$A$1:G$9999,7,0)),"",VLOOKUP(C384,Questions!$A$1:G$9999,7,0))</f>
        <v>3</v>
      </c>
      <c r="B384" s="17" t="str">
        <f t="shared" si="5"/>
        <v>Problem</v>
      </c>
      <c r="C384" s="30" t="s">
        <v>906</v>
      </c>
    </row>
    <row r="385" spans="1:3" x14ac:dyDescent="0.2">
      <c r="A385" t="str">
        <f>IF(ISERROR(VLOOKUP(C385,Questions!$A$1:G$9999,7,0)),"",VLOOKUP(C385,Questions!$A$1:G$9999,7,0))</f>
        <v/>
      </c>
      <c r="B385" s="17" t="str">
        <f t="shared" si="5"/>
        <v>Problem</v>
      </c>
      <c r="C385" s="29" t="s">
        <v>777</v>
      </c>
    </row>
    <row r="386" spans="1:3" x14ac:dyDescent="0.2">
      <c r="A386">
        <f>IF(ISERROR(VLOOKUP(C386,Questions!$A$1:G$9999,7,0)),"",VLOOKUP(C386,Questions!$A$1:G$9999,7,0))</f>
        <v>4</v>
      </c>
      <c r="B386" s="17" t="str">
        <f t="shared" si="5"/>
        <v>Problem</v>
      </c>
      <c r="C386" s="30" t="s">
        <v>630</v>
      </c>
    </row>
    <row r="387" spans="1:3" x14ac:dyDescent="0.2">
      <c r="A387">
        <f>IF(ISERROR(VLOOKUP(C387,Questions!$A$1:G$9999,7,0)),"",VLOOKUP(C387,Questions!$A$1:G$9999,7,0))</f>
        <v>2</v>
      </c>
      <c r="B387" s="17" t="str">
        <f t="shared" si="5"/>
        <v>Problem</v>
      </c>
      <c r="C387" s="30" t="s">
        <v>631</v>
      </c>
    </row>
    <row r="388" spans="1:3" x14ac:dyDescent="0.2">
      <c r="A388">
        <f>IF(ISERROR(VLOOKUP(C388,Questions!$A$1:G$9999,7,0)),"",VLOOKUP(C388,Questions!$A$1:G$9999,7,0))</f>
        <v>3</v>
      </c>
      <c r="B388" s="17" t="str">
        <f t="shared" ref="B388:B451" si="6">HYPERLINK("http://www.mrhosey.com/RPhys/" &amp; C388 &amp; ".gif","Problem")</f>
        <v>Problem</v>
      </c>
      <c r="C388" s="30" t="s">
        <v>632</v>
      </c>
    </row>
    <row r="389" spans="1:3" x14ac:dyDescent="0.2">
      <c r="A389">
        <f>IF(ISERROR(VLOOKUP(C389,Questions!$A$1:G$9999,7,0)),"",VLOOKUP(C389,Questions!$A$1:G$9999,7,0))</f>
        <v>4</v>
      </c>
      <c r="B389" s="17" t="str">
        <f t="shared" si="6"/>
        <v>Problem</v>
      </c>
      <c r="C389" s="30" t="s">
        <v>633</v>
      </c>
    </row>
    <row r="390" spans="1:3" x14ac:dyDescent="0.2">
      <c r="A390">
        <f>IF(ISERROR(VLOOKUP(C390,Questions!$A$1:G$9999,7,0)),"",VLOOKUP(C390,Questions!$A$1:G$9999,7,0))</f>
        <v>1</v>
      </c>
      <c r="B390" s="17" t="str">
        <f t="shared" si="6"/>
        <v>Problem</v>
      </c>
      <c r="C390" s="30" t="s">
        <v>638</v>
      </c>
    </row>
    <row r="391" spans="1:3" x14ac:dyDescent="0.2">
      <c r="A391">
        <f>IF(ISERROR(VLOOKUP(C391,Questions!$A$1:G$9999,7,0)),"",VLOOKUP(C391,Questions!$A$1:G$9999,7,0))</f>
        <v>2</v>
      </c>
      <c r="B391" s="17" t="str">
        <f t="shared" si="6"/>
        <v>Problem</v>
      </c>
      <c r="C391" s="30" t="s">
        <v>907</v>
      </c>
    </row>
    <row r="392" spans="1:3" x14ac:dyDescent="0.2">
      <c r="A392" t="str">
        <f>IF(ISERROR(VLOOKUP(C392,Questions!$A$1:G$9999,7,0)),"",VLOOKUP(C392,Questions!$A$1:G$9999,7,0))</f>
        <v/>
      </c>
      <c r="B392" s="17" t="str">
        <f t="shared" si="6"/>
        <v>Problem</v>
      </c>
      <c r="C392" s="29" t="s">
        <v>778</v>
      </c>
    </row>
    <row r="393" spans="1:3" x14ac:dyDescent="0.2">
      <c r="A393">
        <f>IF(ISERROR(VLOOKUP(C393,Questions!$A$1:G$9999,7,0)),"",VLOOKUP(C393,Questions!$A$1:G$9999,7,0))</f>
        <v>4</v>
      </c>
      <c r="B393" s="17" t="str">
        <f t="shared" si="6"/>
        <v>Problem</v>
      </c>
      <c r="C393" s="30" t="s">
        <v>693</v>
      </c>
    </row>
    <row r="394" spans="1:3" x14ac:dyDescent="0.2">
      <c r="A394">
        <f>IF(ISERROR(VLOOKUP(C394,Questions!$A$1:G$9999,7,0)),"",VLOOKUP(C394,Questions!$A$1:G$9999,7,0))</f>
        <v>2</v>
      </c>
      <c r="B394" s="17" t="str">
        <f t="shared" si="6"/>
        <v>Problem</v>
      </c>
      <c r="C394" s="30" t="s">
        <v>695</v>
      </c>
    </row>
    <row r="395" spans="1:3" x14ac:dyDescent="0.2">
      <c r="A395">
        <f>IF(ISERROR(VLOOKUP(C395,Questions!$A$1:G$9999,7,0)),"",VLOOKUP(C395,Questions!$A$1:G$9999,7,0))</f>
        <v>4</v>
      </c>
      <c r="B395" s="17" t="str">
        <f t="shared" si="6"/>
        <v>Problem</v>
      </c>
      <c r="C395" s="30" t="s">
        <v>697</v>
      </c>
    </row>
    <row r="396" spans="1:3" x14ac:dyDescent="0.2">
      <c r="A396">
        <f>IF(ISERROR(VLOOKUP(C396,Questions!$A$1:G$9999,7,0)),"",VLOOKUP(C396,Questions!$A$1:G$9999,7,0))</f>
        <v>4</v>
      </c>
      <c r="B396" s="17" t="str">
        <f t="shared" si="6"/>
        <v>Problem</v>
      </c>
      <c r="C396" s="30" t="s">
        <v>698</v>
      </c>
    </row>
    <row r="397" spans="1:3" x14ac:dyDescent="0.2">
      <c r="A397" t="str">
        <f>IF(ISERROR(VLOOKUP(C397,Questions!$A$1:G$9999,7,0)),"",VLOOKUP(C397,Questions!$A$1:G$9999,7,0))</f>
        <v/>
      </c>
      <c r="B397" s="17" t="str">
        <f t="shared" si="6"/>
        <v>Problem</v>
      </c>
      <c r="C397" s="29" t="s">
        <v>779</v>
      </c>
    </row>
    <row r="398" spans="1:3" x14ac:dyDescent="0.2">
      <c r="A398">
        <f>IF(ISERROR(VLOOKUP(C398,Questions!$A$1:G$9999,7,0)),"",VLOOKUP(C398,Questions!$A$1:G$9999,7,0))</f>
        <v>4</v>
      </c>
      <c r="B398" s="17" t="str">
        <f t="shared" si="6"/>
        <v>Problem</v>
      </c>
      <c r="C398" s="30" t="s">
        <v>908</v>
      </c>
    </row>
    <row r="399" spans="1:3" x14ac:dyDescent="0.2">
      <c r="A399">
        <f>IF(ISERROR(VLOOKUP(C399,Questions!$A$1:G$9999,7,0)),"",VLOOKUP(C399,Questions!$A$1:G$9999,7,0))</f>
        <v>2</v>
      </c>
      <c r="B399" s="17" t="str">
        <f t="shared" si="6"/>
        <v>Problem</v>
      </c>
      <c r="C399" s="30" t="s">
        <v>909</v>
      </c>
    </row>
    <row r="400" spans="1:3" x14ac:dyDescent="0.2">
      <c r="A400" t="str">
        <f>IF(ISERROR(VLOOKUP(C400,Questions!$A$1:G$9999,7,0)),"",VLOOKUP(C400,Questions!$A$1:G$9999,7,0))</f>
        <v/>
      </c>
      <c r="B400" s="17" t="str">
        <f t="shared" si="6"/>
        <v>Problem</v>
      </c>
      <c r="C400" s="29" t="s">
        <v>780</v>
      </c>
    </row>
    <row r="401" spans="1:3" x14ac:dyDescent="0.2">
      <c r="A401">
        <f>IF(ISERROR(VLOOKUP(C401,Questions!$A$1:G$9999,7,0)),"",VLOOKUP(C401,Questions!$A$1:G$9999,7,0))</f>
        <v>1</v>
      </c>
      <c r="B401" s="17" t="str">
        <f t="shared" si="6"/>
        <v>Problem</v>
      </c>
      <c r="C401" s="30" t="s">
        <v>910</v>
      </c>
    </row>
    <row r="402" spans="1:3" x14ac:dyDescent="0.2">
      <c r="A402">
        <f>IF(ISERROR(VLOOKUP(C402,Questions!$A$1:G$9999,7,0)),"",VLOOKUP(C402,Questions!$A$1:G$9999,7,0))</f>
        <v>3</v>
      </c>
      <c r="B402" s="17" t="str">
        <f t="shared" si="6"/>
        <v>Problem</v>
      </c>
      <c r="C402" s="30" t="s">
        <v>911</v>
      </c>
    </row>
    <row r="403" spans="1:3" x14ac:dyDescent="0.2">
      <c r="A403">
        <f>IF(ISERROR(VLOOKUP(C403,Questions!$A$1:G$9999,7,0)),"",VLOOKUP(C403,Questions!$A$1:G$9999,7,0))</f>
        <v>1</v>
      </c>
      <c r="B403" s="17" t="str">
        <f t="shared" si="6"/>
        <v>Problem</v>
      </c>
      <c r="C403" s="30" t="s">
        <v>912</v>
      </c>
    </row>
    <row r="404" spans="1:3" x14ac:dyDescent="0.2">
      <c r="A404">
        <f>IF(ISERROR(VLOOKUP(C404,Questions!$A$1:G$9999,7,0)),"",VLOOKUP(C404,Questions!$A$1:G$9999,7,0))</f>
        <v>1</v>
      </c>
      <c r="B404" s="17" t="str">
        <f t="shared" si="6"/>
        <v>Problem</v>
      </c>
      <c r="C404" s="30" t="s">
        <v>913</v>
      </c>
    </row>
    <row r="405" spans="1:3" x14ac:dyDescent="0.2">
      <c r="A405">
        <f>IF(ISERROR(VLOOKUP(C405,Questions!$A$1:G$9999,7,0)),"",VLOOKUP(C405,Questions!$A$1:G$9999,7,0))</f>
        <v>2</v>
      </c>
      <c r="B405" s="17" t="str">
        <f t="shared" si="6"/>
        <v>Problem</v>
      </c>
      <c r="C405" s="30" t="s">
        <v>914</v>
      </c>
    </row>
    <row r="406" spans="1:3" x14ac:dyDescent="0.2">
      <c r="A406">
        <f>IF(ISERROR(VLOOKUP(C406,Questions!$A$1:G$9999,7,0)),"",VLOOKUP(C406,Questions!$A$1:G$9999,7,0))</f>
        <v>1</v>
      </c>
      <c r="B406" s="17" t="str">
        <f t="shared" si="6"/>
        <v>Problem</v>
      </c>
      <c r="C406" s="30" t="s">
        <v>915</v>
      </c>
    </row>
    <row r="407" spans="1:3" x14ac:dyDescent="0.2">
      <c r="A407" t="str">
        <f>IF(ISERROR(VLOOKUP(C407,Questions!$A$1:G$9999,7,0)),"",VLOOKUP(C407,Questions!$A$1:G$9999,7,0))</f>
        <v/>
      </c>
      <c r="B407" s="17" t="str">
        <f t="shared" si="6"/>
        <v>Problem</v>
      </c>
      <c r="C407" s="29" t="s">
        <v>781</v>
      </c>
    </row>
    <row r="408" spans="1:3" x14ac:dyDescent="0.2">
      <c r="A408">
        <f>IF(ISERROR(VLOOKUP(C408,Questions!$A$1:G$9999,7,0)),"",VLOOKUP(C408,Questions!$A$1:G$9999,7,0))</f>
        <v>4</v>
      </c>
      <c r="B408" s="17" t="str">
        <f t="shared" si="6"/>
        <v>Problem</v>
      </c>
      <c r="C408" s="30" t="s">
        <v>916</v>
      </c>
    </row>
    <row r="409" spans="1:3" x14ac:dyDescent="0.2">
      <c r="A409">
        <f>IF(ISERROR(VLOOKUP(C409,Questions!$A$1:G$9999,7,0)),"",VLOOKUP(C409,Questions!$A$1:G$9999,7,0))</f>
        <v>1</v>
      </c>
      <c r="B409" s="17" t="str">
        <f t="shared" si="6"/>
        <v>Problem</v>
      </c>
      <c r="C409" s="30" t="s">
        <v>917</v>
      </c>
    </row>
    <row r="410" spans="1:3" x14ac:dyDescent="0.2">
      <c r="A410">
        <f>IF(ISERROR(VLOOKUP(C410,Questions!$A$1:G$9999,7,0)),"",VLOOKUP(C410,Questions!$A$1:G$9999,7,0))</f>
        <v>3</v>
      </c>
      <c r="B410" s="17" t="str">
        <f t="shared" si="6"/>
        <v>Problem</v>
      </c>
      <c r="C410" s="30" t="s">
        <v>918</v>
      </c>
    </row>
    <row r="411" spans="1:3" x14ac:dyDescent="0.2">
      <c r="A411">
        <f>IF(ISERROR(VLOOKUP(C411,Questions!$A$1:G$9999,7,0)),"",VLOOKUP(C411,Questions!$A$1:G$9999,7,0))</f>
        <v>3</v>
      </c>
      <c r="B411" s="17" t="str">
        <f t="shared" si="6"/>
        <v>Problem</v>
      </c>
      <c r="C411" s="30" t="s">
        <v>919</v>
      </c>
    </row>
    <row r="412" spans="1:3" x14ac:dyDescent="0.2">
      <c r="A412">
        <f>IF(ISERROR(VLOOKUP(C412,Questions!$A$1:G$9999,7,0)),"",VLOOKUP(C412,Questions!$A$1:G$9999,7,0))</f>
        <v>2</v>
      </c>
      <c r="B412" s="17" t="str">
        <f t="shared" si="6"/>
        <v>Problem</v>
      </c>
      <c r="C412" s="30" t="s">
        <v>920</v>
      </c>
    </row>
    <row r="413" spans="1:3" x14ac:dyDescent="0.2">
      <c r="A413">
        <f>IF(ISERROR(VLOOKUP(C413,Questions!$A$1:G$9999,7,0)),"",VLOOKUP(C413,Questions!$A$1:G$9999,7,0))</f>
        <v>2</v>
      </c>
      <c r="B413" s="17" t="str">
        <f t="shared" si="6"/>
        <v>Problem</v>
      </c>
      <c r="C413" s="30" t="s">
        <v>921</v>
      </c>
    </row>
    <row r="414" spans="1:3" x14ac:dyDescent="0.2">
      <c r="A414">
        <f>IF(ISERROR(VLOOKUP(C414,Questions!$A$1:G$9999,7,0)),"",VLOOKUP(C414,Questions!$A$1:G$9999,7,0))</f>
        <v>4</v>
      </c>
      <c r="B414" s="17" t="str">
        <f t="shared" si="6"/>
        <v>Problem</v>
      </c>
      <c r="C414" s="30" t="s">
        <v>922</v>
      </c>
    </row>
    <row r="415" spans="1:3" x14ac:dyDescent="0.2">
      <c r="A415">
        <f>IF(ISERROR(VLOOKUP(C415,Questions!$A$1:G$9999,7,0)),"",VLOOKUP(C415,Questions!$A$1:G$9999,7,0))</f>
        <v>2</v>
      </c>
      <c r="B415" s="17" t="str">
        <f t="shared" si="6"/>
        <v>Problem</v>
      </c>
      <c r="C415" s="30" t="s">
        <v>923</v>
      </c>
    </row>
    <row r="416" spans="1:3" x14ac:dyDescent="0.2">
      <c r="A416" t="str">
        <f>IF(ISERROR(VLOOKUP(C416,Questions!$A$1:G$9999,7,0)),"",VLOOKUP(C416,Questions!$A$1:G$9999,7,0))</f>
        <v/>
      </c>
      <c r="B416" s="17" t="str">
        <f t="shared" si="6"/>
        <v>Problem</v>
      </c>
      <c r="C416" s="29" t="s">
        <v>826</v>
      </c>
    </row>
    <row r="417" spans="1:3" x14ac:dyDescent="0.2">
      <c r="A417">
        <f>IF(ISERROR(VLOOKUP(C417,Questions!$A$1:G$9999,7,0)),"",VLOOKUP(C417,Questions!$A$1:G$9999,7,0))</f>
        <v>3</v>
      </c>
      <c r="B417" s="17" t="str">
        <f t="shared" si="6"/>
        <v>Problem</v>
      </c>
      <c r="C417" s="30" t="s">
        <v>924</v>
      </c>
    </row>
    <row r="418" spans="1:3" x14ac:dyDescent="0.2">
      <c r="A418">
        <f>IF(ISERROR(VLOOKUP(C418,Questions!$A$1:G$9999,7,0)),"",VLOOKUP(C418,Questions!$A$1:G$9999,7,0))</f>
        <v>2</v>
      </c>
      <c r="B418" s="17" t="str">
        <f t="shared" si="6"/>
        <v>Problem</v>
      </c>
      <c r="C418" s="30" t="s">
        <v>925</v>
      </c>
    </row>
    <row r="419" spans="1:3" x14ac:dyDescent="0.2">
      <c r="A419">
        <f>IF(ISERROR(VLOOKUP(C419,Questions!$A$1:G$9999,7,0)),"",VLOOKUP(C419,Questions!$A$1:G$9999,7,0))</f>
        <v>1</v>
      </c>
      <c r="B419" s="17" t="str">
        <f t="shared" si="6"/>
        <v>Problem</v>
      </c>
      <c r="C419" s="30" t="s">
        <v>926</v>
      </c>
    </row>
    <row r="420" spans="1:3" x14ac:dyDescent="0.2">
      <c r="A420">
        <f>IF(ISERROR(VLOOKUP(C420,Questions!$A$1:G$9999,7,0)),"",VLOOKUP(C420,Questions!$A$1:G$9999,7,0))</f>
        <v>4</v>
      </c>
      <c r="B420" s="17" t="str">
        <f t="shared" si="6"/>
        <v>Problem</v>
      </c>
      <c r="C420" s="30" t="s">
        <v>927</v>
      </c>
    </row>
    <row r="421" spans="1:3" x14ac:dyDescent="0.2">
      <c r="A421" t="str">
        <f>IF(ISERROR(VLOOKUP(C421,Questions!$A$1:G$9999,7,0)),"",VLOOKUP(C421,Questions!$A$1:G$9999,7,0))</f>
        <v/>
      </c>
      <c r="B421" s="17" t="str">
        <f t="shared" si="6"/>
        <v>Problem</v>
      </c>
      <c r="C421" s="29" t="s">
        <v>1195</v>
      </c>
    </row>
    <row r="422" spans="1:3" x14ac:dyDescent="0.2">
      <c r="A422">
        <f>IF(ISERROR(VLOOKUP(C422,Questions!$A$1:G$9999,7,0)),"",VLOOKUP(C422,Questions!$A$1:G$9999,7,0))</f>
        <v>1</v>
      </c>
      <c r="B422" s="17" t="str">
        <f t="shared" si="6"/>
        <v>Problem</v>
      </c>
      <c r="C422" s="30" t="s">
        <v>1208</v>
      </c>
    </row>
    <row r="423" spans="1:3" x14ac:dyDescent="0.2">
      <c r="A423">
        <f>IF(ISERROR(VLOOKUP(C423,Questions!$A$1:G$9999,7,0)),"",VLOOKUP(C423,Questions!$A$1:G$9999,7,0))</f>
        <v>2</v>
      </c>
      <c r="B423" s="17" t="str">
        <f t="shared" si="6"/>
        <v>Problem</v>
      </c>
      <c r="C423" s="30" t="s">
        <v>1209</v>
      </c>
    </row>
    <row r="424" spans="1:3" x14ac:dyDescent="0.2">
      <c r="A424">
        <f>IF(ISERROR(VLOOKUP(C424,Questions!$A$1:G$9999,7,0)),"",VLOOKUP(C424,Questions!$A$1:G$9999,7,0))</f>
        <v>3</v>
      </c>
      <c r="B424" s="17" t="str">
        <f t="shared" si="6"/>
        <v>Problem</v>
      </c>
      <c r="C424" s="30" t="s">
        <v>1210</v>
      </c>
    </row>
    <row r="425" spans="1:3" x14ac:dyDescent="0.2">
      <c r="A425">
        <f>IF(ISERROR(VLOOKUP(C425,Questions!$A$1:G$9999,7,0)),"",VLOOKUP(C425,Questions!$A$1:G$9999,7,0))</f>
        <v>4</v>
      </c>
      <c r="B425" s="17" t="str">
        <f t="shared" si="6"/>
        <v>Problem</v>
      </c>
      <c r="C425" s="30" t="s">
        <v>1211</v>
      </c>
    </row>
    <row r="426" spans="1:3" x14ac:dyDescent="0.2">
      <c r="A426">
        <f>IF(ISERROR(VLOOKUP(C426,Questions!$A$1:G$9999,7,0)),"",VLOOKUP(C426,Questions!$A$1:G$9999,7,0))</f>
        <v>4</v>
      </c>
      <c r="B426" s="17" t="str">
        <f t="shared" si="6"/>
        <v>Problem</v>
      </c>
      <c r="C426" s="30" t="s">
        <v>1212</v>
      </c>
    </row>
    <row r="427" spans="1:3" x14ac:dyDescent="0.2">
      <c r="A427" t="str">
        <f>IF(ISERROR(VLOOKUP(C427,Questions!$A$1:G$9999,7,0)),"",VLOOKUP(C427,Questions!$A$1:G$9999,7,0))</f>
        <v/>
      </c>
      <c r="B427" s="17" t="str">
        <f t="shared" si="6"/>
        <v>Problem</v>
      </c>
      <c r="C427" s="12" t="s">
        <v>10</v>
      </c>
    </row>
    <row r="428" spans="1:3" x14ac:dyDescent="0.2">
      <c r="A428" t="str">
        <f>IF(ISERROR(VLOOKUP(C428,Questions!$A$1:G$9999,7,0)),"",VLOOKUP(C428,Questions!$A$1:G$9999,7,0))</f>
        <v/>
      </c>
      <c r="B428" s="17" t="str">
        <f t="shared" si="6"/>
        <v>Problem</v>
      </c>
      <c r="C428" s="29" t="s">
        <v>785</v>
      </c>
    </row>
    <row r="429" spans="1:3" x14ac:dyDescent="0.2">
      <c r="A429">
        <f>IF(ISERROR(VLOOKUP(C429,Questions!$A$1:G$9999,7,0)),"",VLOOKUP(C429,Questions!$A$1:G$9999,7,0))</f>
        <v>3</v>
      </c>
      <c r="B429" s="17" t="str">
        <f t="shared" si="6"/>
        <v>Problem</v>
      </c>
      <c r="C429" s="30" t="s">
        <v>28</v>
      </c>
    </row>
    <row r="430" spans="1:3" x14ac:dyDescent="0.2">
      <c r="A430">
        <f>IF(ISERROR(VLOOKUP(C430,Questions!$A$1:G$9999,7,0)),"",VLOOKUP(C430,Questions!$A$1:G$9999,7,0))</f>
        <v>3</v>
      </c>
      <c r="B430" s="17" t="str">
        <f t="shared" si="6"/>
        <v>Problem</v>
      </c>
      <c r="C430" s="30" t="s">
        <v>29</v>
      </c>
    </row>
    <row r="431" spans="1:3" x14ac:dyDescent="0.2">
      <c r="A431">
        <f>IF(ISERROR(VLOOKUP(C431,Questions!$A$1:G$9999,7,0)),"",VLOOKUP(C431,Questions!$A$1:G$9999,7,0))</f>
        <v>4</v>
      </c>
      <c r="B431" s="17" t="str">
        <f t="shared" si="6"/>
        <v>Problem</v>
      </c>
      <c r="C431" s="30" t="s">
        <v>36</v>
      </c>
    </row>
    <row r="432" spans="1:3" x14ac:dyDescent="0.2">
      <c r="A432">
        <f>IF(ISERROR(VLOOKUP(C432,Questions!$A$1:G$9999,7,0)),"",VLOOKUP(C432,Questions!$A$1:G$9999,7,0))</f>
        <v>2</v>
      </c>
      <c r="B432" s="17" t="str">
        <f t="shared" si="6"/>
        <v>Problem</v>
      </c>
      <c r="C432" s="30" t="s">
        <v>41</v>
      </c>
    </row>
    <row r="433" spans="1:3" x14ac:dyDescent="0.2">
      <c r="A433" t="str">
        <f>IF(ISERROR(VLOOKUP(C433,Questions!$A$1:G$9999,7,0)),"",VLOOKUP(C433,Questions!$A$1:G$9999,7,0))</f>
        <v/>
      </c>
      <c r="B433" s="17" t="str">
        <f t="shared" si="6"/>
        <v>Problem</v>
      </c>
      <c r="C433" s="29" t="s">
        <v>787</v>
      </c>
    </row>
    <row r="434" spans="1:3" x14ac:dyDescent="0.2">
      <c r="A434">
        <f>IF(ISERROR(VLOOKUP(C434,Questions!$A$1:G$9999,7,0)),"",VLOOKUP(C434,Questions!$A$1:G$9999,7,0))</f>
        <v>2</v>
      </c>
      <c r="B434" s="17" t="str">
        <f t="shared" si="6"/>
        <v>Problem</v>
      </c>
      <c r="C434" s="30" t="s">
        <v>57</v>
      </c>
    </row>
    <row r="435" spans="1:3" x14ac:dyDescent="0.2">
      <c r="A435">
        <f>IF(ISERROR(VLOOKUP(C435,Questions!$A$1:G$9999,7,0)),"",VLOOKUP(C435,Questions!$A$1:G$9999,7,0))</f>
        <v>3</v>
      </c>
      <c r="B435" s="17" t="str">
        <f t="shared" si="6"/>
        <v>Problem</v>
      </c>
      <c r="C435" s="30" t="s">
        <v>67</v>
      </c>
    </row>
    <row r="436" spans="1:3" x14ac:dyDescent="0.2">
      <c r="A436">
        <f>IF(ISERROR(VLOOKUP(C436,Questions!$A$1:G$9999,7,0)),"",VLOOKUP(C436,Questions!$A$1:G$9999,7,0))</f>
        <v>2</v>
      </c>
      <c r="B436" s="17" t="str">
        <f t="shared" si="6"/>
        <v>Problem</v>
      </c>
      <c r="C436" s="30" t="s">
        <v>68</v>
      </c>
    </row>
    <row r="437" spans="1:3" x14ac:dyDescent="0.2">
      <c r="A437">
        <f>IF(ISERROR(VLOOKUP(C437,Questions!$A$1:G$9999,7,0)),"",VLOOKUP(C437,Questions!$A$1:G$9999,7,0))</f>
        <v>1</v>
      </c>
      <c r="B437" s="17" t="str">
        <f t="shared" si="6"/>
        <v>Problem</v>
      </c>
      <c r="C437" s="30" t="s">
        <v>81</v>
      </c>
    </row>
    <row r="438" spans="1:3" x14ac:dyDescent="0.2">
      <c r="A438" t="str">
        <f>IF(ISERROR(VLOOKUP(C438,Questions!$A$1:G$9999,7,0)),"",VLOOKUP(C438,Questions!$A$1:G$9999,7,0))</f>
        <v/>
      </c>
      <c r="B438" s="17" t="str">
        <f t="shared" si="6"/>
        <v>Problem</v>
      </c>
      <c r="C438" s="29" t="s">
        <v>789</v>
      </c>
    </row>
    <row r="439" spans="1:3" x14ac:dyDescent="0.2">
      <c r="A439">
        <f>IF(ISERROR(VLOOKUP(C439,Questions!$A$1:G$9999,7,0)),"",VLOOKUP(C439,Questions!$A$1:G$9999,7,0))</f>
        <v>3</v>
      </c>
      <c r="B439" s="17" t="str">
        <f t="shared" si="6"/>
        <v>Problem</v>
      </c>
      <c r="C439" s="30" t="s">
        <v>98</v>
      </c>
    </row>
    <row r="440" spans="1:3" x14ac:dyDescent="0.2">
      <c r="A440">
        <f>IF(ISERROR(VLOOKUP(C440,Questions!$A$1:G$9999,7,0)),"",VLOOKUP(C440,Questions!$A$1:G$9999,7,0))</f>
        <v>4</v>
      </c>
      <c r="B440" s="17" t="str">
        <f t="shared" si="6"/>
        <v>Problem</v>
      </c>
      <c r="C440" s="30" t="s">
        <v>100</v>
      </c>
    </row>
    <row r="441" spans="1:3" x14ac:dyDescent="0.2">
      <c r="A441">
        <f>IF(ISERROR(VLOOKUP(C441,Questions!$A$1:G$9999,7,0)),"",VLOOKUP(C441,Questions!$A$1:G$9999,7,0))</f>
        <v>1</v>
      </c>
      <c r="B441" s="17" t="str">
        <f t="shared" si="6"/>
        <v>Problem</v>
      </c>
      <c r="C441" s="30" t="s">
        <v>101</v>
      </c>
    </row>
    <row r="442" spans="1:3" x14ac:dyDescent="0.2">
      <c r="A442">
        <f>IF(ISERROR(VLOOKUP(C442,Questions!$A$1:G$9999,7,0)),"",VLOOKUP(C442,Questions!$A$1:G$9999,7,0))</f>
        <v>1</v>
      </c>
      <c r="B442" s="17" t="str">
        <f t="shared" si="6"/>
        <v>Problem</v>
      </c>
      <c r="C442" s="30" t="s">
        <v>102</v>
      </c>
    </row>
    <row r="443" spans="1:3" x14ac:dyDescent="0.2">
      <c r="A443">
        <f>IF(ISERROR(VLOOKUP(C443,Questions!$A$1:G$9999,7,0)),"",VLOOKUP(C443,Questions!$A$1:G$9999,7,0))</f>
        <v>4</v>
      </c>
      <c r="B443" s="17" t="str">
        <f t="shared" si="6"/>
        <v>Problem</v>
      </c>
      <c r="C443" s="30" t="s">
        <v>104</v>
      </c>
    </row>
    <row r="444" spans="1:3" x14ac:dyDescent="0.2">
      <c r="A444">
        <f>IF(ISERROR(VLOOKUP(C444,Questions!$A$1:G$9999,7,0)),"",VLOOKUP(C444,Questions!$A$1:G$9999,7,0))</f>
        <v>4</v>
      </c>
      <c r="B444" s="17" t="str">
        <f t="shared" si="6"/>
        <v>Problem</v>
      </c>
      <c r="C444" s="30" t="s">
        <v>115</v>
      </c>
    </row>
    <row r="445" spans="1:3" x14ac:dyDescent="0.2">
      <c r="A445" t="str">
        <f>IF(ISERROR(VLOOKUP(C445,Questions!$A$1:G$9999,7,0)),"",VLOOKUP(C445,Questions!$A$1:G$9999,7,0))</f>
        <v/>
      </c>
      <c r="B445" s="17" t="str">
        <f t="shared" si="6"/>
        <v>Problem</v>
      </c>
      <c r="C445" s="29" t="s">
        <v>793</v>
      </c>
    </row>
    <row r="446" spans="1:3" x14ac:dyDescent="0.2">
      <c r="A446">
        <f>IF(ISERROR(VLOOKUP(C446,Questions!$A$1:G$9999,7,0)),"",VLOOKUP(C446,Questions!$A$1:G$9999,7,0))</f>
        <v>1</v>
      </c>
      <c r="B446" s="17" t="str">
        <f t="shared" si="6"/>
        <v>Problem</v>
      </c>
      <c r="C446" s="30" t="s">
        <v>133</v>
      </c>
    </row>
    <row r="447" spans="1:3" x14ac:dyDescent="0.2">
      <c r="A447">
        <f>IF(ISERROR(VLOOKUP(C447,Questions!$A$1:G$9999,7,0)),"",VLOOKUP(C447,Questions!$A$1:G$9999,7,0))</f>
        <v>3</v>
      </c>
      <c r="B447" s="17" t="str">
        <f t="shared" si="6"/>
        <v>Problem</v>
      </c>
      <c r="C447" s="30" t="s">
        <v>137</v>
      </c>
    </row>
    <row r="448" spans="1:3" x14ac:dyDescent="0.2">
      <c r="A448">
        <f>IF(ISERROR(VLOOKUP(C448,Questions!$A$1:G$9999,7,0)),"",VLOOKUP(C448,Questions!$A$1:G$9999,7,0))</f>
        <v>2</v>
      </c>
      <c r="B448" s="17" t="str">
        <f t="shared" si="6"/>
        <v>Problem</v>
      </c>
      <c r="C448" s="30" t="s">
        <v>138</v>
      </c>
    </row>
    <row r="449" spans="1:3" x14ac:dyDescent="0.2">
      <c r="A449">
        <f>IF(ISERROR(VLOOKUP(C449,Questions!$A$1:G$9999,7,0)),"",VLOOKUP(C449,Questions!$A$1:G$9999,7,0))</f>
        <v>2</v>
      </c>
      <c r="B449" s="17" t="str">
        <f t="shared" si="6"/>
        <v>Problem</v>
      </c>
      <c r="C449" s="30" t="s">
        <v>928</v>
      </c>
    </row>
    <row r="450" spans="1:3" x14ac:dyDescent="0.2">
      <c r="A450" t="str">
        <f>IF(ISERROR(VLOOKUP(C450,Questions!$A$1:G$9999,7,0)),"",VLOOKUP(C450,Questions!$A$1:G$9999,7,0))</f>
        <v/>
      </c>
      <c r="B450" s="17" t="str">
        <f t="shared" si="6"/>
        <v>Problem</v>
      </c>
      <c r="C450" s="29" t="s">
        <v>795</v>
      </c>
    </row>
    <row r="451" spans="1:3" x14ac:dyDescent="0.2">
      <c r="A451">
        <f>IF(ISERROR(VLOOKUP(C451,Questions!$A$1:G$9999,7,0)),"",VLOOKUP(C451,Questions!$A$1:G$9999,7,0))</f>
        <v>4</v>
      </c>
      <c r="B451" s="17" t="str">
        <f t="shared" si="6"/>
        <v>Problem</v>
      </c>
      <c r="C451" s="30" t="s">
        <v>160</v>
      </c>
    </row>
    <row r="452" spans="1:3" x14ac:dyDescent="0.2">
      <c r="A452">
        <f>IF(ISERROR(VLOOKUP(C452,Questions!$A$1:G$9999,7,0)),"",VLOOKUP(C452,Questions!$A$1:G$9999,7,0))</f>
        <v>4</v>
      </c>
      <c r="B452" s="17" t="str">
        <f t="shared" ref="B452:B515" si="7">HYPERLINK("http://www.mrhosey.com/RPhys/" &amp; C452 &amp; ".gif","Problem")</f>
        <v>Problem</v>
      </c>
      <c r="C452" s="30" t="s">
        <v>164</v>
      </c>
    </row>
    <row r="453" spans="1:3" x14ac:dyDescent="0.2">
      <c r="A453" t="str">
        <f>IF(ISERROR(VLOOKUP(C453,Questions!$A$1:G$9999,7,0)),"",VLOOKUP(C453,Questions!$A$1:G$9999,7,0))</f>
        <v/>
      </c>
      <c r="B453" s="17" t="str">
        <f t="shared" si="7"/>
        <v>Problem</v>
      </c>
      <c r="C453" s="29" t="s">
        <v>797</v>
      </c>
    </row>
    <row r="454" spans="1:3" x14ac:dyDescent="0.2">
      <c r="A454">
        <f>IF(ISERROR(VLOOKUP(C454,Questions!$A$1:G$9999,7,0)),"",VLOOKUP(C454,Questions!$A$1:G$9999,7,0))</f>
        <v>2</v>
      </c>
      <c r="B454" s="17" t="str">
        <f t="shared" si="7"/>
        <v>Problem</v>
      </c>
      <c r="C454" s="30" t="s">
        <v>203</v>
      </c>
    </row>
    <row r="455" spans="1:3" x14ac:dyDescent="0.2">
      <c r="A455">
        <f>IF(ISERROR(VLOOKUP(C455,Questions!$A$1:G$9999,7,0)),"",VLOOKUP(C455,Questions!$A$1:G$9999,7,0))</f>
        <v>1</v>
      </c>
      <c r="B455" s="17" t="str">
        <f t="shared" si="7"/>
        <v>Problem</v>
      </c>
      <c r="C455" s="30" t="s">
        <v>204</v>
      </c>
    </row>
    <row r="456" spans="1:3" x14ac:dyDescent="0.2">
      <c r="A456">
        <f>IF(ISERROR(VLOOKUP(C456,Questions!$A$1:G$9999,7,0)),"",VLOOKUP(C456,Questions!$A$1:G$9999,7,0))</f>
        <v>2</v>
      </c>
      <c r="B456" s="17" t="str">
        <f t="shared" si="7"/>
        <v>Problem</v>
      </c>
      <c r="C456" s="30" t="s">
        <v>207</v>
      </c>
    </row>
    <row r="457" spans="1:3" x14ac:dyDescent="0.2">
      <c r="A457">
        <f>IF(ISERROR(VLOOKUP(C457,Questions!$A$1:G$9999,7,0)),"",VLOOKUP(C457,Questions!$A$1:G$9999,7,0))</f>
        <v>4</v>
      </c>
      <c r="B457" s="17" t="str">
        <f t="shared" si="7"/>
        <v>Problem</v>
      </c>
      <c r="C457" s="30" t="s">
        <v>929</v>
      </c>
    </row>
    <row r="458" spans="1:3" x14ac:dyDescent="0.2">
      <c r="A458" t="str">
        <f>IF(ISERROR(VLOOKUP(C458,Questions!$A$1:G$9999,7,0)),"",VLOOKUP(C458,Questions!$A$1:G$9999,7,0))</f>
        <v/>
      </c>
      <c r="B458" s="17" t="str">
        <f t="shared" si="7"/>
        <v>Problem</v>
      </c>
      <c r="C458" s="29" t="s">
        <v>799</v>
      </c>
    </row>
    <row r="459" spans="1:3" x14ac:dyDescent="0.2">
      <c r="A459">
        <f>IF(ISERROR(VLOOKUP(C459,Questions!$A$1:G$9999,7,0)),"",VLOOKUP(C459,Questions!$A$1:G$9999,7,0))</f>
        <v>2</v>
      </c>
      <c r="B459" s="17" t="str">
        <f t="shared" si="7"/>
        <v>Problem</v>
      </c>
      <c r="C459" s="30" t="s">
        <v>246</v>
      </c>
    </row>
    <row r="460" spans="1:3" x14ac:dyDescent="0.2">
      <c r="A460">
        <f>IF(ISERROR(VLOOKUP(C460,Questions!$A$1:G$9999,7,0)),"",VLOOKUP(C460,Questions!$A$1:G$9999,7,0))</f>
        <v>3</v>
      </c>
      <c r="B460" s="17" t="str">
        <f t="shared" si="7"/>
        <v>Problem</v>
      </c>
      <c r="C460" s="30" t="s">
        <v>253</v>
      </c>
    </row>
    <row r="461" spans="1:3" x14ac:dyDescent="0.2">
      <c r="A461">
        <f>IF(ISERROR(VLOOKUP(C461,Questions!$A$1:G$9999,7,0)),"",VLOOKUP(C461,Questions!$A$1:G$9999,7,0))</f>
        <v>1</v>
      </c>
      <c r="B461" s="17" t="str">
        <f t="shared" si="7"/>
        <v>Problem</v>
      </c>
      <c r="C461" s="30" t="s">
        <v>254</v>
      </c>
    </row>
    <row r="462" spans="1:3" x14ac:dyDescent="0.2">
      <c r="A462">
        <f>IF(ISERROR(VLOOKUP(C462,Questions!$A$1:G$9999,7,0)),"",VLOOKUP(C462,Questions!$A$1:G$9999,7,0))</f>
        <v>3</v>
      </c>
      <c r="B462" s="17" t="str">
        <f t="shared" si="7"/>
        <v>Problem</v>
      </c>
      <c r="C462" s="30" t="s">
        <v>256</v>
      </c>
    </row>
    <row r="463" spans="1:3" x14ac:dyDescent="0.2">
      <c r="A463">
        <f>IF(ISERROR(VLOOKUP(C463,Questions!$A$1:G$9999,7,0)),"",VLOOKUP(C463,Questions!$A$1:G$9999,7,0))</f>
        <v>4</v>
      </c>
      <c r="B463" s="17" t="str">
        <f t="shared" si="7"/>
        <v>Problem</v>
      </c>
      <c r="C463" s="30" t="s">
        <v>930</v>
      </c>
    </row>
    <row r="464" spans="1:3" x14ac:dyDescent="0.2">
      <c r="A464" t="str">
        <f>IF(ISERROR(VLOOKUP(C464,Questions!$A$1:G$9999,7,0)),"",VLOOKUP(C464,Questions!$A$1:G$9999,7,0))</f>
        <v/>
      </c>
      <c r="B464" s="17" t="str">
        <f t="shared" si="7"/>
        <v>Problem</v>
      </c>
      <c r="C464" s="29" t="s">
        <v>801</v>
      </c>
    </row>
    <row r="465" spans="1:3" x14ac:dyDescent="0.2">
      <c r="A465">
        <f>IF(ISERROR(VLOOKUP(C465,Questions!$A$1:G$9999,7,0)),"",VLOOKUP(C465,Questions!$A$1:G$9999,7,0))</f>
        <v>4</v>
      </c>
      <c r="B465" s="17" t="str">
        <f t="shared" si="7"/>
        <v>Problem</v>
      </c>
      <c r="C465" s="30" t="s">
        <v>270</v>
      </c>
    </row>
    <row r="466" spans="1:3" x14ac:dyDescent="0.2">
      <c r="A466">
        <f>IF(ISERROR(VLOOKUP(C466,Questions!$A$1:G$9999,7,0)),"",VLOOKUP(C466,Questions!$A$1:G$9999,7,0))</f>
        <v>3</v>
      </c>
      <c r="B466" s="17" t="str">
        <f t="shared" si="7"/>
        <v>Problem</v>
      </c>
      <c r="C466" s="30" t="s">
        <v>287</v>
      </c>
    </row>
    <row r="467" spans="1:3" x14ac:dyDescent="0.2">
      <c r="A467">
        <f>IF(ISERROR(VLOOKUP(C467,Questions!$A$1:G$9999,7,0)),"",VLOOKUP(C467,Questions!$A$1:G$9999,7,0))</f>
        <v>4</v>
      </c>
      <c r="B467" s="17" t="str">
        <f t="shared" si="7"/>
        <v>Problem</v>
      </c>
      <c r="C467" s="30" t="s">
        <v>931</v>
      </c>
    </row>
    <row r="468" spans="1:3" x14ac:dyDescent="0.2">
      <c r="A468" t="str">
        <f>IF(ISERROR(VLOOKUP(C468,Questions!$A$1:G$9999,7,0)),"",VLOOKUP(C468,Questions!$A$1:G$9999,7,0))</f>
        <v/>
      </c>
      <c r="B468" s="17" t="str">
        <f t="shared" si="7"/>
        <v>Problem</v>
      </c>
      <c r="C468" s="29" t="s">
        <v>802</v>
      </c>
    </row>
    <row r="469" spans="1:3" x14ac:dyDescent="0.2">
      <c r="A469">
        <f>IF(ISERROR(VLOOKUP(C469,Questions!$A$1:G$9999,7,0)),"",VLOOKUP(C469,Questions!$A$1:G$9999,7,0))</f>
        <v>4</v>
      </c>
      <c r="B469" s="17" t="str">
        <f t="shared" si="7"/>
        <v>Problem</v>
      </c>
      <c r="C469" s="30" t="s">
        <v>324</v>
      </c>
    </row>
    <row r="470" spans="1:3" x14ac:dyDescent="0.2">
      <c r="A470" t="str">
        <f>IF(ISERROR(VLOOKUP(C470,Questions!$A$1:G$9999,7,0)),"",VLOOKUP(C470,Questions!$A$1:G$9999,7,0))</f>
        <v/>
      </c>
      <c r="B470" s="17" t="str">
        <f t="shared" si="7"/>
        <v>Problem</v>
      </c>
      <c r="C470" s="29" t="s">
        <v>803</v>
      </c>
    </row>
    <row r="471" spans="1:3" x14ac:dyDescent="0.2">
      <c r="A471">
        <f>IF(ISERROR(VLOOKUP(C471,Questions!$A$1:G$9999,7,0)),"",VLOOKUP(C471,Questions!$A$1:G$9999,7,0))</f>
        <v>1</v>
      </c>
      <c r="B471" s="17" t="str">
        <f t="shared" si="7"/>
        <v>Problem</v>
      </c>
      <c r="C471" s="30" t="s">
        <v>336</v>
      </c>
    </row>
    <row r="472" spans="1:3" x14ac:dyDescent="0.2">
      <c r="A472">
        <f>IF(ISERROR(VLOOKUP(C472,Questions!$A$1:G$9999,7,0)),"",VLOOKUP(C472,Questions!$A$1:G$9999,7,0))</f>
        <v>2</v>
      </c>
      <c r="B472" s="17" t="str">
        <f t="shared" si="7"/>
        <v>Problem</v>
      </c>
      <c r="C472" s="30" t="s">
        <v>932</v>
      </c>
    </row>
    <row r="473" spans="1:3" x14ac:dyDescent="0.2">
      <c r="A473">
        <f>IF(ISERROR(VLOOKUP(C473,Questions!$A$1:G$9999,7,0)),"",VLOOKUP(C473,Questions!$A$1:G$9999,7,0))</f>
        <v>3</v>
      </c>
      <c r="B473" s="17" t="str">
        <f t="shared" si="7"/>
        <v>Problem</v>
      </c>
      <c r="C473" s="30" t="s">
        <v>933</v>
      </c>
    </row>
    <row r="474" spans="1:3" x14ac:dyDescent="0.2">
      <c r="A474" t="str">
        <f>IF(ISERROR(VLOOKUP(C474,Questions!$A$1:G$9999,7,0)),"",VLOOKUP(C474,Questions!$A$1:G$9999,7,0))</f>
        <v/>
      </c>
      <c r="B474" s="17" t="str">
        <f t="shared" si="7"/>
        <v>Problem</v>
      </c>
      <c r="C474" s="29" t="s">
        <v>805</v>
      </c>
    </row>
    <row r="475" spans="1:3" x14ac:dyDescent="0.2">
      <c r="A475">
        <f>IF(ISERROR(VLOOKUP(C475,Questions!$A$1:G$9999,7,0)),"",VLOOKUP(C475,Questions!$A$1:G$9999,7,0))</f>
        <v>2</v>
      </c>
      <c r="B475" s="17" t="str">
        <f t="shared" si="7"/>
        <v>Problem</v>
      </c>
      <c r="C475" s="30" t="s">
        <v>376</v>
      </c>
    </row>
    <row r="476" spans="1:3" x14ac:dyDescent="0.2">
      <c r="A476">
        <f>IF(ISERROR(VLOOKUP(C476,Questions!$A$1:G$9999,7,0)),"",VLOOKUP(C476,Questions!$A$1:G$9999,7,0))</f>
        <v>4</v>
      </c>
      <c r="B476" s="17" t="str">
        <f t="shared" si="7"/>
        <v>Problem</v>
      </c>
      <c r="C476" s="30" t="s">
        <v>379</v>
      </c>
    </row>
    <row r="477" spans="1:3" x14ac:dyDescent="0.2">
      <c r="A477">
        <f>IF(ISERROR(VLOOKUP(C477,Questions!$A$1:G$9999,7,0)),"",VLOOKUP(C477,Questions!$A$1:G$9999,7,0))</f>
        <v>3</v>
      </c>
      <c r="B477" s="17" t="str">
        <f t="shared" si="7"/>
        <v>Problem</v>
      </c>
      <c r="C477" s="30" t="s">
        <v>392</v>
      </c>
    </row>
    <row r="478" spans="1:3" x14ac:dyDescent="0.2">
      <c r="A478">
        <f>IF(ISERROR(VLOOKUP(C478,Questions!$A$1:G$9999,7,0)),"",VLOOKUP(C478,Questions!$A$1:G$9999,7,0))</f>
        <v>4</v>
      </c>
      <c r="B478" s="17" t="str">
        <f t="shared" si="7"/>
        <v>Problem</v>
      </c>
      <c r="C478" s="30" t="s">
        <v>394</v>
      </c>
    </row>
    <row r="479" spans="1:3" x14ac:dyDescent="0.2">
      <c r="A479" t="str">
        <f>IF(ISERROR(VLOOKUP(C479,Questions!$A$1:G$9999,7,0)),"",VLOOKUP(C479,Questions!$A$1:G$9999,7,0))</f>
        <v/>
      </c>
      <c r="B479" s="17" t="str">
        <f t="shared" si="7"/>
        <v>Problem</v>
      </c>
      <c r="C479" s="29" t="s">
        <v>807</v>
      </c>
    </row>
    <row r="480" spans="1:3" x14ac:dyDescent="0.2">
      <c r="A480">
        <f>IF(ISERROR(VLOOKUP(C480,Questions!$A$1:G$9999,7,0)),"",VLOOKUP(C480,Questions!$A$1:G$9999,7,0))</f>
        <v>1</v>
      </c>
      <c r="B480" s="17" t="str">
        <f t="shared" si="7"/>
        <v>Problem</v>
      </c>
      <c r="C480" s="30" t="s">
        <v>411</v>
      </c>
    </row>
    <row r="481" spans="1:3" x14ac:dyDescent="0.2">
      <c r="A481">
        <f>IF(ISERROR(VLOOKUP(C481,Questions!$A$1:G$9999,7,0)),"",VLOOKUP(C481,Questions!$A$1:G$9999,7,0))</f>
        <v>2</v>
      </c>
      <c r="B481" s="17" t="str">
        <f t="shared" si="7"/>
        <v>Problem</v>
      </c>
      <c r="C481" s="30" t="s">
        <v>428</v>
      </c>
    </row>
    <row r="482" spans="1:3" x14ac:dyDescent="0.2">
      <c r="A482">
        <f>IF(ISERROR(VLOOKUP(C482,Questions!$A$1:G$9999,7,0)),"",VLOOKUP(C482,Questions!$A$1:G$9999,7,0))</f>
        <v>1</v>
      </c>
      <c r="B482" s="17" t="str">
        <f t="shared" si="7"/>
        <v>Problem</v>
      </c>
      <c r="C482" s="30" t="s">
        <v>429</v>
      </c>
    </row>
    <row r="483" spans="1:3" x14ac:dyDescent="0.2">
      <c r="A483" t="str">
        <f>IF(ISERROR(VLOOKUP(C483,Questions!$A$1:G$9999,7,0)),"",VLOOKUP(C483,Questions!$A$1:G$9999,7,0))</f>
        <v/>
      </c>
      <c r="B483" s="17" t="str">
        <f t="shared" si="7"/>
        <v>Problem</v>
      </c>
      <c r="C483" s="29" t="s">
        <v>808</v>
      </c>
    </row>
    <row r="484" spans="1:3" x14ac:dyDescent="0.2">
      <c r="A484">
        <f>IF(ISERROR(VLOOKUP(C484,Questions!$A$1:G$9999,7,0)),"",VLOOKUP(C484,Questions!$A$1:G$9999,7,0))</f>
        <v>2</v>
      </c>
      <c r="B484" s="17" t="str">
        <f t="shared" si="7"/>
        <v>Problem</v>
      </c>
      <c r="C484" s="30" t="s">
        <v>934</v>
      </c>
    </row>
    <row r="485" spans="1:3" x14ac:dyDescent="0.2">
      <c r="A485">
        <f>IF(ISERROR(VLOOKUP(C485,Questions!$A$1:G$9999,7,0)),"",VLOOKUP(C485,Questions!$A$1:G$9999,7,0))</f>
        <v>3</v>
      </c>
      <c r="B485" s="17" t="str">
        <f t="shared" si="7"/>
        <v>Problem</v>
      </c>
      <c r="C485" s="30" t="s">
        <v>935</v>
      </c>
    </row>
    <row r="486" spans="1:3" x14ac:dyDescent="0.2">
      <c r="A486" t="str">
        <f>IF(ISERROR(VLOOKUP(C486,Questions!$A$1:G$9999,7,0)),"",VLOOKUP(C486,Questions!$A$1:G$9999,7,0))</f>
        <v/>
      </c>
      <c r="B486" s="17" t="str">
        <f t="shared" si="7"/>
        <v>Problem</v>
      </c>
      <c r="C486" s="29" t="s">
        <v>810</v>
      </c>
    </row>
    <row r="487" spans="1:3" x14ac:dyDescent="0.2">
      <c r="A487">
        <f>IF(ISERROR(VLOOKUP(C487,Questions!$A$1:G$9999,7,0)),"",VLOOKUP(C487,Questions!$A$1:G$9999,7,0))</f>
        <v>4</v>
      </c>
      <c r="B487" s="17" t="str">
        <f t="shared" si="7"/>
        <v>Problem</v>
      </c>
      <c r="C487" s="30" t="s">
        <v>489</v>
      </c>
    </row>
    <row r="488" spans="1:3" x14ac:dyDescent="0.2">
      <c r="A488" t="str">
        <f>IF(ISERROR(VLOOKUP(C488,Questions!$A$1:G$9999,7,0)),"",VLOOKUP(C488,Questions!$A$1:G$9999,7,0))</f>
        <v/>
      </c>
      <c r="B488" s="17" t="str">
        <f t="shared" si="7"/>
        <v>Problem</v>
      </c>
      <c r="C488" s="29" t="s">
        <v>811</v>
      </c>
    </row>
    <row r="489" spans="1:3" x14ac:dyDescent="0.2">
      <c r="A489">
        <f>IF(ISERROR(VLOOKUP(C489,Questions!$A$1:G$9999,7,0)),"",VLOOKUP(C489,Questions!$A$1:G$9999,7,0))</f>
        <v>2</v>
      </c>
      <c r="B489" s="17" t="str">
        <f t="shared" si="7"/>
        <v>Problem</v>
      </c>
      <c r="C489" s="30" t="s">
        <v>535</v>
      </c>
    </row>
    <row r="490" spans="1:3" x14ac:dyDescent="0.2">
      <c r="A490" t="str">
        <f>IF(ISERROR(VLOOKUP(C490,Questions!$A$1:G$9999,7,0)),"",VLOOKUP(C490,Questions!$A$1:G$9999,7,0))</f>
        <v/>
      </c>
      <c r="B490" s="17" t="str">
        <f t="shared" si="7"/>
        <v>Problem</v>
      </c>
      <c r="C490" s="29" t="s">
        <v>777</v>
      </c>
    </row>
    <row r="491" spans="1:3" x14ac:dyDescent="0.2">
      <c r="A491">
        <f>IF(ISERROR(VLOOKUP(C491,Questions!$A$1:G$9999,7,0)),"",VLOOKUP(C491,Questions!$A$1:G$9999,7,0))</f>
        <v>4</v>
      </c>
      <c r="B491" s="17" t="str">
        <f t="shared" si="7"/>
        <v>Problem</v>
      </c>
      <c r="C491" s="30" t="s">
        <v>642</v>
      </c>
    </row>
    <row r="492" spans="1:3" x14ac:dyDescent="0.2">
      <c r="A492" t="str">
        <f>IF(ISERROR(VLOOKUP(C492,Questions!$A$1:G$9999,7,0)),"",VLOOKUP(C492,Questions!$A$1:G$9999,7,0))</f>
        <v/>
      </c>
      <c r="B492" s="17" t="str">
        <f t="shared" si="7"/>
        <v>Problem</v>
      </c>
      <c r="C492" s="29" t="s">
        <v>778</v>
      </c>
    </row>
    <row r="493" spans="1:3" x14ac:dyDescent="0.2">
      <c r="A493">
        <f>IF(ISERROR(VLOOKUP(C493,Questions!$A$1:G$9999,7,0)),"",VLOOKUP(C493,Questions!$A$1:G$9999,7,0))</f>
        <v>3</v>
      </c>
      <c r="B493" s="17" t="str">
        <f t="shared" si="7"/>
        <v>Problem</v>
      </c>
      <c r="C493" s="30" t="s">
        <v>709</v>
      </c>
    </row>
    <row r="494" spans="1:3" x14ac:dyDescent="0.2">
      <c r="A494">
        <f>IF(ISERROR(VLOOKUP(C494,Questions!$A$1:G$9999,7,0)),"",VLOOKUP(C494,Questions!$A$1:G$9999,7,0))</f>
        <v>2</v>
      </c>
      <c r="B494" s="17" t="str">
        <f t="shared" si="7"/>
        <v>Problem</v>
      </c>
      <c r="C494" s="30" t="s">
        <v>710</v>
      </c>
    </row>
    <row r="495" spans="1:3" x14ac:dyDescent="0.2">
      <c r="A495" t="str">
        <f>IF(ISERROR(VLOOKUP(C495,Questions!$A$1:G$9999,7,0)),"",VLOOKUP(C495,Questions!$A$1:G$9999,7,0))</f>
        <v/>
      </c>
      <c r="B495" s="17" t="str">
        <f t="shared" si="7"/>
        <v>Problem</v>
      </c>
      <c r="C495" s="29" t="s">
        <v>779</v>
      </c>
    </row>
    <row r="496" spans="1:3" x14ac:dyDescent="0.2">
      <c r="A496">
        <f>IF(ISERROR(VLOOKUP(C496,Questions!$A$1:G$9999,7,0)),"",VLOOKUP(C496,Questions!$A$1:G$9999,7,0))</f>
        <v>2</v>
      </c>
      <c r="B496" s="17" t="str">
        <f t="shared" si="7"/>
        <v>Problem</v>
      </c>
      <c r="C496" s="30" t="s">
        <v>936</v>
      </c>
    </row>
    <row r="497" spans="1:3" x14ac:dyDescent="0.2">
      <c r="A497">
        <f>IF(ISERROR(VLOOKUP(C497,Questions!$A$1:G$9999,7,0)),"",VLOOKUP(C497,Questions!$A$1:G$9999,7,0))</f>
        <v>4</v>
      </c>
      <c r="B497" s="17" t="str">
        <f t="shared" si="7"/>
        <v>Problem</v>
      </c>
      <c r="C497" s="30" t="s">
        <v>937</v>
      </c>
    </row>
    <row r="498" spans="1:3" x14ac:dyDescent="0.2">
      <c r="A498" t="str">
        <f>IF(ISERROR(VLOOKUP(C498,Questions!$A$1:G$9999,7,0)),"",VLOOKUP(C498,Questions!$A$1:G$9999,7,0))</f>
        <v/>
      </c>
      <c r="B498" s="17" t="str">
        <f t="shared" si="7"/>
        <v>Problem</v>
      </c>
      <c r="C498" s="29" t="s">
        <v>780</v>
      </c>
    </row>
    <row r="499" spans="1:3" x14ac:dyDescent="0.2">
      <c r="A499">
        <f>IF(ISERROR(VLOOKUP(C499,Questions!$A$1:G$9999,7,0)),"",VLOOKUP(C499,Questions!$A$1:G$9999,7,0))</f>
        <v>3</v>
      </c>
      <c r="B499" s="17" t="str">
        <f t="shared" si="7"/>
        <v>Problem</v>
      </c>
      <c r="C499" s="30" t="s">
        <v>938</v>
      </c>
    </row>
    <row r="500" spans="1:3" x14ac:dyDescent="0.2">
      <c r="A500">
        <f>IF(ISERROR(VLOOKUP(C500,Questions!$A$1:G$9999,7,0)),"",VLOOKUP(C500,Questions!$A$1:G$9999,7,0))</f>
        <v>4</v>
      </c>
      <c r="B500" s="17" t="str">
        <f t="shared" si="7"/>
        <v>Problem</v>
      </c>
      <c r="C500" s="30" t="s">
        <v>939</v>
      </c>
    </row>
    <row r="501" spans="1:3" x14ac:dyDescent="0.2">
      <c r="A501">
        <f>IF(ISERROR(VLOOKUP(C501,Questions!$A$1:G$9999,7,0)),"",VLOOKUP(C501,Questions!$A$1:G$9999,7,0))</f>
        <v>2</v>
      </c>
      <c r="B501" s="17" t="str">
        <f t="shared" si="7"/>
        <v>Problem</v>
      </c>
      <c r="C501" s="30" t="s">
        <v>940</v>
      </c>
    </row>
    <row r="502" spans="1:3" x14ac:dyDescent="0.2">
      <c r="A502" t="str">
        <f>IF(ISERROR(VLOOKUP(C502,Questions!$A$1:G$9999,7,0)),"",VLOOKUP(C502,Questions!$A$1:G$9999,7,0))</f>
        <v/>
      </c>
      <c r="B502" s="17" t="str">
        <f t="shared" si="7"/>
        <v>Problem</v>
      </c>
      <c r="C502" s="29" t="s">
        <v>781</v>
      </c>
    </row>
    <row r="503" spans="1:3" x14ac:dyDescent="0.2">
      <c r="A503">
        <f>IF(ISERROR(VLOOKUP(C503,Questions!$A$1:G$9999,7,0)),"",VLOOKUP(C503,Questions!$A$1:G$9999,7,0))</f>
        <v>3</v>
      </c>
      <c r="B503" s="17" t="str">
        <f t="shared" si="7"/>
        <v>Problem</v>
      </c>
      <c r="C503" s="30" t="s">
        <v>941</v>
      </c>
    </row>
    <row r="504" spans="1:3" x14ac:dyDescent="0.2">
      <c r="A504">
        <f>IF(ISERROR(VLOOKUP(C504,Questions!$A$1:G$9999,7,0)),"",VLOOKUP(C504,Questions!$A$1:G$9999,7,0))</f>
        <v>1</v>
      </c>
      <c r="B504" s="17" t="str">
        <f t="shared" si="7"/>
        <v>Problem</v>
      </c>
      <c r="C504" s="30" t="s">
        <v>942</v>
      </c>
    </row>
    <row r="505" spans="1:3" x14ac:dyDescent="0.2">
      <c r="A505">
        <f>IF(ISERROR(VLOOKUP(C505,Questions!$A$1:G$9999,7,0)),"",VLOOKUP(C505,Questions!$A$1:G$9999,7,0))</f>
        <v>3</v>
      </c>
      <c r="B505" s="17" t="str">
        <f t="shared" si="7"/>
        <v>Problem</v>
      </c>
      <c r="C505" s="30" t="s">
        <v>943</v>
      </c>
    </row>
    <row r="506" spans="1:3" x14ac:dyDescent="0.2">
      <c r="A506">
        <f>IF(ISERROR(VLOOKUP(C506,Questions!$A$1:G$9999,7,0)),"",VLOOKUP(C506,Questions!$A$1:G$9999,7,0))</f>
        <v>3</v>
      </c>
      <c r="B506" s="17" t="str">
        <f t="shared" si="7"/>
        <v>Problem</v>
      </c>
      <c r="C506" s="30" t="s">
        <v>944</v>
      </c>
    </row>
    <row r="507" spans="1:3" x14ac:dyDescent="0.2">
      <c r="A507" t="str">
        <f>IF(ISERROR(VLOOKUP(C507,Questions!$A$1:G$9999,7,0)),"",VLOOKUP(C507,Questions!$A$1:G$9999,7,0))</f>
        <v/>
      </c>
      <c r="B507" s="17" t="str">
        <f t="shared" si="7"/>
        <v>Problem</v>
      </c>
      <c r="C507" s="29" t="s">
        <v>826</v>
      </c>
    </row>
    <row r="508" spans="1:3" x14ac:dyDescent="0.2">
      <c r="A508">
        <f>IF(ISERROR(VLOOKUP(C508,Questions!$A$1:G$9999,7,0)),"",VLOOKUP(C508,Questions!$A$1:G$9999,7,0))</f>
        <v>2</v>
      </c>
      <c r="B508" s="17" t="str">
        <f t="shared" si="7"/>
        <v>Problem</v>
      </c>
      <c r="C508" s="30" t="s">
        <v>945</v>
      </c>
    </row>
    <row r="509" spans="1:3" x14ac:dyDescent="0.2">
      <c r="A509">
        <f>IF(ISERROR(VLOOKUP(C509,Questions!$A$1:G$9999,7,0)),"",VLOOKUP(C509,Questions!$A$1:G$9999,7,0))</f>
        <v>2</v>
      </c>
      <c r="B509" s="17" t="str">
        <f t="shared" si="7"/>
        <v>Problem</v>
      </c>
      <c r="C509" s="30" t="s">
        <v>946</v>
      </c>
    </row>
    <row r="510" spans="1:3" x14ac:dyDescent="0.2">
      <c r="A510">
        <f>IF(ISERROR(VLOOKUP(C510,Questions!$A$1:G$9999,7,0)),"",VLOOKUP(C510,Questions!$A$1:G$9999,7,0))</f>
        <v>4</v>
      </c>
      <c r="B510" s="17" t="str">
        <f t="shared" si="7"/>
        <v>Problem</v>
      </c>
      <c r="C510" s="30" t="s">
        <v>947</v>
      </c>
    </row>
    <row r="511" spans="1:3" x14ac:dyDescent="0.2">
      <c r="A511">
        <f>IF(ISERROR(VLOOKUP(C511,Questions!$A$1:G$9999,7,0)),"",VLOOKUP(C511,Questions!$A$1:G$9999,7,0))</f>
        <v>3</v>
      </c>
      <c r="B511" s="17" t="str">
        <f t="shared" si="7"/>
        <v>Problem</v>
      </c>
      <c r="C511" s="30" t="s">
        <v>948</v>
      </c>
    </row>
    <row r="512" spans="1:3" x14ac:dyDescent="0.2">
      <c r="A512">
        <f>IF(ISERROR(VLOOKUP(C512,Questions!$A$1:G$9999,7,0)),"",VLOOKUP(C512,Questions!$A$1:G$9999,7,0))</f>
        <v>2</v>
      </c>
      <c r="B512" s="17" t="str">
        <f t="shared" si="7"/>
        <v>Problem</v>
      </c>
      <c r="C512" s="30" t="s">
        <v>949</v>
      </c>
    </row>
    <row r="513" spans="1:3" x14ac:dyDescent="0.2">
      <c r="A513" t="str">
        <f>IF(ISERROR(VLOOKUP(C513,Questions!$A$1:G$9999,7,0)),"",VLOOKUP(C513,Questions!$A$1:G$9999,7,0))</f>
        <v/>
      </c>
      <c r="B513" s="17" t="str">
        <f t="shared" si="7"/>
        <v>Problem</v>
      </c>
      <c r="C513" s="29" t="s">
        <v>1195</v>
      </c>
    </row>
    <row r="514" spans="1:3" x14ac:dyDescent="0.2">
      <c r="A514">
        <f>IF(ISERROR(VLOOKUP(C514,Questions!$A$1:G$9999,7,0)),"",VLOOKUP(C514,Questions!$A$1:G$9999,7,0))</f>
        <v>1</v>
      </c>
      <c r="B514" s="17" t="str">
        <f t="shared" si="7"/>
        <v>Problem</v>
      </c>
      <c r="C514" s="30" t="s">
        <v>1213</v>
      </c>
    </row>
    <row r="515" spans="1:3" x14ac:dyDescent="0.2">
      <c r="A515">
        <f>IF(ISERROR(VLOOKUP(C515,Questions!$A$1:G$9999,7,0)),"",VLOOKUP(C515,Questions!$A$1:G$9999,7,0))</f>
        <v>2</v>
      </c>
      <c r="B515" s="17" t="str">
        <f t="shared" si="7"/>
        <v>Problem</v>
      </c>
      <c r="C515" s="30" t="s">
        <v>1214</v>
      </c>
    </row>
    <row r="516" spans="1:3" x14ac:dyDescent="0.2">
      <c r="A516">
        <f>IF(ISERROR(VLOOKUP(C516,Questions!$A$1:G$9999,7,0)),"",VLOOKUP(C516,Questions!$A$1:G$9999,7,0))</f>
        <v>1</v>
      </c>
      <c r="B516" s="17" t="str">
        <f t="shared" ref="B516:B579" si="8">HYPERLINK("http://www.mrhosey.com/RPhys/" &amp; C516 &amp; ".gif","Problem")</f>
        <v>Problem</v>
      </c>
      <c r="C516" s="30" t="s">
        <v>1215</v>
      </c>
    </row>
    <row r="517" spans="1:3" x14ac:dyDescent="0.2">
      <c r="A517" t="str">
        <f>IF(ISERROR(VLOOKUP(C517,Questions!$A$1:G$9999,7,0)),"",VLOOKUP(C517,Questions!$A$1:G$9999,7,0))</f>
        <v/>
      </c>
      <c r="B517" s="17" t="str">
        <f t="shared" si="8"/>
        <v>Problem</v>
      </c>
      <c r="C517" s="12" t="s">
        <v>8</v>
      </c>
    </row>
    <row r="518" spans="1:3" x14ac:dyDescent="0.2">
      <c r="A518" t="str">
        <f>IF(ISERROR(VLOOKUP(C518,Questions!$A$1:G$9999,7,0)),"",VLOOKUP(C518,Questions!$A$1:G$9999,7,0))</f>
        <v/>
      </c>
      <c r="B518" s="17" t="str">
        <f t="shared" si="8"/>
        <v>Problem</v>
      </c>
      <c r="C518" s="29" t="s">
        <v>785</v>
      </c>
    </row>
    <row r="519" spans="1:3" x14ac:dyDescent="0.2">
      <c r="A519">
        <f>IF(ISERROR(VLOOKUP(C519,Questions!$A$1:G$9999,7,0)),"",VLOOKUP(C519,Questions!$A$1:G$9999,7,0))</f>
        <v>2</v>
      </c>
      <c r="B519" s="17" t="str">
        <f t="shared" si="8"/>
        <v>Problem</v>
      </c>
      <c r="C519" s="30" t="s">
        <v>30</v>
      </c>
    </row>
    <row r="520" spans="1:3" x14ac:dyDescent="0.2">
      <c r="A520">
        <f>IF(ISERROR(VLOOKUP(C520,Questions!$A$1:G$9999,7,0)),"",VLOOKUP(C520,Questions!$A$1:G$9999,7,0))</f>
        <v>4</v>
      </c>
      <c r="B520" s="17" t="str">
        <f t="shared" si="8"/>
        <v>Problem</v>
      </c>
      <c r="C520" s="30" t="s">
        <v>37</v>
      </c>
    </row>
    <row r="521" spans="1:3" x14ac:dyDescent="0.2">
      <c r="A521">
        <f>IF(ISERROR(VLOOKUP(C521,Questions!$A$1:G$9999,7,0)),"",VLOOKUP(C521,Questions!$A$1:G$9999,7,0))</f>
        <v>4</v>
      </c>
      <c r="B521" s="17" t="str">
        <f t="shared" si="8"/>
        <v>Problem</v>
      </c>
      <c r="C521" s="30" t="s">
        <v>39</v>
      </c>
    </row>
    <row r="522" spans="1:3" x14ac:dyDescent="0.2">
      <c r="A522">
        <f>IF(ISERROR(VLOOKUP(C522,Questions!$A$1:G$9999,7,0)),"",VLOOKUP(C522,Questions!$A$1:G$9999,7,0))</f>
        <v>2</v>
      </c>
      <c r="B522" s="17" t="str">
        <f t="shared" si="8"/>
        <v>Problem</v>
      </c>
      <c r="C522" s="30" t="s">
        <v>950</v>
      </c>
    </row>
    <row r="523" spans="1:3" x14ac:dyDescent="0.2">
      <c r="A523" t="str">
        <f>IF(ISERROR(VLOOKUP(C523,Questions!$A$1:G$9999,7,0)),"",VLOOKUP(C523,Questions!$A$1:G$9999,7,0))</f>
        <v/>
      </c>
      <c r="B523" s="17" t="str">
        <f t="shared" si="8"/>
        <v>Problem</v>
      </c>
      <c r="C523" s="29" t="s">
        <v>787</v>
      </c>
    </row>
    <row r="524" spans="1:3" x14ac:dyDescent="0.2">
      <c r="A524">
        <f>IF(ISERROR(VLOOKUP(C524,Questions!$A$1:G$9999,7,0)),"",VLOOKUP(C524,Questions!$A$1:G$9999,7,0))</f>
        <v>1</v>
      </c>
      <c r="B524" s="17" t="str">
        <f t="shared" si="8"/>
        <v>Problem</v>
      </c>
      <c r="C524" s="30" t="s">
        <v>61</v>
      </c>
    </row>
    <row r="525" spans="1:3" x14ac:dyDescent="0.2">
      <c r="A525">
        <f>IF(ISERROR(VLOOKUP(C525,Questions!$A$1:G$9999,7,0)),"",VLOOKUP(C525,Questions!$A$1:G$9999,7,0))</f>
        <v>4</v>
      </c>
      <c r="B525" s="17" t="str">
        <f t="shared" si="8"/>
        <v>Problem</v>
      </c>
      <c r="C525" s="30" t="s">
        <v>62</v>
      </c>
    </row>
    <row r="526" spans="1:3" x14ac:dyDescent="0.2">
      <c r="A526">
        <f>IF(ISERROR(VLOOKUP(C526,Questions!$A$1:G$9999,7,0)),"",VLOOKUP(C526,Questions!$A$1:G$9999,7,0))</f>
        <v>2</v>
      </c>
      <c r="B526" s="17" t="str">
        <f t="shared" si="8"/>
        <v>Problem</v>
      </c>
      <c r="C526" s="30" t="s">
        <v>63</v>
      </c>
    </row>
    <row r="527" spans="1:3" x14ac:dyDescent="0.2">
      <c r="A527">
        <f>IF(ISERROR(VLOOKUP(C527,Questions!$A$1:G$9999,7,0)),"",VLOOKUP(C527,Questions!$A$1:G$9999,7,0))</f>
        <v>2</v>
      </c>
      <c r="B527" s="17" t="str">
        <f t="shared" si="8"/>
        <v>Problem</v>
      </c>
      <c r="C527" s="30" t="s">
        <v>66</v>
      </c>
    </row>
    <row r="528" spans="1:3" x14ac:dyDescent="0.2">
      <c r="A528" t="str">
        <f>IF(ISERROR(VLOOKUP(C528,Questions!$A$1:G$9999,7,0)),"",VLOOKUP(C528,Questions!$A$1:G$9999,7,0))</f>
        <v/>
      </c>
      <c r="B528" s="17" t="str">
        <f t="shared" si="8"/>
        <v>Problem</v>
      </c>
      <c r="C528" s="29" t="s">
        <v>789</v>
      </c>
    </row>
    <row r="529" spans="1:3" x14ac:dyDescent="0.2">
      <c r="A529">
        <f>IF(ISERROR(VLOOKUP(C529,Questions!$A$1:G$9999,7,0)),"",VLOOKUP(C529,Questions!$A$1:G$9999,7,0))</f>
        <v>1</v>
      </c>
      <c r="B529" s="17" t="str">
        <f t="shared" si="8"/>
        <v>Problem</v>
      </c>
      <c r="C529" s="30" t="s">
        <v>105</v>
      </c>
    </row>
    <row r="530" spans="1:3" x14ac:dyDescent="0.2">
      <c r="A530">
        <f>IF(ISERROR(VLOOKUP(C530,Questions!$A$1:G$9999,7,0)),"",VLOOKUP(C530,Questions!$A$1:G$9999,7,0))</f>
        <v>4</v>
      </c>
      <c r="B530" s="17" t="str">
        <f t="shared" si="8"/>
        <v>Problem</v>
      </c>
      <c r="C530" s="30" t="s">
        <v>108</v>
      </c>
    </row>
    <row r="531" spans="1:3" x14ac:dyDescent="0.2">
      <c r="A531">
        <f>IF(ISERROR(VLOOKUP(C531,Questions!$A$1:G$9999,7,0)),"",VLOOKUP(C531,Questions!$A$1:G$9999,7,0))</f>
        <v>2</v>
      </c>
      <c r="B531" s="17" t="str">
        <f t="shared" si="8"/>
        <v>Problem</v>
      </c>
      <c r="C531" s="30" t="s">
        <v>109</v>
      </c>
    </row>
    <row r="532" spans="1:3" x14ac:dyDescent="0.2">
      <c r="A532">
        <f>IF(ISERROR(VLOOKUP(C532,Questions!$A$1:G$9999,7,0)),"",VLOOKUP(C532,Questions!$A$1:G$9999,7,0))</f>
        <v>1</v>
      </c>
      <c r="B532" s="17" t="str">
        <f t="shared" si="8"/>
        <v>Problem</v>
      </c>
      <c r="C532" s="30" t="s">
        <v>110</v>
      </c>
    </row>
    <row r="533" spans="1:3" x14ac:dyDescent="0.2">
      <c r="A533">
        <f>IF(ISERROR(VLOOKUP(C533,Questions!$A$1:G$9999,7,0)),"",VLOOKUP(C533,Questions!$A$1:G$9999,7,0))</f>
        <v>3</v>
      </c>
      <c r="B533" s="17" t="str">
        <f t="shared" si="8"/>
        <v>Problem</v>
      </c>
      <c r="C533" s="30" t="s">
        <v>112</v>
      </c>
    </row>
    <row r="534" spans="1:3" x14ac:dyDescent="0.2">
      <c r="A534">
        <f>IF(ISERROR(VLOOKUP(C534,Questions!$A$1:G$9999,7,0)),"",VLOOKUP(C534,Questions!$A$1:G$9999,7,0))</f>
        <v>2</v>
      </c>
      <c r="B534" s="17" t="str">
        <f t="shared" si="8"/>
        <v>Problem</v>
      </c>
      <c r="C534" s="30" t="s">
        <v>114</v>
      </c>
    </row>
    <row r="535" spans="1:3" x14ac:dyDescent="0.2">
      <c r="A535">
        <f>IF(ISERROR(VLOOKUP(C535,Questions!$A$1:G$9999,7,0)),"",VLOOKUP(C535,Questions!$A$1:G$9999,7,0))</f>
        <v>4</v>
      </c>
      <c r="B535" s="17" t="str">
        <f t="shared" si="8"/>
        <v>Problem</v>
      </c>
      <c r="C535" s="30" t="s">
        <v>951</v>
      </c>
    </row>
    <row r="536" spans="1:3" x14ac:dyDescent="0.2">
      <c r="A536" t="str">
        <f>IF(ISERROR(VLOOKUP(C536,Questions!$A$1:G$9999,7,0)),"",VLOOKUP(C536,Questions!$A$1:G$9999,7,0))</f>
        <v/>
      </c>
      <c r="B536" s="17" t="str">
        <f t="shared" si="8"/>
        <v>Problem</v>
      </c>
      <c r="C536" s="29" t="s">
        <v>793</v>
      </c>
    </row>
    <row r="537" spans="1:3" x14ac:dyDescent="0.2">
      <c r="A537">
        <f>IF(ISERROR(VLOOKUP(C537,Questions!$A$1:G$9999,7,0)),"",VLOOKUP(C537,Questions!$A$1:G$9999,7,0))</f>
        <v>3</v>
      </c>
      <c r="B537" s="17" t="str">
        <f t="shared" si="8"/>
        <v>Problem</v>
      </c>
      <c r="C537" s="30" t="s">
        <v>142</v>
      </c>
    </row>
    <row r="538" spans="1:3" x14ac:dyDescent="0.2">
      <c r="A538">
        <f>IF(ISERROR(VLOOKUP(C538,Questions!$A$1:G$9999,7,0)),"",VLOOKUP(C538,Questions!$A$1:G$9999,7,0))</f>
        <v>4</v>
      </c>
      <c r="B538" s="17" t="str">
        <f t="shared" si="8"/>
        <v>Problem</v>
      </c>
      <c r="C538" s="30" t="s">
        <v>145</v>
      </c>
    </row>
    <row r="539" spans="1:3" x14ac:dyDescent="0.2">
      <c r="A539">
        <f>IF(ISERROR(VLOOKUP(C539,Questions!$A$1:G$9999,7,0)),"",VLOOKUP(C539,Questions!$A$1:G$9999,7,0))</f>
        <v>3</v>
      </c>
      <c r="B539" s="17" t="str">
        <f t="shared" si="8"/>
        <v>Problem</v>
      </c>
      <c r="C539" s="30" t="s">
        <v>952</v>
      </c>
    </row>
    <row r="540" spans="1:3" x14ac:dyDescent="0.2">
      <c r="A540" t="str">
        <f>IF(ISERROR(VLOOKUP(C540,Questions!$A$1:G$9999,7,0)),"",VLOOKUP(C540,Questions!$A$1:G$9999,7,0))</f>
        <v/>
      </c>
      <c r="B540" s="17" t="str">
        <f t="shared" si="8"/>
        <v>Problem</v>
      </c>
      <c r="C540" s="29" t="s">
        <v>795</v>
      </c>
    </row>
    <row r="541" spans="1:3" x14ac:dyDescent="0.2">
      <c r="A541">
        <f>IF(ISERROR(VLOOKUP(C541,Questions!$A$1:G$9999,7,0)),"",VLOOKUP(C541,Questions!$A$1:G$9999,7,0))</f>
        <v>1</v>
      </c>
      <c r="B541" s="17" t="str">
        <f t="shared" si="8"/>
        <v>Problem</v>
      </c>
      <c r="C541" s="30" t="s">
        <v>173</v>
      </c>
    </row>
    <row r="542" spans="1:3" x14ac:dyDescent="0.2">
      <c r="A542">
        <f>IF(ISERROR(VLOOKUP(C542,Questions!$A$1:G$9999,7,0)),"",VLOOKUP(C542,Questions!$A$1:G$9999,7,0))</f>
        <v>1</v>
      </c>
      <c r="B542" s="17" t="str">
        <f t="shared" si="8"/>
        <v>Problem</v>
      </c>
      <c r="C542" s="30" t="s">
        <v>176</v>
      </c>
    </row>
    <row r="543" spans="1:3" x14ac:dyDescent="0.2">
      <c r="A543">
        <f>IF(ISERROR(VLOOKUP(C543,Questions!$A$1:G$9999,7,0)),"",VLOOKUP(C543,Questions!$A$1:G$9999,7,0))</f>
        <v>1</v>
      </c>
      <c r="B543" s="17" t="str">
        <f t="shared" si="8"/>
        <v>Problem</v>
      </c>
      <c r="C543" s="30" t="s">
        <v>181</v>
      </c>
    </row>
    <row r="544" spans="1:3" x14ac:dyDescent="0.2">
      <c r="A544">
        <f>IF(ISERROR(VLOOKUP(C544,Questions!$A$1:G$9999,7,0)),"",VLOOKUP(C544,Questions!$A$1:G$9999,7,0))</f>
        <v>2</v>
      </c>
      <c r="B544" s="17" t="str">
        <f t="shared" si="8"/>
        <v>Problem</v>
      </c>
      <c r="C544" s="30" t="s">
        <v>183</v>
      </c>
    </row>
    <row r="545" spans="1:3" x14ac:dyDescent="0.2">
      <c r="A545">
        <f>IF(ISERROR(VLOOKUP(C545,Questions!$A$1:G$9999,7,0)),"",VLOOKUP(C545,Questions!$A$1:G$9999,7,0))</f>
        <v>2</v>
      </c>
      <c r="B545" s="17" t="str">
        <f t="shared" si="8"/>
        <v>Problem</v>
      </c>
      <c r="C545" s="30" t="s">
        <v>953</v>
      </c>
    </row>
    <row r="546" spans="1:3" x14ac:dyDescent="0.2">
      <c r="A546">
        <f>IF(ISERROR(VLOOKUP(C546,Questions!$A$1:G$9999,7,0)),"",VLOOKUP(C546,Questions!$A$1:G$9999,7,0))</f>
        <v>4</v>
      </c>
      <c r="B546" s="17" t="str">
        <f t="shared" si="8"/>
        <v>Problem</v>
      </c>
      <c r="C546" s="30" t="s">
        <v>954</v>
      </c>
    </row>
    <row r="547" spans="1:3" x14ac:dyDescent="0.2">
      <c r="A547" t="str">
        <f>IF(ISERROR(VLOOKUP(C547,Questions!$A$1:G$9999,7,0)),"",VLOOKUP(C547,Questions!$A$1:G$9999,7,0))</f>
        <v/>
      </c>
      <c r="B547" s="17" t="str">
        <f t="shared" si="8"/>
        <v>Problem</v>
      </c>
      <c r="C547" s="29" t="s">
        <v>797</v>
      </c>
    </row>
    <row r="548" spans="1:3" x14ac:dyDescent="0.2">
      <c r="A548">
        <f>IF(ISERROR(VLOOKUP(C548,Questions!$A$1:G$9999,7,0)),"",VLOOKUP(C548,Questions!$A$1:G$9999,7,0))</f>
        <v>4</v>
      </c>
      <c r="B548" s="17" t="str">
        <f t="shared" si="8"/>
        <v>Problem</v>
      </c>
      <c r="C548" s="30" t="s">
        <v>212</v>
      </c>
    </row>
    <row r="549" spans="1:3" x14ac:dyDescent="0.2">
      <c r="A549">
        <f>IF(ISERROR(VLOOKUP(C549,Questions!$A$1:G$9999,7,0)),"",VLOOKUP(C549,Questions!$A$1:G$9999,7,0))</f>
        <v>3</v>
      </c>
      <c r="B549" s="17" t="str">
        <f t="shared" si="8"/>
        <v>Problem</v>
      </c>
      <c r="C549" s="30" t="s">
        <v>215</v>
      </c>
    </row>
    <row r="550" spans="1:3" x14ac:dyDescent="0.2">
      <c r="A550">
        <f>IF(ISERROR(VLOOKUP(C550,Questions!$A$1:G$9999,7,0)),"",VLOOKUP(C550,Questions!$A$1:G$9999,7,0))</f>
        <v>3</v>
      </c>
      <c r="B550" s="17" t="str">
        <f t="shared" si="8"/>
        <v>Problem</v>
      </c>
      <c r="C550" s="30" t="s">
        <v>219</v>
      </c>
    </row>
    <row r="551" spans="1:3" x14ac:dyDescent="0.2">
      <c r="A551">
        <f>IF(ISERROR(VLOOKUP(C551,Questions!$A$1:G$9999,7,0)),"",VLOOKUP(C551,Questions!$A$1:G$9999,7,0))</f>
        <v>4</v>
      </c>
      <c r="B551" s="17" t="str">
        <f t="shared" si="8"/>
        <v>Problem</v>
      </c>
      <c r="C551" s="30" t="s">
        <v>221</v>
      </c>
    </row>
    <row r="552" spans="1:3" x14ac:dyDescent="0.2">
      <c r="A552" t="str">
        <f>IF(ISERROR(VLOOKUP(C552,Questions!$A$1:G$9999,7,0)),"",VLOOKUP(C552,Questions!$A$1:G$9999,7,0))</f>
        <v/>
      </c>
      <c r="B552" s="17" t="str">
        <f t="shared" si="8"/>
        <v>Problem</v>
      </c>
      <c r="C552" s="29" t="s">
        <v>799</v>
      </c>
    </row>
    <row r="553" spans="1:3" x14ac:dyDescent="0.2">
      <c r="A553">
        <f>IF(ISERROR(VLOOKUP(C553,Questions!$A$1:G$9999,7,0)),"",VLOOKUP(C553,Questions!$A$1:G$9999,7,0))</f>
        <v>3</v>
      </c>
      <c r="B553" s="17" t="str">
        <f t="shared" si="8"/>
        <v>Problem</v>
      </c>
      <c r="C553" s="30" t="s">
        <v>231</v>
      </c>
    </row>
    <row r="554" spans="1:3" x14ac:dyDescent="0.2">
      <c r="A554">
        <f>IF(ISERROR(VLOOKUP(C554,Questions!$A$1:G$9999,7,0)),"",VLOOKUP(C554,Questions!$A$1:G$9999,7,0))</f>
        <v>4</v>
      </c>
      <c r="B554" s="17" t="str">
        <f t="shared" si="8"/>
        <v>Problem</v>
      </c>
      <c r="C554" s="30" t="s">
        <v>232</v>
      </c>
    </row>
    <row r="555" spans="1:3" x14ac:dyDescent="0.2">
      <c r="A555">
        <f>IF(ISERROR(VLOOKUP(C555,Questions!$A$1:G$9999,7,0)),"",VLOOKUP(C555,Questions!$A$1:G$9999,7,0))</f>
        <v>3</v>
      </c>
      <c r="B555" s="17" t="str">
        <f t="shared" si="8"/>
        <v>Problem</v>
      </c>
      <c r="C555" s="30" t="s">
        <v>234</v>
      </c>
    </row>
    <row r="556" spans="1:3" x14ac:dyDescent="0.2">
      <c r="A556">
        <f>IF(ISERROR(VLOOKUP(C556,Questions!$A$1:G$9999,7,0)),"",VLOOKUP(C556,Questions!$A$1:G$9999,7,0))</f>
        <v>2</v>
      </c>
      <c r="B556" s="17" t="str">
        <f t="shared" si="8"/>
        <v>Problem</v>
      </c>
      <c r="C556" s="30" t="s">
        <v>235</v>
      </c>
    </row>
    <row r="557" spans="1:3" x14ac:dyDescent="0.2">
      <c r="A557">
        <f>IF(ISERROR(VLOOKUP(C557,Questions!$A$1:G$9999,7,0)),"",VLOOKUP(C557,Questions!$A$1:G$9999,7,0))</f>
        <v>3</v>
      </c>
      <c r="B557" s="17" t="str">
        <f t="shared" si="8"/>
        <v>Problem</v>
      </c>
      <c r="C557" s="30" t="s">
        <v>239</v>
      </c>
    </row>
    <row r="558" spans="1:3" x14ac:dyDescent="0.2">
      <c r="A558">
        <f>IF(ISERROR(VLOOKUP(C558,Questions!$A$1:G$9999,7,0)),"",VLOOKUP(C558,Questions!$A$1:G$9999,7,0))</f>
        <v>4</v>
      </c>
      <c r="B558" s="17" t="str">
        <f t="shared" si="8"/>
        <v>Problem</v>
      </c>
      <c r="C558" s="30" t="s">
        <v>955</v>
      </c>
    </row>
    <row r="559" spans="1:3" x14ac:dyDescent="0.2">
      <c r="A559" t="str">
        <f>IF(ISERROR(VLOOKUP(C559,Questions!$A$1:G$9999,7,0)),"",VLOOKUP(C559,Questions!$A$1:G$9999,7,0))</f>
        <v/>
      </c>
      <c r="B559" s="17" t="str">
        <f t="shared" si="8"/>
        <v>Problem</v>
      </c>
      <c r="C559" s="29" t="s">
        <v>801</v>
      </c>
    </row>
    <row r="560" spans="1:3" x14ac:dyDescent="0.2">
      <c r="A560">
        <f>IF(ISERROR(VLOOKUP(C560,Questions!$A$1:G$9999,7,0)),"",VLOOKUP(C560,Questions!$A$1:G$9999,7,0))</f>
        <v>3</v>
      </c>
      <c r="B560" s="17" t="str">
        <f t="shared" si="8"/>
        <v>Problem</v>
      </c>
      <c r="C560" s="30" t="s">
        <v>280</v>
      </c>
    </row>
    <row r="561" spans="1:3" x14ac:dyDescent="0.2">
      <c r="A561">
        <f>IF(ISERROR(VLOOKUP(C561,Questions!$A$1:G$9999,7,0)),"",VLOOKUP(C561,Questions!$A$1:G$9999,7,0))</f>
        <v>1</v>
      </c>
      <c r="B561" s="17" t="str">
        <f t="shared" si="8"/>
        <v>Problem</v>
      </c>
      <c r="C561" s="30" t="s">
        <v>284</v>
      </c>
    </row>
    <row r="562" spans="1:3" x14ac:dyDescent="0.2">
      <c r="A562">
        <f>IF(ISERROR(VLOOKUP(C562,Questions!$A$1:G$9999,7,0)),"",VLOOKUP(C562,Questions!$A$1:G$9999,7,0))</f>
        <v>2</v>
      </c>
      <c r="B562" s="17" t="str">
        <f t="shared" si="8"/>
        <v>Problem</v>
      </c>
      <c r="C562" s="30" t="s">
        <v>285</v>
      </c>
    </row>
    <row r="563" spans="1:3" x14ac:dyDescent="0.2">
      <c r="A563">
        <f>IF(ISERROR(VLOOKUP(C563,Questions!$A$1:G$9999,7,0)),"",VLOOKUP(C563,Questions!$A$1:G$9999,7,0))</f>
        <v>1</v>
      </c>
      <c r="B563" s="17" t="str">
        <f t="shared" si="8"/>
        <v>Problem</v>
      </c>
      <c r="C563" s="30" t="s">
        <v>956</v>
      </c>
    </row>
    <row r="564" spans="1:3" x14ac:dyDescent="0.2">
      <c r="A564" t="str">
        <f>IF(ISERROR(VLOOKUP(C564,Questions!$A$1:G$9999,7,0)),"",VLOOKUP(C564,Questions!$A$1:G$9999,7,0))</f>
        <v/>
      </c>
      <c r="B564" s="17" t="str">
        <f t="shared" si="8"/>
        <v>Problem</v>
      </c>
      <c r="C564" s="29" t="s">
        <v>802</v>
      </c>
    </row>
    <row r="565" spans="1:3" x14ac:dyDescent="0.2">
      <c r="A565">
        <f>IF(ISERROR(VLOOKUP(C565,Questions!$A$1:G$9999,7,0)),"",VLOOKUP(C565,Questions!$A$1:G$9999,7,0))</f>
        <v>3</v>
      </c>
      <c r="B565" s="17" t="str">
        <f t="shared" si="8"/>
        <v>Problem</v>
      </c>
      <c r="C565" s="30" t="s">
        <v>321</v>
      </c>
    </row>
    <row r="566" spans="1:3" x14ac:dyDescent="0.2">
      <c r="A566">
        <f>IF(ISERROR(VLOOKUP(C566,Questions!$A$1:G$9999,7,0)),"",VLOOKUP(C566,Questions!$A$1:G$9999,7,0))</f>
        <v>4</v>
      </c>
      <c r="B566" s="17" t="str">
        <f t="shared" si="8"/>
        <v>Problem</v>
      </c>
      <c r="C566" s="30" t="s">
        <v>323</v>
      </c>
    </row>
    <row r="567" spans="1:3" x14ac:dyDescent="0.2">
      <c r="A567" t="str">
        <f>IF(ISERROR(VLOOKUP(C567,Questions!$A$1:G$9999,7,0)),"",VLOOKUP(C567,Questions!$A$1:G$9999,7,0))</f>
        <v/>
      </c>
      <c r="B567" s="17" t="str">
        <f t="shared" si="8"/>
        <v>Problem</v>
      </c>
      <c r="C567" s="29" t="s">
        <v>803</v>
      </c>
    </row>
    <row r="568" spans="1:3" x14ac:dyDescent="0.2">
      <c r="A568">
        <f>IF(ISERROR(VLOOKUP(C568,Questions!$A$1:G$9999,7,0)),"",VLOOKUP(C568,Questions!$A$1:G$9999,7,0))</f>
        <v>4</v>
      </c>
      <c r="B568" s="17" t="str">
        <f t="shared" si="8"/>
        <v>Problem</v>
      </c>
      <c r="C568" s="30" t="s">
        <v>353</v>
      </c>
    </row>
    <row r="569" spans="1:3" x14ac:dyDescent="0.2">
      <c r="A569">
        <f>IF(ISERROR(VLOOKUP(C569,Questions!$A$1:G$9999,7,0)),"",VLOOKUP(C569,Questions!$A$1:G$9999,7,0))</f>
        <v>4</v>
      </c>
      <c r="B569" s="17" t="str">
        <f t="shared" si="8"/>
        <v>Problem</v>
      </c>
      <c r="C569" s="30" t="s">
        <v>357</v>
      </c>
    </row>
    <row r="570" spans="1:3" x14ac:dyDescent="0.2">
      <c r="A570">
        <f>IF(ISERROR(VLOOKUP(C570,Questions!$A$1:G$9999,7,0)),"",VLOOKUP(C570,Questions!$A$1:G$9999,7,0))</f>
        <v>3</v>
      </c>
      <c r="B570" s="17" t="str">
        <f t="shared" si="8"/>
        <v>Problem</v>
      </c>
      <c r="C570" s="30" t="s">
        <v>358</v>
      </c>
    </row>
    <row r="571" spans="1:3" x14ac:dyDescent="0.2">
      <c r="A571">
        <f>IF(ISERROR(VLOOKUP(C571,Questions!$A$1:G$9999,7,0)),"",VLOOKUP(C571,Questions!$A$1:G$9999,7,0))</f>
        <v>1</v>
      </c>
      <c r="B571" s="17" t="str">
        <f t="shared" si="8"/>
        <v>Problem</v>
      </c>
      <c r="C571" s="30" t="s">
        <v>359</v>
      </c>
    </row>
    <row r="572" spans="1:3" x14ac:dyDescent="0.2">
      <c r="A572">
        <f>IF(ISERROR(VLOOKUP(C572,Questions!$A$1:G$9999,7,0)),"",VLOOKUP(C572,Questions!$A$1:G$9999,7,0))</f>
        <v>2</v>
      </c>
      <c r="B572" s="17" t="str">
        <f t="shared" si="8"/>
        <v>Problem</v>
      </c>
      <c r="C572" s="30" t="s">
        <v>957</v>
      </c>
    </row>
    <row r="573" spans="1:3" x14ac:dyDescent="0.2">
      <c r="A573">
        <f>IF(ISERROR(VLOOKUP(C573,Questions!$A$1:G$9999,7,0)),"",VLOOKUP(C573,Questions!$A$1:G$9999,7,0))</f>
        <v>2</v>
      </c>
      <c r="B573" s="17" t="str">
        <f t="shared" si="8"/>
        <v>Problem</v>
      </c>
      <c r="C573" s="30" t="s">
        <v>958</v>
      </c>
    </row>
    <row r="574" spans="1:3" x14ac:dyDescent="0.2">
      <c r="A574" t="str">
        <f>IF(ISERROR(VLOOKUP(C574,Questions!$A$1:G$9999,7,0)),"",VLOOKUP(C574,Questions!$A$1:G$9999,7,0))</f>
        <v/>
      </c>
      <c r="B574" s="17" t="str">
        <f t="shared" si="8"/>
        <v>Problem</v>
      </c>
      <c r="C574" s="29" t="s">
        <v>805</v>
      </c>
    </row>
    <row r="575" spans="1:3" x14ac:dyDescent="0.2">
      <c r="A575">
        <f>IF(ISERROR(VLOOKUP(C575,Questions!$A$1:G$9999,7,0)),"",VLOOKUP(C575,Questions!$A$1:G$9999,7,0))</f>
        <v>3</v>
      </c>
      <c r="B575" s="17" t="str">
        <f t="shared" si="8"/>
        <v>Problem</v>
      </c>
      <c r="C575" s="30" t="s">
        <v>382</v>
      </c>
    </row>
    <row r="576" spans="1:3" x14ac:dyDescent="0.2">
      <c r="A576">
        <f>IF(ISERROR(VLOOKUP(C576,Questions!$A$1:G$9999,7,0)),"",VLOOKUP(C576,Questions!$A$1:G$9999,7,0))</f>
        <v>3</v>
      </c>
      <c r="B576" s="17" t="str">
        <f t="shared" si="8"/>
        <v>Problem</v>
      </c>
      <c r="C576" s="30" t="s">
        <v>383</v>
      </c>
    </row>
    <row r="577" spans="1:3" x14ac:dyDescent="0.2">
      <c r="A577">
        <f>IF(ISERROR(VLOOKUP(C577,Questions!$A$1:G$9999,7,0)),"",VLOOKUP(C577,Questions!$A$1:G$9999,7,0))</f>
        <v>1</v>
      </c>
      <c r="B577" s="17" t="str">
        <f t="shared" si="8"/>
        <v>Problem</v>
      </c>
      <c r="C577" s="30" t="s">
        <v>386</v>
      </c>
    </row>
    <row r="578" spans="1:3" x14ac:dyDescent="0.2">
      <c r="A578">
        <f>IF(ISERROR(VLOOKUP(C578,Questions!$A$1:G$9999,7,0)),"",VLOOKUP(C578,Questions!$A$1:G$9999,7,0))</f>
        <v>2</v>
      </c>
      <c r="B578" s="17" t="str">
        <f t="shared" si="8"/>
        <v>Problem</v>
      </c>
      <c r="C578" s="30" t="s">
        <v>390</v>
      </c>
    </row>
    <row r="579" spans="1:3" x14ac:dyDescent="0.2">
      <c r="A579">
        <f>IF(ISERROR(VLOOKUP(C579,Questions!$A$1:G$9999,7,0)),"",VLOOKUP(C579,Questions!$A$1:G$9999,7,0))</f>
        <v>2</v>
      </c>
      <c r="B579" s="17" t="str">
        <f t="shared" si="8"/>
        <v>Problem</v>
      </c>
      <c r="C579" s="30" t="s">
        <v>959</v>
      </c>
    </row>
    <row r="580" spans="1:3" x14ac:dyDescent="0.2">
      <c r="A580">
        <f>IF(ISERROR(VLOOKUP(C580,Questions!$A$1:G$9999,7,0)),"",VLOOKUP(C580,Questions!$A$1:G$9999,7,0))</f>
        <v>1</v>
      </c>
      <c r="B580" s="17" t="str">
        <f t="shared" ref="B580:B643" si="9">HYPERLINK("http://www.mrhosey.com/RPhys/" &amp; C580 &amp; ".gif","Problem")</f>
        <v>Problem</v>
      </c>
      <c r="C580" s="30" t="s">
        <v>960</v>
      </c>
    </row>
    <row r="581" spans="1:3" x14ac:dyDescent="0.2">
      <c r="A581" t="str">
        <f>IF(ISERROR(VLOOKUP(C581,Questions!$A$1:G$9999,7,0)),"",VLOOKUP(C581,Questions!$A$1:G$9999,7,0))</f>
        <v/>
      </c>
      <c r="B581" s="17" t="str">
        <f t="shared" si="9"/>
        <v>Problem</v>
      </c>
      <c r="C581" s="29" t="s">
        <v>807</v>
      </c>
    </row>
    <row r="582" spans="1:3" x14ac:dyDescent="0.2">
      <c r="A582">
        <f>IF(ISERROR(VLOOKUP(C582,Questions!$A$1:G$9999,7,0)),"",VLOOKUP(C582,Questions!$A$1:G$9999,7,0))</f>
        <v>3</v>
      </c>
      <c r="B582" s="17" t="str">
        <f t="shared" si="9"/>
        <v>Problem</v>
      </c>
      <c r="C582" s="30" t="s">
        <v>418</v>
      </c>
    </row>
    <row r="583" spans="1:3" x14ac:dyDescent="0.2">
      <c r="A583">
        <f>IF(ISERROR(VLOOKUP(C583,Questions!$A$1:G$9999,7,0)),"",VLOOKUP(C583,Questions!$A$1:G$9999,7,0))</f>
        <v>3</v>
      </c>
      <c r="B583" s="17" t="str">
        <f t="shared" si="9"/>
        <v>Problem</v>
      </c>
      <c r="C583" s="30" t="s">
        <v>419</v>
      </c>
    </row>
    <row r="584" spans="1:3" x14ac:dyDescent="0.2">
      <c r="A584">
        <f>IF(ISERROR(VLOOKUP(C584,Questions!$A$1:G$9999,7,0)),"",VLOOKUP(C584,Questions!$A$1:G$9999,7,0))</f>
        <v>1</v>
      </c>
      <c r="B584" s="17" t="str">
        <f t="shared" si="9"/>
        <v>Problem</v>
      </c>
      <c r="C584" s="30" t="s">
        <v>420</v>
      </c>
    </row>
    <row r="585" spans="1:3" x14ac:dyDescent="0.2">
      <c r="A585">
        <f>IF(ISERROR(VLOOKUP(C585,Questions!$A$1:G$9999,7,0)),"",VLOOKUP(C585,Questions!$A$1:G$9999,7,0))</f>
        <v>3</v>
      </c>
      <c r="B585" s="17" t="str">
        <f t="shared" si="9"/>
        <v>Problem</v>
      </c>
      <c r="C585" s="30" t="s">
        <v>423</v>
      </c>
    </row>
    <row r="586" spans="1:3" x14ac:dyDescent="0.2">
      <c r="A586">
        <f>IF(ISERROR(VLOOKUP(C586,Questions!$A$1:G$9999,7,0)),"",VLOOKUP(C586,Questions!$A$1:G$9999,7,0))</f>
        <v>3</v>
      </c>
      <c r="B586" s="17" t="str">
        <f t="shared" si="9"/>
        <v>Problem</v>
      </c>
      <c r="C586" s="30" t="s">
        <v>424</v>
      </c>
    </row>
    <row r="587" spans="1:3" x14ac:dyDescent="0.2">
      <c r="A587">
        <f>IF(ISERROR(VLOOKUP(C587,Questions!$A$1:G$9999,7,0)),"",VLOOKUP(C587,Questions!$A$1:G$9999,7,0))</f>
        <v>1</v>
      </c>
      <c r="B587" s="17" t="str">
        <f t="shared" si="9"/>
        <v>Problem</v>
      </c>
      <c r="C587" s="30" t="s">
        <v>426</v>
      </c>
    </row>
    <row r="588" spans="1:3" x14ac:dyDescent="0.2">
      <c r="A588" t="str">
        <f>IF(ISERROR(VLOOKUP(C588,Questions!$A$1:G$9999,7,0)),"",VLOOKUP(C588,Questions!$A$1:G$9999,7,0))</f>
        <v/>
      </c>
      <c r="B588" s="17" t="str">
        <f t="shared" si="9"/>
        <v>Problem</v>
      </c>
      <c r="C588" s="29" t="s">
        <v>808</v>
      </c>
    </row>
    <row r="589" spans="1:3" x14ac:dyDescent="0.2">
      <c r="A589">
        <f>IF(ISERROR(VLOOKUP(C589,Questions!$A$1:G$9999,7,0)),"",VLOOKUP(C589,Questions!$A$1:G$9999,7,0))</f>
        <v>1</v>
      </c>
      <c r="B589" s="17" t="str">
        <f t="shared" si="9"/>
        <v>Problem</v>
      </c>
      <c r="C589" s="30" t="s">
        <v>455</v>
      </c>
    </row>
    <row r="590" spans="1:3" x14ac:dyDescent="0.2">
      <c r="A590">
        <f>IF(ISERROR(VLOOKUP(C590,Questions!$A$1:G$9999,7,0)),"",VLOOKUP(C590,Questions!$A$1:G$9999,7,0))</f>
        <v>2</v>
      </c>
      <c r="B590" s="17" t="str">
        <f t="shared" si="9"/>
        <v>Problem</v>
      </c>
      <c r="C590" s="30" t="s">
        <v>456</v>
      </c>
    </row>
    <row r="591" spans="1:3" x14ac:dyDescent="0.2">
      <c r="A591">
        <f>IF(ISERROR(VLOOKUP(C591,Questions!$A$1:G$9999,7,0)),"",VLOOKUP(C591,Questions!$A$1:G$9999,7,0))</f>
        <v>1</v>
      </c>
      <c r="B591" s="17" t="str">
        <f t="shared" si="9"/>
        <v>Problem</v>
      </c>
      <c r="C591" s="30" t="s">
        <v>457</v>
      </c>
    </row>
    <row r="592" spans="1:3" x14ac:dyDescent="0.2">
      <c r="A592">
        <f>IF(ISERROR(VLOOKUP(C592,Questions!$A$1:G$9999,7,0)),"",VLOOKUP(C592,Questions!$A$1:G$9999,7,0))</f>
        <v>1</v>
      </c>
      <c r="B592" s="17" t="str">
        <f t="shared" si="9"/>
        <v>Problem</v>
      </c>
      <c r="C592" s="30" t="s">
        <v>460</v>
      </c>
    </row>
    <row r="593" spans="1:3" x14ac:dyDescent="0.2">
      <c r="A593">
        <f>IF(ISERROR(VLOOKUP(C593,Questions!$A$1:G$9999,7,0)),"",VLOOKUP(C593,Questions!$A$1:G$9999,7,0))</f>
        <v>3</v>
      </c>
      <c r="B593" s="17" t="str">
        <f t="shared" si="9"/>
        <v>Problem</v>
      </c>
      <c r="C593" s="30" t="s">
        <v>462</v>
      </c>
    </row>
    <row r="594" spans="1:3" x14ac:dyDescent="0.2">
      <c r="A594">
        <f>IF(ISERROR(VLOOKUP(C594,Questions!$A$1:G$9999,7,0)),"",VLOOKUP(C594,Questions!$A$1:G$9999,7,0))</f>
        <v>4</v>
      </c>
      <c r="B594" s="17" t="str">
        <f t="shared" si="9"/>
        <v>Problem</v>
      </c>
      <c r="C594" s="30" t="s">
        <v>961</v>
      </c>
    </row>
    <row r="595" spans="1:3" x14ac:dyDescent="0.2">
      <c r="A595" t="str">
        <f>IF(ISERROR(VLOOKUP(C595,Questions!$A$1:G$9999,7,0)),"",VLOOKUP(C595,Questions!$A$1:G$9999,7,0))</f>
        <v/>
      </c>
      <c r="B595" s="17" t="str">
        <f t="shared" si="9"/>
        <v>Problem</v>
      </c>
      <c r="C595" s="29" t="s">
        <v>810</v>
      </c>
    </row>
    <row r="596" spans="1:3" x14ac:dyDescent="0.2">
      <c r="A596">
        <f>IF(ISERROR(VLOOKUP(C596,Questions!$A$1:G$9999,7,0)),"",VLOOKUP(C596,Questions!$A$1:G$9999,7,0))</f>
        <v>2</v>
      </c>
      <c r="B596" s="17" t="str">
        <f t="shared" si="9"/>
        <v>Problem</v>
      </c>
      <c r="C596" s="30" t="s">
        <v>491</v>
      </c>
    </row>
    <row r="597" spans="1:3" x14ac:dyDescent="0.2">
      <c r="A597">
        <f>IF(ISERROR(VLOOKUP(C597,Questions!$A$1:G$9999,7,0)),"",VLOOKUP(C597,Questions!$A$1:G$9999,7,0))</f>
        <v>2</v>
      </c>
      <c r="B597" s="17" t="str">
        <f t="shared" si="9"/>
        <v>Problem</v>
      </c>
      <c r="C597" s="30" t="s">
        <v>493</v>
      </c>
    </row>
    <row r="598" spans="1:3" x14ac:dyDescent="0.2">
      <c r="A598">
        <f>IF(ISERROR(VLOOKUP(C598,Questions!$A$1:G$9999,7,0)),"",VLOOKUP(C598,Questions!$A$1:G$9999,7,0))</f>
        <v>4</v>
      </c>
      <c r="B598" s="17" t="str">
        <f t="shared" si="9"/>
        <v>Problem</v>
      </c>
      <c r="C598" s="30" t="s">
        <v>496</v>
      </c>
    </row>
    <row r="599" spans="1:3" x14ac:dyDescent="0.2">
      <c r="A599">
        <f>IF(ISERROR(VLOOKUP(C599,Questions!$A$1:G$9999,7,0)),"",VLOOKUP(C599,Questions!$A$1:G$9999,7,0))</f>
        <v>2</v>
      </c>
      <c r="B599" s="17" t="str">
        <f t="shared" si="9"/>
        <v>Problem</v>
      </c>
      <c r="C599" s="30" t="s">
        <v>497</v>
      </c>
    </row>
    <row r="600" spans="1:3" x14ac:dyDescent="0.2">
      <c r="A600">
        <f>IF(ISERROR(VLOOKUP(C600,Questions!$A$1:G$9999,7,0)),"",VLOOKUP(C600,Questions!$A$1:G$9999,7,0))</f>
        <v>2</v>
      </c>
      <c r="B600" s="17" t="str">
        <f t="shared" si="9"/>
        <v>Problem</v>
      </c>
      <c r="C600" s="30" t="s">
        <v>962</v>
      </c>
    </row>
    <row r="601" spans="1:3" x14ac:dyDescent="0.2">
      <c r="A601" t="str">
        <f>IF(ISERROR(VLOOKUP(C601,Questions!$A$1:G$9999,7,0)),"",VLOOKUP(C601,Questions!$A$1:G$9999,7,0))</f>
        <v/>
      </c>
      <c r="B601" s="17" t="str">
        <f t="shared" si="9"/>
        <v>Problem</v>
      </c>
      <c r="C601" s="29" t="s">
        <v>811</v>
      </c>
    </row>
    <row r="602" spans="1:3" x14ac:dyDescent="0.2">
      <c r="A602">
        <f>IF(ISERROR(VLOOKUP(C602,Questions!$A$1:G$9999,7,0)),"",VLOOKUP(C602,Questions!$A$1:G$9999,7,0))</f>
        <v>1</v>
      </c>
      <c r="B602" s="17" t="str">
        <f t="shared" si="9"/>
        <v>Problem</v>
      </c>
      <c r="C602" s="30" t="s">
        <v>523</v>
      </c>
    </row>
    <row r="603" spans="1:3" x14ac:dyDescent="0.2">
      <c r="A603">
        <f>IF(ISERROR(VLOOKUP(C603,Questions!$A$1:G$9999,7,0)),"",VLOOKUP(C603,Questions!$A$1:G$9999,7,0))</f>
        <v>3</v>
      </c>
      <c r="B603" s="17" t="str">
        <f t="shared" si="9"/>
        <v>Problem</v>
      </c>
      <c r="C603" s="30" t="s">
        <v>526</v>
      </c>
    </row>
    <row r="604" spans="1:3" x14ac:dyDescent="0.2">
      <c r="A604">
        <f>IF(ISERROR(VLOOKUP(C604,Questions!$A$1:G$9999,7,0)),"",VLOOKUP(C604,Questions!$A$1:G$9999,7,0))</f>
        <v>4</v>
      </c>
      <c r="B604" s="17" t="str">
        <f t="shared" si="9"/>
        <v>Problem</v>
      </c>
      <c r="C604" s="30" t="s">
        <v>530</v>
      </c>
    </row>
    <row r="605" spans="1:3" x14ac:dyDescent="0.2">
      <c r="A605" t="str">
        <f>IF(ISERROR(VLOOKUP(C605,Questions!$A$1:G$9999,7,0)),"",VLOOKUP(C605,Questions!$A$1:G$9999,7,0))</f>
        <v/>
      </c>
      <c r="B605" s="17" t="str">
        <f t="shared" si="9"/>
        <v>Problem</v>
      </c>
      <c r="C605" s="29" t="s">
        <v>777</v>
      </c>
    </row>
    <row r="606" spans="1:3" x14ac:dyDescent="0.2">
      <c r="A606">
        <f>IF(ISERROR(VLOOKUP(C606,Questions!$A$1:G$9999,7,0)),"",VLOOKUP(C606,Questions!$A$1:G$9999,7,0))</f>
        <v>1</v>
      </c>
      <c r="B606" s="17" t="str">
        <f t="shared" si="9"/>
        <v>Problem</v>
      </c>
      <c r="C606" s="30" t="s">
        <v>645</v>
      </c>
    </row>
    <row r="607" spans="1:3" x14ac:dyDescent="0.2">
      <c r="A607">
        <f>IF(ISERROR(VLOOKUP(C607,Questions!$A$1:G$9999,7,0)),"",VLOOKUP(C607,Questions!$A$1:G$9999,7,0))</f>
        <v>2</v>
      </c>
      <c r="B607" s="17" t="str">
        <f t="shared" si="9"/>
        <v>Problem</v>
      </c>
      <c r="C607" s="30" t="s">
        <v>646</v>
      </c>
    </row>
    <row r="608" spans="1:3" x14ac:dyDescent="0.2">
      <c r="A608">
        <f>IF(ISERROR(VLOOKUP(C608,Questions!$A$1:G$9999,7,0)),"",VLOOKUP(C608,Questions!$A$1:G$9999,7,0))</f>
        <v>2</v>
      </c>
      <c r="B608" s="17" t="str">
        <f t="shared" si="9"/>
        <v>Problem</v>
      </c>
      <c r="C608" s="30" t="s">
        <v>650</v>
      </c>
    </row>
    <row r="609" spans="1:3" x14ac:dyDescent="0.2">
      <c r="A609">
        <f>IF(ISERROR(VLOOKUP(C609,Questions!$A$1:G$9999,7,0)),"",VLOOKUP(C609,Questions!$A$1:G$9999,7,0))</f>
        <v>1</v>
      </c>
      <c r="B609" s="17" t="str">
        <f t="shared" si="9"/>
        <v>Problem</v>
      </c>
      <c r="C609" s="30" t="s">
        <v>651</v>
      </c>
    </row>
    <row r="610" spans="1:3" x14ac:dyDescent="0.2">
      <c r="A610" t="str">
        <f>IF(ISERROR(VLOOKUP(C610,Questions!$A$1:G$9999,7,0)),"",VLOOKUP(C610,Questions!$A$1:G$9999,7,0))</f>
        <v/>
      </c>
      <c r="B610" s="17" t="str">
        <f t="shared" si="9"/>
        <v>Problem</v>
      </c>
      <c r="C610" s="29" t="s">
        <v>778</v>
      </c>
    </row>
    <row r="611" spans="1:3" x14ac:dyDescent="0.2">
      <c r="A611">
        <f>IF(ISERROR(VLOOKUP(C611,Questions!$A$1:G$9999,7,0)),"",VLOOKUP(C611,Questions!$A$1:G$9999,7,0))</f>
        <v>4</v>
      </c>
      <c r="B611" s="17" t="str">
        <f t="shared" si="9"/>
        <v>Problem</v>
      </c>
      <c r="C611" s="30" t="s">
        <v>712</v>
      </c>
    </row>
    <row r="612" spans="1:3" x14ac:dyDescent="0.2">
      <c r="A612">
        <f>IF(ISERROR(VLOOKUP(C612,Questions!$A$1:G$9999,7,0)),"",VLOOKUP(C612,Questions!$A$1:G$9999,7,0))</f>
        <v>2</v>
      </c>
      <c r="B612" s="17" t="str">
        <f t="shared" si="9"/>
        <v>Problem</v>
      </c>
      <c r="C612" s="30" t="s">
        <v>713</v>
      </c>
    </row>
    <row r="613" spans="1:3" x14ac:dyDescent="0.2">
      <c r="A613">
        <f>IF(ISERROR(VLOOKUP(C613,Questions!$A$1:G$9999,7,0)),"",VLOOKUP(C613,Questions!$A$1:G$9999,7,0))</f>
        <v>1</v>
      </c>
      <c r="B613" s="17" t="str">
        <f t="shared" si="9"/>
        <v>Problem</v>
      </c>
      <c r="C613" s="30" t="s">
        <v>714</v>
      </c>
    </row>
    <row r="614" spans="1:3" x14ac:dyDescent="0.2">
      <c r="A614">
        <f>IF(ISERROR(VLOOKUP(C614,Questions!$A$1:G$9999,7,0)),"",VLOOKUP(C614,Questions!$A$1:G$9999,7,0))</f>
        <v>1</v>
      </c>
      <c r="B614" s="17" t="str">
        <f t="shared" si="9"/>
        <v>Problem</v>
      </c>
      <c r="C614" s="30" t="s">
        <v>717</v>
      </c>
    </row>
    <row r="615" spans="1:3" x14ac:dyDescent="0.2">
      <c r="A615">
        <f>IF(ISERROR(VLOOKUP(C615,Questions!$A$1:G$9999,7,0)),"",VLOOKUP(C615,Questions!$A$1:G$9999,7,0))</f>
        <v>3</v>
      </c>
      <c r="B615" s="17" t="str">
        <f t="shared" si="9"/>
        <v>Problem</v>
      </c>
      <c r="C615" s="30" t="s">
        <v>736</v>
      </c>
    </row>
    <row r="616" spans="1:3" x14ac:dyDescent="0.2">
      <c r="A616">
        <f>IF(ISERROR(VLOOKUP(C616,Questions!$A$1:G$9999,7,0)),"",VLOOKUP(C616,Questions!$A$1:G$9999,7,0))</f>
        <v>3</v>
      </c>
      <c r="B616" s="17" t="str">
        <f t="shared" si="9"/>
        <v>Problem</v>
      </c>
      <c r="C616" s="30" t="s">
        <v>738</v>
      </c>
    </row>
    <row r="617" spans="1:3" x14ac:dyDescent="0.2">
      <c r="A617" t="str">
        <f>IF(ISERROR(VLOOKUP(C617,Questions!$A$1:G$9999,7,0)),"",VLOOKUP(C617,Questions!$A$1:G$9999,7,0))</f>
        <v/>
      </c>
      <c r="B617" s="17" t="str">
        <f t="shared" si="9"/>
        <v>Problem</v>
      </c>
      <c r="C617" s="29" t="s">
        <v>779</v>
      </c>
    </row>
    <row r="618" spans="1:3" x14ac:dyDescent="0.2">
      <c r="A618">
        <f>IF(ISERROR(VLOOKUP(C618,Questions!$A$1:G$9999,7,0)),"",VLOOKUP(C618,Questions!$A$1:G$9999,7,0))</f>
        <v>1</v>
      </c>
      <c r="B618" s="17" t="str">
        <f t="shared" si="9"/>
        <v>Problem</v>
      </c>
      <c r="C618" s="30" t="s">
        <v>963</v>
      </c>
    </row>
    <row r="619" spans="1:3" x14ac:dyDescent="0.2">
      <c r="A619">
        <f>IF(ISERROR(VLOOKUP(C619,Questions!$A$1:G$9999,7,0)),"",VLOOKUP(C619,Questions!$A$1:G$9999,7,0))</f>
        <v>4</v>
      </c>
      <c r="B619" s="17" t="str">
        <f t="shared" si="9"/>
        <v>Problem</v>
      </c>
      <c r="C619" s="30" t="s">
        <v>964</v>
      </c>
    </row>
    <row r="620" spans="1:3" x14ac:dyDescent="0.2">
      <c r="A620">
        <f>IF(ISERROR(VLOOKUP(C620,Questions!$A$1:G$9999,7,0)),"",VLOOKUP(C620,Questions!$A$1:G$9999,7,0))</f>
        <v>3</v>
      </c>
      <c r="B620" s="17" t="str">
        <f t="shared" si="9"/>
        <v>Problem</v>
      </c>
      <c r="C620" s="30" t="s">
        <v>965</v>
      </c>
    </row>
    <row r="621" spans="1:3" x14ac:dyDescent="0.2">
      <c r="A621">
        <f>IF(ISERROR(VLOOKUP(C621,Questions!$A$1:G$9999,7,0)),"",VLOOKUP(C621,Questions!$A$1:G$9999,7,0))</f>
        <v>2</v>
      </c>
      <c r="B621" s="17" t="str">
        <f t="shared" si="9"/>
        <v>Problem</v>
      </c>
      <c r="C621" s="30" t="s">
        <v>966</v>
      </c>
    </row>
    <row r="622" spans="1:3" x14ac:dyDescent="0.2">
      <c r="A622">
        <f>IF(ISERROR(VLOOKUP(C622,Questions!$A$1:G$9999,7,0)),"",VLOOKUP(C622,Questions!$A$1:G$9999,7,0))</f>
        <v>2</v>
      </c>
      <c r="B622" s="17" t="str">
        <f t="shared" si="9"/>
        <v>Problem</v>
      </c>
      <c r="C622" s="30" t="s">
        <v>967</v>
      </c>
    </row>
    <row r="623" spans="1:3" x14ac:dyDescent="0.2">
      <c r="A623">
        <f>IF(ISERROR(VLOOKUP(C623,Questions!$A$1:G$9999,7,0)),"",VLOOKUP(C623,Questions!$A$1:G$9999,7,0))</f>
        <v>2</v>
      </c>
      <c r="B623" s="17" t="str">
        <f t="shared" si="9"/>
        <v>Problem</v>
      </c>
      <c r="C623" s="30" t="s">
        <v>968</v>
      </c>
    </row>
    <row r="624" spans="1:3" x14ac:dyDescent="0.2">
      <c r="A624">
        <f>IF(ISERROR(VLOOKUP(C624,Questions!$A$1:G$9999,7,0)),"",VLOOKUP(C624,Questions!$A$1:G$9999,7,0))</f>
        <v>2</v>
      </c>
      <c r="B624" s="17" t="str">
        <f t="shared" si="9"/>
        <v>Problem</v>
      </c>
      <c r="C624" s="30" t="s">
        <v>969</v>
      </c>
    </row>
    <row r="625" spans="1:3" x14ac:dyDescent="0.2">
      <c r="A625">
        <f>IF(ISERROR(VLOOKUP(C625,Questions!$A$1:G$9999,7,0)),"",VLOOKUP(C625,Questions!$A$1:G$9999,7,0))</f>
        <v>3</v>
      </c>
      <c r="B625" s="17" t="str">
        <f t="shared" si="9"/>
        <v>Problem</v>
      </c>
      <c r="C625" s="30" t="s">
        <v>970</v>
      </c>
    </row>
    <row r="626" spans="1:3" x14ac:dyDescent="0.2">
      <c r="A626">
        <f>IF(ISERROR(VLOOKUP(C626,Questions!$A$1:G$9999,7,0)),"",VLOOKUP(C626,Questions!$A$1:G$9999,7,0))</f>
        <v>1</v>
      </c>
      <c r="B626" s="17" t="str">
        <f t="shared" si="9"/>
        <v>Problem</v>
      </c>
      <c r="C626" s="30" t="s">
        <v>971</v>
      </c>
    </row>
    <row r="627" spans="1:3" x14ac:dyDescent="0.2">
      <c r="A627" t="str">
        <f>IF(ISERROR(VLOOKUP(C627,Questions!$A$1:G$9999,7,0)),"",VLOOKUP(C627,Questions!$A$1:G$9999,7,0))</f>
        <v/>
      </c>
      <c r="B627" s="17" t="str">
        <f t="shared" si="9"/>
        <v>Problem</v>
      </c>
      <c r="C627" s="29" t="s">
        <v>780</v>
      </c>
    </row>
    <row r="628" spans="1:3" x14ac:dyDescent="0.2">
      <c r="A628">
        <f>IF(ISERROR(VLOOKUP(C628,Questions!$A$1:G$9999,7,0)),"",VLOOKUP(C628,Questions!$A$1:G$9999,7,0))</f>
        <v>2</v>
      </c>
      <c r="B628" s="17" t="str">
        <f t="shared" si="9"/>
        <v>Problem</v>
      </c>
      <c r="C628" s="30" t="s">
        <v>972</v>
      </c>
    </row>
    <row r="629" spans="1:3" x14ac:dyDescent="0.2">
      <c r="A629">
        <f>IF(ISERROR(VLOOKUP(C629,Questions!$A$1:G$9999,7,0)),"",VLOOKUP(C629,Questions!$A$1:G$9999,7,0))</f>
        <v>1</v>
      </c>
      <c r="B629" s="17" t="str">
        <f t="shared" si="9"/>
        <v>Problem</v>
      </c>
      <c r="C629" s="30" t="s">
        <v>973</v>
      </c>
    </row>
    <row r="630" spans="1:3" x14ac:dyDescent="0.2">
      <c r="A630">
        <f>IF(ISERROR(VLOOKUP(C630,Questions!$A$1:G$9999,7,0)),"",VLOOKUP(C630,Questions!$A$1:G$9999,7,0))</f>
        <v>4</v>
      </c>
      <c r="B630" s="17" t="str">
        <f t="shared" si="9"/>
        <v>Problem</v>
      </c>
      <c r="C630" s="30" t="s">
        <v>974</v>
      </c>
    </row>
    <row r="631" spans="1:3" x14ac:dyDescent="0.2">
      <c r="A631">
        <f>IF(ISERROR(VLOOKUP(C631,Questions!$A$1:G$9999,7,0)),"",VLOOKUP(C631,Questions!$A$1:G$9999,7,0))</f>
        <v>2</v>
      </c>
      <c r="B631" s="17" t="str">
        <f t="shared" si="9"/>
        <v>Problem</v>
      </c>
      <c r="C631" s="30" t="s">
        <v>975</v>
      </c>
    </row>
    <row r="632" spans="1:3" x14ac:dyDescent="0.2">
      <c r="A632">
        <f>IF(ISERROR(VLOOKUP(C632,Questions!$A$1:G$9999,7,0)),"",VLOOKUP(C632,Questions!$A$1:G$9999,7,0))</f>
        <v>2</v>
      </c>
      <c r="B632" s="17" t="str">
        <f t="shared" si="9"/>
        <v>Problem</v>
      </c>
      <c r="C632" s="30" t="s">
        <v>976</v>
      </c>
    </row>
    <row r="633" spans="1:3" x14ac:dyDescent="0.2">
      <c r="A633" t="str">
        <f>IF(ISERROR(VLOOKUP(C633,Questions!$A$1:G$9999,7,0)),"",VLOOKUP(C633,Questions!$A$1:G$9999,7,0))</f>
        <v/>
      </c>
      <c r="B633" s="17" t="str">
        <f t="shared" si="9"/>
        <v>Problem</v>
      </c>
      <c r="C633" s="29" t="s">
        <v>781</v>
      </c>
    </row>
    <row r="634" spans="1:3" x14ac:dyDescent="0.2">
      <c r="A634">
        <f>IF(ISERROR(VLOOKUP(C634,Questions!$A$1:G$9999,7,0)),"",VLOOKUP(C634,Questions!$A$1:G$9999,7,0))</f>
        <v>4</v>
      </c>
      <c r="B634" s="17" t="str">
        <f t="shared" si="9"/>
        <v>Problem</v>
      </c>
      <c r="C634" s="30" t="s">
        <v>977</v>
      </c>
    </row>
    <row r="635" spans="1:3" x14ac:dyDescent="0.2">
      <c r="A635">
        <f>IF(ISERROR(VLOOKUP(C635,Questions!$A$1:G$9999,7,0)),"",VLOOKUP(C635,Questions!$A$1:G$9999,7,0))</f>
        <v>1</v>
      </c>
      <c r="B635" s="17" t="str">
        <f t="shared" si="9"/>
        <v>Problem</v>
      </c>
      <c r="C635" s="30" t="s">
        <v>978</v>
      </c>
    </row>
    <row r="636" spans="1:3" x14ac:dyDescent="0.2">
      <c r="A636">
        <f>IF(ISERROR(VLOOKUP(C636,Questions!$A$1:G$9999,7,0)),"",VLOOKUP(C636,Questions!$A$1:G$9999,7,0))</f>
        <v>4</v>
      </c>
      <c r="B636" s="17" t="str">
        <f t="shared" si="9"/>
        <v>Problem</v>
      </c>
      <c r="C636" s="30" t="s">
        <v>979</v>
      </c>
    </row>
    <row r="637" spans="1:3" x14ac:dyDescent="0.2">
      <c r="A637">
        <f>IF(ISERROR(VLOOKUP(C637,Questions!$A$1:G$9999,7,0)),"",VLOOKUP(C637,Questions!$A$1:G$9999,7,0))</f>
        <v>3</v>
      </c>
      <c r="B637" s="17" t="str">
        <f t="shared" si="9"/>
        <v>Problem</v>
      </c>
      <c r="C637" s="30" t="s">
        <v>980</v>
      </c>
    </row>
    <row r="638" spans="1:3" x14ac:dyDescent="0.2">
      <c r="A638">
        <f>IF(ISERROR(VLOOKUP(C638,Questions!$A$1:G$9999,7,0)),"",VLOOKUP(C638,Questions!$A$1:G$9999,7,0))</f>
        <v>4</v>
      </c>
      <c r="B638" s="17" t="str">
        <f t="shared" si="9"/>
        <v>Problem</v>
      </c>
      <c r="C638" s="30" t="s">
        <v>981</v>
      </c>
    </row>
    <row r="639" spans="1:3" x14ac:dyDescent="0.2">
      <c r="A639">
        <f>IF(ISERROR(VLOOKUP(C639,Questions!$A$1:G$9999,7,0)),"",VLOOKUP(C639,Questions!$A$1:G$9999,7,0))</f>
        <v>3</v>
      </c>
      <c r="B639" s="17" t="str">
        <f t="shared" si="9"/>
        <v>Problem</v>
      </c>
      <c r="C639" s="30" t="s">
        <v>982</v>
      </c>
    </row>
    <row r="640" spans="1:3" x14ac:dyDescent="0.2">
      <c r="A640">
        <f>IF(ISERROR(VLOOKUP(C640,Questions!$A$1:G$9999,7,0)),"",VLOOKUP(C640,Questions!$A$1:G$9999,7,0))</f>
        <v>4</v>
      </c>
      <c r="B640" s="17" t="str">
        <f t="shared" si="9"/>
        <v>Problem</v>
      </c>
      <c r="C640" s="30" t="s">
        <v>983</v>
      </c>
    </row>
    <row r="641" spans="1:3" x14ac:dyDescent="0.2">
      <c r="A641" t="str">
        <f>IF(ISERROR(VLOOKUP(C641,Questions!$A$1:G$9999,7,0)),"",VLOOKUP(C641,Questions!$A$1:G$9999,7,0))</f>
        <v/>
      </c>
      <c r="B641" s="17" t="str">
        <f t="shared" si="9"/>
        <v>Problem</v>
      </c>
      <c r="C641" s="29" t="s">
        <v>826</v>
      </c>
    </row>
    <row r="642" spans="1:3" x14ac:dyDescent="0.2">
      <c r="A642">
        <f>IF(ISERROR(VLOOKUP(C642,Questions!$A$1:G$9999,7,0)),"",VLOOKUP(C642,Questions!$A$1:G$9999,7,0))</f>
        <v>4</v>
      </c>
      <c r="B642" s="17" t="str">
        <f t="shared" si="9"/>
        <v>Problem</v>
      </c>
      <c r="C642" s="30" t="s">
        <v>984</v>
      </c>
    </row>
    <row r="643" spans="1:3" x14ac:dyDescent="0.2">
      <c r="A643">
        <f>IF(ISERROR(VLOOKUP(C643,Questions!$A$1:G$9999,7,0)),"",VLOOKUP(C643,Questions!$A$1:G$9999,7,0))</f>
        <v>1</v>
      </c>
      <c r="B643" s="17" t="str">
        <f t="shared" si="9"/>
        <v>Problem</v>
      </c>
      <c r="C643" s="30" t="s">
        <v>985</v>
      </c>
    </row>
    <row r="644" spans="1:3" x14ac:dyDescent="0.2">
      <c r="A644">
        <f>IF(ISERROR(VLOOKUP(C644,Questions!$A$1:G$9999,7,0)),"",VLOOKUP(C644,Questions!$A$1:G$9999,7,0))</f>
        <v>4</v>
      </c>
      <c r="B644" s="17" t="str">
        <f t="shared" ref="B644:B707" si="10">HYPERLINK("http://www.mrhosey.com/RPhys/" &amp; C644 &amp; ".gif","Problem")</f>
        <v>Problem</v>
      </c>
      <c r="C644" s="30" t="s">
        <v>986</v>
      </c>
    </row>
    <row r="645" spans="1:3" x14ac:dyDescent="0.2">
      <c r="A645">
        <f>IF(ISERROR(VLOOKUP(C645,Questions!$A$1:G$9999,7,0)),"",VLOOKUP(C645,Questions!$A$1:G$9999,7,0))</f>
        <v>4</v>
      </c>
      <c r="B645" s="17" t="str">
        <f t="shared" si="10"/>
        <v>Problem</v>
      </c>
      <c r="C645" s="30" t="s">
        <v>987</v>
      </c>
    </row>
    <row r="646" spans="1:3" x14ac:dyDescent="0.2">
      <c r="A646">
        <f>IF(ISERROR(VLOOKUP(C646,Questions!$A$1:G$9999,7,0)),"",VLOOKUP(C646,Questions!$A$1:G$9999,7,0))</f>
        <v>1</v>
      </c>
      <c r="B646" s="17" t="str">
        <f t="shared" si="10"/>
        <v>Problem</v>
      </c>
      <c r="C646" s="30" t="s">
        <v>988</v>
      </c>
    </row>
    <row r="647" spans="1:3" x14ac:dyDescent="0.2">
      <c r="A647">
        <f>IF(ISERROR(VLOOKUP(C647,Questions!$A$1:G$9999,7,0)),"",VLOOKUP(C647,Questions!$A$1:G$9999,7,0))</f>
        <v>4</v>
      </c>
      <c r="B647" s="17" t="str">
        <f t="shared" si="10"/>
        <v>Problem</v>
      </c>
      <c r="C647" s="30" t="s">
        <v>989</v>
      </c>
    </row>
    <row r="648" spans="1:3" x14ac:dyDescent="0.2">
      <c r="A648">
        <f>IF(ISERROR(VLOOKUP(C648,Questions!$A$1:G$9999,7,0)),"",VLOOKUP(C648,Questions!$A$1:G$9999,7,0))</f>
        <v>3</v>
      </c>
      <c r="B648" s="17" t="str">
        <f t="shared" si="10"/>
        <v>Problem</v>
      </c>
      <c r="C648" s="30" t="s">
        <v>990</v>
      </c>
    </row>
    <row r="649" spans="1:3" x14ac:dyDescent="0.2">
      <c r="A649">
        <f>IF(ISERROR(VLOOKUP(C649,Questions!$A$1:G$9999,7,0)),"",VLOOKUP(C649,Questions!$A$1:G$9999,7,0))</f>
        <v>1</v>
      </c>
      <c r="B649" s="17" t="str">
        <f t="shared" si="10"/>
        <v>Problem</v>
      </c>
      <c r="C649" s="30" t="s">
        <v>991</v>
      </c>
    </row>
    <row r="650" spans="1:3" x14ac:dyDescent="0.2">
      <c r="A650">
        <f>IF(ISERROR(VLOOKUP(C650,Questions!$A$1:G$9999,7,0)),"",VLOOKUP(C650,Questions!$A$1:G$9999,7,0))</f>
        <v>1</v>
      </c>
      <c r="B650" s="17" t="str">
        <f t="shared" si="10"/>
        <v>Problem</v>
      </c>
      <c r="C650" s="30" t="s">
        <v>992</v>
      </c>
    </row>
    <row r="651" spans="1:3" x14ac:dyDescent="0.2">
      <c r="A651" t="str">
        <f>IF(ISERROR(VLOOKUP(C651,Questions!$A$1:G$9999,7,0)),"",VLOOKUP(C651,Questions!$A$1:G$9999,7,0))</f>
        <v/>
      </c>
      <c r="B651" s="17" t="str">
        <f t="shared" si="10"/>
        <v>Problem</v>
      </c>
      <c r="C651" s="29" t="s">
        <v>1195</v>
      </c>
    </row>
    <row r="652" spans="1:3" x14ac:dyDescent="0.2">
      <c r="A652">
        <f>IF(ISERROR(VLOOKUP(C652,Questions!$A$1:G$9999,7,0)),"",VLOOKUP(C652,Questions!$A$1:G$9999,7,0))</f>
        <v>2</v>
      </c>
      <c r="B652" s="17" t="str">
        <f t="shared" si="10"/>
        <v>Problem</v>
      </c>
      <c r="C652" s="30" t="s">
        <v>1216</v>
      </c>
    </row>
    <row r="653" spans="1:3" x14ac:dyDescent="0.2">
      <c r="A653">
        <f>IF(ISERROR(VLOOKUP(C653,Questions!$A$1:G$9999,7,0)),"",VLOOKUP(C653,Questions!$A$1:G$9999,7,0))</f>
        <v>2</v>
      </c>
      <c r="B653" s="17" t="str">
        <f t="shared" si="10"/>
        <v>Problem</v>
      </c>
      <c r="C653" s="30" t="s">
        <v>1217</v>
      </c>
    </row>
    <row r="654" spans="1:3" x14ac:dyDescent="0.2">
      <c r="A654">
        <f>IF(ISERROR(VLOOKUP(C654,Questions!$A$1:G$9999,7,0)),"",VLOOKUP(C654,Questions!$A$1:G$9999,7,0))</f>
        <v>4</v>
      </c>
      <c r="B654" s="17" t="str">
        <f t="shared" si="10"/>
        <v>Problem</v>
      </c>
      <c r="C654" s="30" t="s">
        <v>1218</v>
      </c>
    </row>
    <row r="655" spans="1:3" x14ac:dyDescent="0.2">
      <c r="A655">
        <f>IF(ISERROR(VLOOKUP(C655,Questions!$A$1:G$9999,7,0)),"",VLOOKUP(C655,Questions!$A$1:G$9999,7,0))</f>
        <v>1</v>
      </c>
      <c r="B655" s="17" t="str">
        <f t="shared" si="10"/>
        <v>Problem</v>
      </c>
      <c r="C655" s="30" t="s">
        <v>1219</v>
      </c>
    </row>
    <row r="656" spans="1:3" x14ac:dyDescent="0.2">
      <c r="A656">
        <f>IF(ISERROR(VLOOKUP(C656,Questions!$A$1:G$9999,7,0)),"",VLOOKUP(C656,Questions!$A$1:G$9999,7,0))</f>
        <v>4</v>
      </c>
      <c r="B656" s="17" t="str">
        <f t="shared" si="10"/>
        <v>Problem</v>
      </c>
      <c r="C656" s="30" t="s">
        <v>1220</v>
      </c>
    </row>
    <row r="657" spans="1:3" x14ac:dyDescent="0.2">
      <c r="A657">
        <f>IF(ISERROR(VLOOKUP(C657,Questions!$A$1:G$9999,7,0)),"",VLOOKUP(C657,Questions!$A$1:G$9999,7,0))</f>
        <v>2</v>
      </c>
      <c r="B657" s="17" t="str">
        <f t="shared" si="10"/>
        <v>Problem</v>
      </c>
      <c r="C657" s="30" t="s">
        <v>1221</v>
      </c>
    </row>
    <row r="658" spans="1:3" x14ac:dyDescent="0.2">
      <c r="A658">
        <f>IF(ISERROR(VLOOKUP(C658,Questions!$A$1:G$9999,7,0)),"",VLOOKUP(C658,Questions!$A$1:G$9999,7,0))</f>
        <v>2</v>
      </c>
      <c r="B658" s="17" t="str">
        <f t="shared" si="10"/>
        <v>Problem</v>
      </c>
      <c r="C658" s="30" t="s">
        <v>1222</v>
      </c>
    </row>
    <row r="659" spans="1:3" x14ac:dyDescent="0.2">
      <c r="A659" t="str">
        <f>IF(ISERROR(VLOOKUP(C659,Questions!$A$1:G$9999,7,0)),"",VLOOKUP(C659,Questions!$A$1:G$9999,7,0))</f>
        <v/>
      </c>
      <c r="B659" s="17" t="str">
        <f t="shared" si="10"/>
        <v>Problem</v>
      </c>
      <c r="C659" s="12" t="s">
        <v>6</v>
      </c>
    </row>
    <row r="660" spans="1:3" x14ac:dyDescent="0.2">
      <c r="A660" t="str">
        <f>IF(ISERROR(VLOOKUP(C660,Questions!$A$1:G$9999,7,0)),"",VLOOKUP(C660,Questions!$A$1:G$9999,7,0))</f>
        <v/>
      </c>
      <c r="B660" s="17" t="str">
        <f t="shared" si="10"/>
        <v>Problem</v>
      </c>
      <c r="C660" s="29" t="s">
        <v>785</v>
      </c>
    </row>
    <row r="661" spans="1:3" x14ac:dyDescent="0.2">
      <c r="A661">
        <f>IF(ISERROR(VLOOKUP(C661,Questions!$A$1:G$9999,7,0)),"",VLOOKUP(C661,Questions!$A$1:G$9999,7,0))</f>
        <v>2</v>
      </c>
      <c r="B661" s="17" t="str">
        <f t="shared" si="10"/>
        <v>Problem</v>
      </c>
      <c r="C661" s="30" t="s">
        <v>22</v>
      </c>
    </row>
    <row r="662" spans="1:3" x14ac:dyDescent="0.2">
      <c r="A662">
        <f>IF(ISERROR(VLOOKUP(C662,Questions!$A$1:G$9999,7,0)),"",VLOOKUP(C662,Questions!$A$1:G$9999,7,0))</f>
        <v>1</v>
      </c>
      <c r="B662" s="17" t="str">
        <f t="shared" si="10"/>
        <v>Problem</v>
      </c>
      <c r="C662" s="30" t="s">
        <v>23</v>
      </c>
    </row>
    <row r="663" spans="1:3" x14ac:dyDescent="0.2">
      <c r="A663">
        <f>IF(ISERROR(VLOOKUP(C663,Questions!$A$1:G$9999,7,0)),"",VLOOKUP(C663,Questions!$A$1:G$9999,7,0))</f>
        <v>1</v>
      </c>
      <c r="B663" s="17" t="str">
        <f t="shared" si="10"/>
        <v>Problem</v>
      </c>
      <c r="C663" s="30" t="s">
        <v>24</v>
      </c>
    </row>
    <row r="664" spans="1:3" x14ac:dyDescent="0.2">
      <c r="A664" t="str">
        <f>IF(ISERROR(VLOOKUP(C664,Questions!$A$1:G$9999,7,0)),"",VLOOKUP(C664,Questions!$A$1:G$9999,7,0))</f>
        <v/>
      </c>
      <c r="B664" s="17" t="str">
        <f t="shared" si="10"/>
        <v>Problem</v>
      </c>
      <c r="C664" s="29" t="s">
        <v>787</v>
      </c>
    </row>
    <row r="665" spans="1:3" x14ac:dyDescent="0.2">
      <c r="A665">
        <f>IF(ISERROR(VLOOKUP(C665,Questions!$A$1:G$9999,7,0)),"",VLOOKUP(C665,Questions!$A$1:G$9999,7,0))</f>
        <v>3</v>
      </c>
      <c r="B665" s="17" t="str">
        <f t="shared" si="10"/>
        <v>Problem</v>
      </c>
      <c r="C665" s="30" t="s">
        <v>73</v>
      </c>
    </row>
    <row r="666" spans="1:3" x14ac:dyDescent="0.2">
      <c r="A666">
        <f>IF(ISERROR(VLOOKUP(C666,Questions!$A$1:G$9999,7,0)),"",VLOOKUP(C666,Questions!$A$1:G$9999,7,0))</f>
        <v>2</v>
      </c>
      <c r="B666" s="17" t="str">
        <f t="shared" si="10"/>
        <v>Problem</v>
      </c>
      <c r="C666" s="30" t="s">
        <v>993</v>
      </c>
    </row>
    <row r="667" spans="1:3" x14ac:dyDescent="0.2">
      <c r="A667" t="str">
        <f>IF(ISERROR(VLOOKUP(C667,Questions!$A$1:G$9999,7,0)),"",VLOOKUP(C667,Questions!$A$1:G$9999,7,0))</f>
        <v/>
      </c>
      <c r="B667" s="17" t="str">
        <f t="shared" si="10"/>
        <v>Problem</v>
      </c>
      <c r="C667" s="29" t="s">
        <v>789</v>
      </c>
    </row>
    <row r="668" spans="1:3" x14ac:dyDescent="0.2">
      <c r="A668">
        <f>IF(ISERROR(VLOOKUP(C668,Questions!$A$1:G$9999,7,0)),"",VLOOKUP(C668,Questions!$A$1:G$9999,7,0))</f>
        <v>4</v>
      </c>
      <c r="B668" s="17" t="str">
        <f t="shared" si="10"/>
        <v>Problem</v>
      </c>
      <c r="C668" s="30" t="s">
        <v>88</v>
      </c>
    </row>
    <row r="669" spans="1:3" x14ac:dyDescent="0.2">
      <c r="A669">
        <f>IF(ISERROR(VLOOKUP(C669,Questions!$A$1:G$9999,7,0)),"",VLOOKUP(C669,Questions!$A$1:G$9999,7,0))</f>
        <v>3</v>
      </c>
      <c r="B669" s="17" t="str">
        <f t="shared" si="10"/>
        <v>Problem</v>
      </c>
      <c r="C669" s="30" t="s">
        <v>94</v>
      </c>
    </row>
    <row r="670" spans="1:3" x14ac:dyDescent="0.2">
      <c r="A670" t="str">
        <f>IF(ISERROR(VLOOKUP(C670,Questions!$A$1:G$9999,7,0)),"",VLOOKUP(C670,Questions!$A$1:G$9999,7,0))</f>
        <v/>
      </c>
      <c r="B670" s="17" t="str">
        <f t="shared" si="10"/>
        <v>Problem</v>
      </c>
      <c r="C670" s="29" t="s">
        <v>793</v>
      </c>
    </row>
    <row r="671" spans="1:3" x14ac:dyDescent="0.2">
      <c r="A671">
        <f>IF(ISERROR(VLOOKUP(C671,Questions!$A$1:G$9999,7,0)),"",VLOOKUP(C671,Questions!$A$1:G$9999,7,0))</f>
        <v>3</v>
      </c>
      <c r="B671" s="17" t="str">
        <f t="shared" si="10"/>
        <v>Problem</v>
      </c>
      <c r="C671" s="30" t="s">
        <v>128</v>
      </c>
    </row>
    <row r="672" spans="1:3" x14ac:dyDescent="0.2">
      <c r="A672">
        <f>IF(ISERROR(VLOOKUP(C672,Questions!$A$1:G$9999,7,0)),"",VLOOKUP(C672,Questions!$A$1:G$9999,7,0))</f>
        <v>4</v>
      </c>
      <c r="B672" s="17" t="str">
        <f t="shared" si="10"/>
        <v>Problem</v>
      </c>
      <c r="C672" s="30" t="s">
        <v>129</v>
      </c>
    </row>
    <row r="673" spans="1:3" x14ac:dyDescent="0.2">
      <c r="A673" t="str">
        <f>IF(ISERROR(VLOOKUP(C673,Questions!$A$1:G$9999,7,0)),"",VLOOKUP(C673,Questions!$A$1:G$9999,7,0))</f>
        <v/>
      </c>
      <c r="B673" s="17" t="str">
        <f t="shared" si="10"/>
        <v>Problem</v>
      </c>
      <c r="C673" s="29" t="s">
        <v>795</v>
      </c>
    </row>
    <row r="674" spans="1:3" x14ac:dyDescent="0.2">
      <c r="A674">
        <f>IF(ISERROR(VLOOKUP(C674,Questions!$A$1:G$9999,7,0)),"",VLOOKUP(C674,Questions!$A$1:G$9999,7,0))</f>
        <v>3</v>
      </c>
      <c r="B674" s="17" t="str">
        <f t="shared" si="10"/>
        <v>Problem</v>
      </c>
      <c r="C674" s="30" t="s">
        <v>162</v>
      </c>
    </row>
    <row r="675" spans="1:3" x14ac:dyDescent="0.2">
      <c r="A675">
        <f>IF(ISERROR(VLOOKUP(C675,Questions!$A$1:G$9999,7,0)),"",VLOOKUP(C675,Questions!$A$1:G$9999,7,0))</f>
        <v>2</v>
      </c>
      <c r="B675" s="17" t="str">
        <f t="shared" si="10"/>
        <v>Problem</v>
      </c>
      <c r="C675" s="30" t="s">
        <v>163</v>
      </c>
    </row>
    <row r="676" spans="1:3" x14ac:dyDescent="0.2">
      <c r="A676" t="str">
        <f>IF(ISERROR(VLOOKUP(C676,Questions!$A$1:G$9999,7,0)),"",VLOOKUP(C676,Questions!$A$1:G$9999,7,0))</f>
        <v/>
      </c>
      <c r="B676" s="17" t="str">
        <f t="shared" si="10"/>
        <v>Problem</v>
      </c>
      <c r="C676" s="29" t="s">
        <v>797</v>
      </c>
    </row>
    <row r="677" spans="1:3" x14ac:dyDescent="0.2">
      <c r="A677">
        <f>IF(ISERROR(VLOOKUP(C677,Questions!$A$1:G$9999,7,0)),"",VLOOKUP(C677,Questions!$A$1:G$9999,7,0))</f>
        <v>1</v>
      </c>
      <c r="B677" s="17" t="str">
        <f t="shared" si="10"/>
        <v>Problem</v>
      </c>
      <c r="C677" s="30" t="s">
        <v>195</v>
      </c>
    </row>
    <row r="678" spans="1:3" x14ac:dyDescent="0.2">
      <c r="A678">
        <f>IF(ISERROR(VLOOKUP(C678,Questions!$A$1:G$9999,7,0)),"",VLOOKUP(C678,Questions!$A$1:G$9999,7,0))</f>
        <v>4</v>
      </c>
      <c r="B678" s="17" t="str">
        <f t="shared" si="10"/>
        <v>Problem</v>
      </c>
      <c r="C678" s="30" t="s">
        <v>196</v>
      </c>
    </row>
    <row r="679" spans="1:3" x14ac:dyDescent="0.2">
      <c r="A679" t="str">
        <f>IF(ISERROR(VLOOKUP(C679,Questions!$A$1:G$9999,7,0)),"",VLOOKUP(C679,Questions!$A$1:G$9999,7,0))</f>
        <v/>
      </c>
      <c r="B679" s="17" t="str">
        <f t="shared" si="10"/>
        <v>Problem</v>
      </c>
      <c r="C679" s="29" t="s">
        <v>799</v>
      </c>
    </row>
    <row r="680" spans="1:3" x14ac:dyDescent="0.2">
      <c r="A680">
        <f>IF(ISERROR(VLOOKUP(C680,Questions!$A$1:G$9999,7,0)),"",VLOOKUP(C680,Questions!$A$1:G$9999,7,0))</f>
        <v>2</v>
      </c>
      <c r="B680" s="17" t="str">
        <f t="shared" si="10"/>
        <v>Problem</v>
      </c>
      <c r="C680" s="30" t="s">
        <v>225</v>
      </c>
    </row>
    <row r="681" spans="1:3" x14ac:dyDescent="0.2">
      <c r="A681">
        <f>IF(ISERROR(VLOOKUP(C681,Questions!$A$1:G$9999,7,0)),"",VLOOKUP(C681,Questions!$A$1:G$9999,7,0))</f>
        <v>1</v>
      </c>
      <c r="B681" s="17" t="str">
        <f t="shared" si="10"/>
        <v>Problem</v>
      </c>
      <c r="C681" s="30" t="s">
        <v>228</v>
      </c>
    </row>
    <row r="682" spans="1:3" x14ac:dyDescent="0.2">
      <c r="A682" t="str">
        <f>IF(ISERROR(VLOOKUP(C682,Questions!$A$1:G$9999,7,0)),"",VLOOKUP(C682,Questions!$A$1:G$9999,7,0))</f>
        <v/>
      </c>
      <c r="B682" s="17" t="str">
        <f t="shared" si="10"/>
        <v>Problem</v>
      </c>
      <c r="C682" s="29" t="s">
        <v>801</v>
      </c>
    </row>
    <row r="683" spans="1:3" x14ac:dyDescent="0.2">
      <c r="A683">
        <f>IF(ISERROR(VLOOKUP(C683,Questions!$A$1:G$9999,7,0)),"",VLOOKUP(C683,Questions!$A$1:G$9999,7,0))</f>
        <v>3</v>
      </c>
      <c r="B683" s="17" t="str">
        <f t="shared" si="10"/>
        <v>Problem</v>
      </c>
      <c r="C683" s="30" t="s">
        <v>257</v>
      </c>
    </row>
    <row r="684" spans="1:3" x14ac:dyDescent="0.2">
      <c r="A684">
        <f>IF(ISERROR(VLOOKUP(C684,Questions!$A$1:G$9999,7,0)),"",VLOOKUP(C684,Questions!$A$1:G$9999,7,0))</f>
        <v>3</v>
      </c>
      <c r="B684" s="17" t="str">
        <f t="shared" si="10"/>
        <v>Problem</v>
      </c>
      <c r="C684" s="30" t="s">
        <v>262</v>
      </c>
    </row>
    <row r="685" spans="1:3" x14ac:dyDescent="0.2">
      <c r="A685" t="str">
        <f>IF(ISERROR(VLOOKUP(C685,Questions!$A$1:G$9999,7,0)),"",VLOOKUP(C685,Questions!$A$1:G$9999,7,0))</f>
        <v/>
      </c>
      <c r="B685" s="17" t="str">
        <f t="shared" si="10"/>
        <v>Problem</v>
      </c>
      <c r="C685" s="29" t="s">
        <v>802</v>
      </c>
    </row>
    <row r="686" spans="1:3" x14ac:dyDescent="0.2">
      <c r="A686">
        <f>IF(ISERROR(VLOOKUP(C686,Questions!$A$1:G$9999,7,0)),"",VLOOKUP(C686,Questions!$A$1:G$9999,7,0))</f>
        <v>2</v>
      </c>
      <c r="B686" s="17" t="str">
        <f t="shared" si="10"/>
        <v>Problem</v>
      </c>
      <c r="C686" s="30" t="s">
        <v>296</v>
      </c>
    </row>
    <row r="687" spans="1:3" x14ac:dyDescent="0.2">
      <c r="A687">
        <f>IF(ISERROR(VLOOKUP(C687,Questions!$A$1:G$9999,7,0)),"",VLOOKUP(C687,Questions!$A$1:G$9999,7,0))</f>
        <v>2</v>
      </c>
      <c r="B687" s="17" t="str">
        <f t="shared" si="10"/>
        <v>Problem</v>
      </c>
      <c r="C687" s="30" t="s">
        <v>302</v>
      </c>
    </row>
    <row r="688" spans="1:3" x14ac:dyDescent="0.2">
      <c r="A688">
        <f>IF(ISERROR(VLOOKUP(C688,Questions!$A$1:G$9999,7,0)),"",VLOOKUP(C688,Questions!$A$1:G$9999,7,0))</f>
        <v>4</v>
      </c>
      <c r="B688" s="17" t="str">
        <f t="shared" si="10"/>
        <v>Problem</v>
      </c>
      <c r="C688" s="30" t="s">
        <v>994</v>
      </c>
    </row>
    <row r="689" spans="1:3" x14ac:dyDescent="0.2">
      <c r="A689" t="str">
        <f>IF(ISERROR(VLOOKUP(C689,Questions!$A$1:G$9999,7,0)),"",VLOOKUP(C689,Questions!$A$1:G$9999,7,0))</f>
        <v/>
      </c>
      <c r="B689" s="17" t="str">
        <f t="shared" si="10"/>
        <v>Problem</v>
      </c>
      <c r="C689" s="29" t="s">
        <v>803</v>
      </c>
    </row>
    <row r="690" spans="1:3" x14ac:dyDescent="0.2">
      <c r="A690">
        <f>IF(ISERROR(VLOOKUP(C690,Questions!$A$1:G$9999,7,0)),"",VLOOKUP(C690,Questions!$A$1:G$9999,7,0))</f>
        <v>3</v>
      </c>
      <c r="B690" s="17" t="str">
        <f t="shared" si="10"/>
        <v>Problem</v>
      </c>
      <c r="C690" s="30" t="s">
        <v>335</v>
      </c>
    </row>
    <row r="691" spans="1:3" x14ac:dyDescent="0.2">
      <c r="A691">
        <f>IF(ISERROR(VLOOKUP(C691,Questions!$A$1:G$9999,7,0)),"",VLOOKUP(C691,Questions!$A$1:G$9999,7,0))</f>
        <v>4</v>
      </c>
      <c r="B691" s="17" t="str">
        <f t="shared" si="10"/>
        <v>Problem</v>
      </c>
      <c r="C691" s="30" t="s">
        <v>995</v>
      </c>
    </row>
    <row r="692" spans="1:3" x14ac:dyDescent="0.2">
      <c r="A692">
        <f>IF(ISERROR(VLOOKUP(C692,Questions!$A$1:G$9999,7,0)),"",VLOOKUP(C692,Questions!$A$1:G$9999,7,0))</f>
        <v>1</v>
      </c>
      <c r="B692" s="17" t="str">
        <f t="shared" si="10"/>
        <v>Problem</v>
      </c>
      <c r="C692" s="30" t="s">
        <v>996</v>
      </c>
    </row>
    <row r="693" spans="1:3" x14ac:dyDescent="0.2">
      <c r="A693" t="str">
        <f>IF(ISERROR(VLOOKUP(C693,Questions!$A$1:G$9999,7,0)),"",VLOOKUP(C693,Questions!$A$1:G$9999,7,0))</f>
        <v/>
      </c>
      <c r="B693" s="17" t="str">
        <f t="shared" si="10"/>
        <v>Problem</v>
      </c>
      <c r="C693" s="29" t="s">
        <v>805</v>
      </c>
    </row>
    <row r="694" spans="1:3" x14ac:dyDescent="0.2">
      <c r="A694">
        <f>IF(ISERROR(VLOOKUP(C694,Questions!$A$1:G$9999,7,0)),"",VLOOKUP(C694,Questions!$A$1:G$9999,7,0))</f>
        <v>3</v>
      </c>
      <c r="B694" s="17" t="str">
        <f t="shared" si="10"/>
        <v>Problem</v>
      </c>
      <c r="C694" s="30" t="s">
        <v>369</v>
      </c>
    </row>
    <row r="695" spans="1:3" x14ac:dyDescent="0.2">
      <c r="A695">
        <f>IF(ISERROR(VLOOKUP(C695,Questions!$A$1:G$9999,7,0)),"",VLOOKUP(C695,Questions!$A$1:G$9999,7,0))</f>
        <v>4</v>
      </c>
      <c r="B695" s="17" t="str">
        <f t="shared" si="10"/>
        <v>Problem</v>
      </c>
      <c r="C695" s="30" t="s">
        <v>372</v>
      </c>
    </row>
    <row r="696" spans="1:3" x14ac:dyDescent="0.2">
      <c r="A696">
        <f>IF(ISERROR(VLOOKUP(C696,Questions!$A$1:G$9999,7,0)),"",VLOOKUP(C696,Questions!$A$1:G$9999,7,0))</f>
        <v>2</v>
      </c>
      <c r="B696" s="17" t="str">
        <f t="shared" si="10"/>
        <v>Problem</v>
      </c>
      <c r="C696" s="30" t="s">
        <v>380</v>
      </c>
    </row>
    <row r="697" spans="1:3" x14ac:dyDescent="0.2">
      <c r="A697" t="str">
        <f>IF(ISERROR(VLOOKUP(C697,Questions!$A$1:G$9999,7,0)),"",VLOOKUP(C697,Questions!$A$1:G$9999,7,0))</f>
        <v/>
      </c>
      <c r="B697" s="17" t="str">
        <f t="shared" si="10"/>
        <v>Problem</v>
      </c>
      <c r="C697" s="29" t="s">
        <v>807</v>
      </c>
    </row>
    <row r="698" spans="1:3" x14ac:dyDescent="0.2">
      <c r="A698">
        <f>IF(ISERROR(VLOOKUP(C698,Questions!$A$1:G$9999,7,0)),"",VLOOKUP(C698,Questions!$A$1:G$9999,7,0))</f>
        <v>3</v>
      </c>
      <c r="B698" s="17" t="str">
        <f t="shared" si="10"/>
        <v>Problem</v>
      </c>
      <c r="C698" s="30" t="s">
        <v>405</v>
      </c>
    </row>
    <row r="699" spans="1:3" x14ac:dyDescent="0.2">
      <c r="A699">
        <f>IF(ISERROR(VLOOKUP(C699,Questions!$A$1:G$9999,7,0)),"",VLOOKUP(C699,Questions!$A$1:G$9999,7,0))</f>
        <v>2</v>
      </c>
      <c r="B699" s="17" t="str">
        <f t="shared" si="10"/>
        <v>Problem</v>
      </c>
      <c r="C699" s="30" t="s">
        <v>997</v>
      </c>
    </row>
    <row r="700" spans="1:3" x14ac:dyDescent="0.2">
      <c r="A700" t="str">
        <f>IF(ISERROR(VLOOKUP(C700,Questions!$A$1:G$9999,7,0)),"",VLOOKUP(C700,Questions!$A$1:G$9999,7,0))</f>
        <v/>
      </c>
      <c r="B700" s="17" t="str">
        <f t="shared" si="10"/>
        <v>Problem</v>
      </c>
      <c r="C700" s="29" t="s">
        <v>808</v>
      </c>
    </row>
    <row r="701" spans="1:3" x14ac:dyDescent="0.2">
      <c r="A701">
        <f>IF(ISERROR(VLOOKUP(C701,Questions!$A$1:G$9999,7,0)),"",VLOOKUP(C701,Questions!$A$1:G$9999,7,0))</f>
        <v>2</v>
      </c>
      <c r="B701" s="17" t="str">
        <f t="shared" si="10"/>
        <v>Problem</v>
      </c>
      <c r="C701" s="30" t="s">
        <v>442</v>
      </c>
    </row>
    <row r="702" spans="1:3" x14ac:dyDescent="0.2">
      <c r="A702">
        <f>IF(ISERROR(VLOOKUP(C702,Questions!$A$1:G$9999,7,0)),"",VLOOKUP(C702,Questions!$A$1:G$9999,7,0))</f>
        <v>4</v>
      </c>
      <c r="B702" s="17" t="str">
        <f t="shared" si="10"/>
        <v>Problem</v>
      </c>
      <c r="C702" s="30" t="s">
        <v>443</v>
      </c>
    </row>
    <row r="703" spans="1:3" x14ac:dyDescent="0.2">
      <c r="A703">
        <f>IF(ISERROR(VLOOKUP(C703,Questions!$A$1:G$9999,7,0)),"",VLOOKUP(C703,Questions!$A$1:G$9999,7,0))</f>
        <v>3</v>
      </c>
      <c r="B703" s="17" t="str">
        <f t="shared" si="10"/>
        <v>Problem</v>
      </c>
      <c r="C703" s="30" t="s">
        <v>444</v>
      </c>
    </row>
    <row r="704" spans="1:3" x14ac:dyDescent="0.2">
      <c r="A704">
        <f>IF(ISERROR(VLOOKUP(C704,Questions!$A$1:G$9999,7,0)),"",VLOOKUP(C704,Questions!$A$1:G$9999,7,0))</f>
        <v>1</v>
      </c>
      <c r="B704" s="17" t="str">
        <f t="shared" si="10"/>
        <v>Problem</v>
      </c>
      <c r="C704" s="30" t="s">
        <v>998</v>
      </c>
    </row>
    <row r="705" spans="1:3" x14ac:dyDescent="0.2">
      <c r="A705">
        <f>IF(ISERROR(VLOOKUP(C705,Questions!$A$1:G$9999,7,0)),"",VLOOKUP(C705,Questions!$A$1:G$9999,7,0))</f>
        <v>4</v>
      </c>
      <c r="B705" s="17" t="str">
        <f t="shared" si="10"/>
        <v>Problem</v>
      </c>
      <c r="C705" s="30" t="s">
        <v>999</v>
      </c>
    </row>
    <row r="706" spans="1:3" x14ac:dyDescent="0.2">
      <c r="A706" t="str">
        <f>IF(ISERROR(VLOOKUP(C706,Questions!$A$1:G$9999,7,0)),"",VLOOKUP(C706,Questions!$A$1:G$9999,7,0))</f>
        <v/>
      </c>
      <c r="B706" s="17" t="str">
        <f t="shared" si="10"/>
        <v>Problem</v>
      </c>
      <c r="C706" s="29" t="s">
        <v>810</v>
      </c>
    </row>
    <row r="707" spans="1:3" x14ac:dyDescent="0.2">
      <c r="A707">
        <f>IF(ISERROR(VLOOKUP(C707,Questions!$A$1:G$9999,7,0)),"",VLOOKUP(C707,Questions!$A$1:G$9999,7,0))</f>
        <v>2</v>
      </c>
      <c r="B707" s="17" t="str">
        <f t="shared" si="10"/>
        <v>Problem</v>
      </c>
      <c r="C707" s="30" t="s">
        <v>480</v>
      </c>
    </row>
    <row r="708" spans="1:3" x14ac:dyDescent="0.2">
      <c r="A708">
        <f>IF(ISERROR(VLOOKUP(C708,Questions!$A$1:G$9999,7,0)),"",VLOOKUP(C708,Questions!$A$1:G$9999,7,0))</f>
        <v>3</v>
      </c>
      <c r="B708" s="17" t="str">
        <f t="shared" ref="B708:B771" si="11">HYPERLINK("http://www.mrhosey.com/RPhys/" &amp; C708 &amp; ".gif","Problem")</f>
        <v>Problem</v>
      </c>
      <c r="C708" s="30" t="s">
        <v>481</v>
      </c>
    </row>
    <row r="709" spans="1:3" x14ac:dyDescent="0.2">
      <c r="A709">
        <f>IF(ISERROR(VLOOKUP(C709,Questions!$A$1:G$9999,7,0)),"",VLOOKUP(C709,Questions!$A$1:G$9999,7,0))</f>
        <v>4</v>
      </c>
      <c r="B709" s="17" t="str">
        <f t="shared" si="11"/>
        <v>Problem</v>
      </c>
      <c r="C709" s="30" t="s">
        <v>1000</v>
      </c>
    </row>
    <row r="710" spans="1:3" x14ac:dyDescent="0.2">
      <c r="A710" t="str">
        <f>IF(ISERROR(VLOOKUP(C710,Questions!$A$1:G$9999,7,0)),"",VLOOKUP(C710,Questions!$A$1:G$9999,7,0))</f>
        <v/>
      </c>
      <c r="B710" s="17" t="str">
        <f t="shared" si="11"/>
        <v>Problem</v>
      </c>
      <c r="C710" s="29" t="s">
        <v>777</v>
      </c>
    </row>
    <row r="711" spans="1:3" x14ac:dyDescent="0.2">
      <c r="A711">
        <f>IF(ISERROR(VLOOKUP(C711,Questions!$A$1:G$9999,7,0)),"",VLOOKUP(C711,Questions!$A$1:G$9999,7,0))</f>
        <v>4</v>
      </c>
      <c r="B711" s="17" t="str">
        <f t="shared" si="11"/>
        <v>Problem</v>
      </c>
      <c r="C711" s="30" t="s">
        <v>1001</v>
      </c>
    </row>
    <row r="712" spans="1:3" x14ac:dyDescent="0.2">
      <c r="A712" t="str">
        <f>IF(ISERROR(VLOOKUP(C712,Questions!$A$1:G$9999,7,0)),"",VLOOKUP(C712,Questions!$A$1:G$9999,7,0))</f>
        <v/>
      </c>
      <c r="B712" s="17" t="str">
        <f t="shared" si="11"/>
        <v>Problem</v>
      </c>
      <c r="C712" s="29" t="s">
        <v>778</v>
      </c>
    </row>
    <row r="713" spans="1:3" x14ac:dyDescent="0.2">
      <c r="A713">
        <f>IF(ISERROR(VLOOKUP(C713,Questions!$A$1:G$9999,7,0)),"",VLOOKUP(C713,Questions!$A$1:G$9999,7,0))</f>
        <v>4</v>
      </c>
      <c r="B713" s="17" t="str">
        <f t="shared" si="11"/>
        <v>Problem</v>
      </c>
      <c r="C713" s="30" t="s">
        <v>692</v>
      </c>
    </row>
    <row r="714" spans="1:3" x14ac:dyDescent="0.2">
      <c r="A714">
        <f>IF(ISERROR(VLOOKUP(C714,Questions!$A$1:G$9999,7,0)),"",VLOOKUP(C714,Questions!$A$1:G$9999,7,0))</f>
        <v>1</v>
      </c>
      <c r="B714" s="17" t="str">
        <f t="shared" si="11"/>
        <v>Problem</v>
      </c>
      <c r="C714" s="30" t="s">
        <v>696</v>
      </c>
    </row>
    <row r="715" spans="1:3" x14ac:dyDescent="0.2">
      <c r="A715">
        <f>IF(ISERROR(VLOOKUP(C715,Questions!$A$1:G$9999,7,0)),"",VLOOKUP(C715,Questions!$A$1:G$9999,7,0))</f>
        <v>2</v>
      </c>
      <c r="B715" s="17" t="str">
        <f t="shared" si="11"/>
        <v>Problem</v>
      </c>
      <c r="C715" s="30" t="s">
        <v>701</v>
      </c>
    </row>
    <row r="716" spans="1:3" x14ac:dyDescent="0.2">
      <c r="A716" t="str">
        <f>IF(ISERROR(VLOOKUP(C716,Questions!$A$1:G$9999,7,0)),"",VLOOKUP(C716,Questions!$A$1:G$9999,7,0))</f>
        <v/>
      </c>
      <c r="B716" s="17" t="str">
        <f t="shared" si="11"/>
        <v>Problem</v>
      </c>
      <c r="C716" s="29" t="s">
        <v>779</v>
      </c>
    </row>
    <row r="717" spans="1:3" x14ac:dyDescent="0.2">
      <c r="A717">
        <f>IF(ISERROR(VLOOKUP(C717,Questions!$A$1:G$9999,7,0)),"",VLOOKUP(C717,Questions!$A$1:G$9999,7,0))</f>
        <v>1</v>
      </c>
      <c r="B717" s="17" t="str">
        <f t="shared" si="11"/>
        <v>Problem</v>
      </c>
      <c r="C717" s="30" t="s">
        <v>1002</v>
      </c>
    </row>
    <row r="718" spans="1:3" x14ac:dyDescent="0.2">
      <c r="A718">
        <f>IF(ISERROR(VLOOKUP(C718,Questions!$A$1:G$9999,7,0)),"",VLOOKUP(C718,Questions!$A$1:G$9999,7,0))</f>
        <v>1</v>
      </c>
      <c r="B718" s="17" t="str">
        <f t="shared" si="11"/>
        <v>Problem</v>
      </c>
      <c r="C718" s="30" t="s">
        <v>1003</v>
      </c>
    </row>
    <row r="719" spans="1:3" x14ac:dyDescent="0.2">
      <c r="A719">
        <f>IF(ISERROR(VLOOKUP(C719,Questions!$A$1:G$9999,7,0)),"",VLOOKUP(C719,Questions!$A$1:G$9999,7,0))</f>
        <v>3</v>
      </c>
      <c r="B719" s="17" t="str">
        <f t="shared" si="11"/>
        <v>Problem</v>
      </c>
      <c r="C719" s="30" t="s">
        <v>1004</v>
      </c>
    </row>
    <row r="720" spans="1:3" x14ac:dyDescent="0.2">
      <c r="A720" t="str">
        <f>IF(ISERROR(VLOOKUP(C720,Questions!$A$1:G$9999,7,0)),"",VLOOKUP(C720,Questions!$A$1:G$9999,7,0))</f>
        <v/>
      </c>
      <c r="B720" s="17" t="str">
        <f t="shared" si="11"/>
        <v>Problem</v>
      </c>
      <c r="C720" s="29" t="s">
        <v>780</v>
      </c>
    </row>
    <row r="721" spans="1:3" x14ac:dyDescent="0.2">
      <c r="A721">
        <f>IF(ISERROR(VLOOKUP(C721,Questions!$A$1:G$9999,7,0)),"",VLOOKUP(C721,Questions!$A$1:G$9999,7,0))</f>
        <v>2</v>
      </c>
      <c r="B721" s="17" t="str">
        <f t="shared" si="11"/>
        <v>Problem</v>
      </c>
      <c r="C721" s="30" t="s">
        <v>1005</v>
      </c>
    </row>
    <row r="722" spans="1:3" x14ac:dyDescent="0.2">
      <c r="A722">
        <f>IF(ISERROR(VLOOKUP(C722,Questions!$A$1:G$9999,7,0)),"",VLOOKUP(C722,Questions!$A$1:G$9999,7,0))</f>
        <v>1</v>
      </c>
      <c r="B722" s="17" t="str">
        <f t="shared" si="11"/>
        <v>Problem</v>
      </c>
      <c r="C722" s="30" t="s">
        <v>1006</v>
      </c>
    </row>
    <row r="723" spans="1:3" x14ac:dyDescent="0.2">
      <c r="A723">
        <f>IF(ISERROR(VLOOKUP(C723,Questions!$A$1:G$9999,7,0)),"",VLOOKUP(C723,Questions!$A$1:G$9999,7,0))</f>
        <v>3</v>
      </c>
      <c r="B723" s="17" t="str">
        <f t="shared" si="11"/>
        <v>Problem</v>
      </c>
      <c r="C723" s="30" t="s">
        <v>1007</v>
      </c>
    </row>
    <row r="724" spans="1:3" x14ac:dyDescent="0.2">
      <c r="A724" t="str">
        <f>IF(ISERROR(VLOOKUP(C724,Questions!$A$1:G$9999,7,0)),"",VLOOKUP(C724,Questions!$A$1:G$9999,7,0))</f>
        <v/>
      </c>
      <c r="B724" s="17" t="str">
        <f t="shared" si="11"/>
        <v>Problem</v>
      </c>
      <c r="C724" s="29" t="s">
        <v>781</v>
      </c>
    </row>
    <row r="725" spans="1:3" x14ac:dyDescent="0.2">
      <c r="A725">
        <f>IF(ISERROR(VLOOKUP(C725,Questions!$A$1:G$9999,7,0)),"",VLOOKUP(C725,Questions!$A$1:G$9999,7,0))</f>
        <v>1</v>
      </c>
      <c r="B725" s="17" t="str">
        <f t="shared" si="11"/>
        <v>Problem</v>
      </c>
      <c r="C725" s="30" t="s">
        <v>1008</v>
      </c>
    </row>
    <row r="726" spans="1:3" x14ac:dyDescent="0.2">
      <c r="A726">
        <f>IF(ISERROR(VLOOKUP(C726,Questions!$A$1:G$9999,7,0)),"",VLOOKUP(C726,Questions!$A$1:G$9999,7,0))</f>
        <v>1</v>
      </c>
      <c r="B726" s="17" t="str">
        <f t="shared" si="11"/>
        <v>Problem</v>
      </c>
      <c r="C726" s="30" t="s">
        <v>1009</v>
      </c>
    </row>
    <row r="727" spans="1:3" x14ac:dyDescent="0.2">
      <c r="A727" t="str">
        <f>IF(ISERROR(VLOOKUP(C727,Questions!$A$1:G$9999,7,0)),"",VLOOKUP(C727,Questions!$A$1:G$9999,7,0))</f>
        <v/>
      </c>
      <c r="B727" s="17" t="str">
        <f t="shared" si="11"/>
        <v>Problem</v>
      </c>
      <c r="C727" s="29" t="s">
        <v>826</v>
      </c>
    </row>
    <row r="728" spans="1:3" x14ac:dyDescent="0.2">
      <c r="A728">
        <f>IF(ISERROR(VLOOKUP(C728,Questions!$A$1:G$9999,7,0)),"",VLOOKUP(C728,Questions!$A$1:G$9999,7,0))</f>
        <v>1</v>
      </c>
      <c r="B728" s="17" t="str">
        <f t="shared" si="11"/>
        <v>Problem</v>
      </c>
      <c r="C728" s="30" t="s">
        <v>1010</v>
      </c>
    </row>
    <row r="729" spans="1:3" x14ac:dyDescent="0.2">
      <c r="A729">
        <f>IF(ISERROR(VLOOKUP(C729,Questions!$A$1:G$9999,7,0)),"",VLOOKUP(C729,Questions!$A$1:G$9999,7,0))</f>
        <v>2</v>
      </c>
      <c r="B729" s="17" t="str">
        <f t="shared" si="11"/>
        <v>Problem</v>
      </c>
      <c r="C729" s="30" t="s">
        <v>1011</v>
      </c>
    </row>
    <row r="730" spans="1:3" x14ac:dyDescent="0.2">
      <c r="A730">
        <f>IF(ISERROR(VLOOKUP(C730,Questions!$A$1:G$9999,7,0)),"",VLOOKUP(C730,Questions!$A$1:G$9999,7,0))</f>
        <v>1</v>
      </c>
      <c r="B730" s="17" t="str">
        <f t="shared" si="11"/>
        <v>Problem</v>
      </c>
      <c r="C730" s="30" t="s">
        <v>1012</v>
      </c>
    </row>
    <row r="731" spans="1:3" x14ac:dyDescent="0.2">
      <c r="A731" t="str">
        <f>IF(ISERROR(VLOOKUP(C731,Questions!$A$1:G$9999,7,0)),"",VLOOKUP(C731,Questions!$A$1:G$9999,7,0))</f>
        <v/>
      </c>
      <c r="B731" s="17" t="str">
        <f t="shared" si="11"/>
        <v>Problem</v>
      </c>
      <c r="C731" s="29" t="s">
        <v>1195</v>
      </c>
    </row>
    <row r="732" spans="1:3" x14ac:dyDescent="0.2">
      <c r="A732">
        <f>IF(ISERROR(VLOOKUP(C732,Questions!$A$1:G$9999,7,0)),"",VLOOKUP(C732,Questions!$A$1:G$9999,7,0))</f>
        <v>3</v>
      </c>
      <c r="B732" s="17" t="str">
        <f t="shared" si="11"/>
        <v>Problem</v>
      </c>
      <c r="C732" s="30" t="s">
        <v>1223</v>
      </c>
    </row>
    <row r="733" spans="1:3" x14ac:dyDescent="0.2">
      <c r="A733">
        <f>IF(ISERROR(VLOOKUP(C733,Questions!$A$1:G$9999,7,0)),"",VLOOKUP(C733,Questions!$A$1:G$9999,7,0))</f>
        <v>2</v>
      </c>
      <c r="B733" s="17" t="str">
        <f t="shared" si="11"/>
        <v>Problem</v>
      </c>
      <c r="C733" s="30" t="s">
        <v>1224</v>
      </c>
    </row>
    <row r="734" spans="1:3" x14ac:dyDescent="0.2">
      <c r="A734">
        <f>IF(ISERROR(VLOOKUP(C734,Questions!$A$1:G$9999,7,0)),"",VLOOKUP(C734,Questions!$A$1:G$9999,7,0))</f>
        <v>3</v>
      </c>
      <c r="B734" s="17" t="str">
        <f t="shared" si="11"/>
        <v>Problem</v>
      </c>
      <c r="C734" s="30" t="s">
        <v>1225</v>
      </c>
    </row>
    <row r="735" spans="1:3" x14ac:dyDescent="0.2">
      <c r="A735" t="str">
        <f>IF(ISERROR(VLOOKUP(C735,Questions!$A$1:G$9999,7,0)),"",VLOOKUP(C735,Questions!$A$1:G$9999,7,0))</f>
        <v/>
      </c>
      <c r="B735" s="17" t="str">
        <f t="shared" si="11"/>
        <v>Problem</v>
      </c>
      <c r="C735" s="12" t="s">
        <v>2</v>
      </c>
    </row>
    <row r="736" spans="1:3" x14ac:dyDescent="0.2">
      <c r="A736" t="str">
        <f>IF(ISERROR(VLOOKUP(C736,Questions!$A$1:G$9999,7,0)),"",VLOOKUP(C736,Questions!$A$1:G$9999,7,0))</f>
        <v/>
      </c>
      <c r="B736" s="17" t="str">
        <f t="shared" si="11"/>
        <v>Problem</v>
      </c>
      <c r="C736" s="29" t="s">
        <v>785</v>
      </c>
    </row>
    <row r="737" spans="1:3" x14ac:dyDescent="0.2">
      <c r="A737">
        <f>IF(ISERROR(VLOOKUP(C737,Questions!$A$1:G$9999,7,0)),"",VLOOKUP(C737,Questions!$A$1:G$9999,7,0))</f>
        <v>1</v>
      </c>
      <c r="B737" s="17" t="str">
        <f t="shared" si="11"/>
        <v>Problem</v>
      </c>
      <c r="C737" s="30" t="s">
        <v>539</v>
      </c>
    </row>
    <row r="738" spans="1:3" x14ac:dyDescent="0.2">
      <c r="A738">
        <f>IF(ISERROR(VLOOKUP(C738,Questions!$A$1:G$9999,7,0)),"",VLOOKUP(C738,Questions!$A$1:G$9999,7,0))</f>
        <v>3</v>
      </c>
      <c r="B738" s="17" t="str">
        <f t="shared" si="11"/>
        <v>Problem</v>
      </c>
      <c r="C738" s="30" t="s">
        <v>540</v>
      </c>
    </row>
    <row r="739" spans="1:3" x14ac:dyDescent="0.2">
      <c r="A739">
        <f>IF(ISERROR(VLOOKUP(C739,Questions!$A$1:G$9999,7,0)),"",VLOOKUP(C739,Questions!$A$1:G$9999,7,0))</f>
        <v>2</v>
      </c>
      <c r="B739" s="17" t="str">
        <f t="shared" si="11"/>
        <v>Problem</v>
      </c>
      <c r="C739" s="30" t="s">
        <v>1013</v>
      </c>
    </row>
    <row r="740" spans="1:3" x14ac:dyDescent="0.2">
      <c r="A740" t="str">
        <f>IF(ISERROR(VLOOKUP(C740,Questions!$A$1:G$9999,7,0)),"",VLOOKUP(C740,Questions!$A$1:G$9999,7,0))</f>
        <v/>
      </c>
      <c r="B740" s="17" t="str">
        <f t="shared" si="11"/>
        <v>Problem</v>
      </c>
      <c r="C740" s="29" t="s">
        <v>787</v>
      </c>
    </row>
    <row r="741" spans="1:3" x14ac:dyDescent="0.2">
      <c r="A741">
        <f>IF(ISERROR(VLOOKUP(C741,Questions!$A$1:G$9999,7,0)),"",VLOOKUP(C741,Questions!$A$1:G$9999,7,0))</f>
        <v>2</v>
      </c>
      <c r="B741" s="17" t="str">
        <f t="shared" si="11"/>
        <v>Problem</v>
      </c>
      <c r="C741" s="30" t="s">
        <v>48</v>
      </c>
    </row>
    <row r="742" spans="1:3" x14ac:dyDescent="0.2">
      <c r="A742">
        <f>IF(ISERROR(VLOOKUP(C742,Questions!$A$1:G$9999,7,0)),"",VLOOKUP(C742,Questions!$A$1:G$9999,7,0))</f>
        <v>3</v>
      </c>
      <c r="B742" s="17" t="str">
        <f t="shared" si="11"/>
        <v>Problem</v>
      </c>
      <c r="C742" s="30" t="s">
        <v>49</v>
      </c>
    </row>
    <row r="743" spans="1:3" x14ac:dyDescent="0.2">
      <c r="A743">
        <f>IF(ISERROR(VLOOKUP(C743,Questions!$A$1:G$9999,7,0)),"",VLOOKUP(C743,Questions!$A$1:G$9999,7,0))</f>
        <v>2</v>
      </c>
      <c r="B743" s="17" t="str">
        <f t="shared" si="11"/>
        <v>Problem</v>
      </c>
      <c r="C743" s="30" t="s">
        <v>78</v>
      </c>
    </row>
    <row r="744" spans="1:3" x14ac:dyDescent="0.2">
      <c r="A744">
        <f>IF(ISERROR(VLOOKUP(C744,Questions!$A$1:G$9999,7,0)),"",VLOOKUP(C744,Questions!$A$1:G$9999,7,0))</f>
        <v>3</v>
      </c>
      <c r="B744" s="17" t="str">
        <f t="shared" si="11"/>
        <v>Problem</v>
      </c>
      <c r="C744" s="30" t="s">
        <v>1014</v>
      </c>
    </row>
    <row r="745" spans="1:3" x14ac:dyDescent="0.2">
      <c r="A745">
        <f>IF(ISERROR(VLOOKUP(C745,Questions!$A$1:G$9999,7,0)),"",VLOOKUP(C745,Questions!$A$1:G$9999,7,0))</f>
        <v>2</v>
      </c>
      <c r="B745" s="17" t="str">
        <f t="shared" si="11"/>
        <v>Problem</v>
      </c>
      <c r="C745" s="30" t="s">
        <v>1015</v>
      </c>
    </row>
    <row r="746" spans="1:3" x14ac:dyDescent="0.2">
      <c r="A746" t="str">
        <f>IF(ISERROR(VLOOKUP(C746,Questions!$A$1:G$9999,7,0)),"",VLOOKUP(C746,Questions!$A$1:G$9999,7,0))</f>
        <v/>
      </c>
      <c r="B746" s="17" t="str">
        <f t="shared" si="11"/>
        <v>Problem</v>
      </c>
      <c r="C746" s="29" t="s">
        <v>789</v>
      </c>
    </row>
    <row r="747" spans="1:3" x14ac:dyDescent="0.2">
      <c r="A747">
        <f>IF(ISERROR(VLOOKUP(C747,Questions!$A$1:G$9999,7,0)),"",VLOOKUP(C747,Questions!$A$1:G$9999,7,0))</f>
        <v>1</v>
      </c>
      <c r="B747" s="17" t="str">
        <f t="shared" si="11"/>
        <v>Problem</v>
      </c>
      <c r="C747" s="30" t="s">
        <v>83</v>
      </c>
    </row>
    <row r="748" spans="1:3" x14ac:dyDescent="0.2">
      <c r="A748">
        <f>IF(ISERROR(VLOOKUP(C748,Questions!$A$1:G$9999,7,0)),"",VLOOKUP(C748,Questions!$A$1:G$9999,7,0))</f>
        <v>3</v>
      </c>
      <c r="B748" s="17" t="str">
        <f t="shared" si="11"/>
        <v>Problem</v>
      </c>
      <c r="C748" s="30" t="s">
        <v>84</v>
      </c>
    </row>
    <row r="749" spans="1:3" x14ac:dyDescent="0.2">
      <c r="A749">
        <f>IF(ISERROR(VLOOKUP(C749,Questions!$A$1:G$9999,7,0)),"",VLOOKUP(C749,Questions!$A$1:G$9999,7,0))</f>
        <v>4</v>
      </c>
      <c r="B749" s="17" t="str">
        <f t="shared" si="11"/>
        <v>Problem</v>
      </c>
      <c r="C749" s="30" t="s">
        <v>1016</v>
      </c>
    </row>
    <row r="750" spans="1:3" x14ac:dyDescent="0.2">
      <c r="A750" t="str">
        <f>IF(ISERROR(VLOOKUP(C750,Questions!$A$1:G$9999,7,0)),"",VLOOKUP(C750,Questions!$A$1:G$9999,7,0))</f>
        <v/>
      </c>
      <c r="B750" s="17" t="str">
        <f t="shared" si="11"/>
        <v>Problem</v>
      </c>
      <c r="C750" s="29" t="s">
        <v>793</v>
      </c>
    </row>
    <row r="751" spans="1:3" x14ac:dyDescent="0.2">
      <c r="A751">
        <f>IF(ISERROR(VLOOKUP(C751,Questions!$A$1:G$9999,7,0)),"",VLOOKUP(C751,Questions!$A$1:G$9999,7,0))</f>
        <v>2</v>
      </c>
      <c r="B751" s="17" t="str">
        <f t="shared" si="11"/>
        <v>Problem</v>
      </c>
      <c r="C751" s="30" t="s">
        <v>119</v>
      </c>
    </row>
    <row r="752" spans="1:3" x14ac:dyDescent="0.2">
      <c r="A752">
        <f>IF(ISERROR(VLOOKUP(C752,Questions!$A$1:G$9999,7,0)),"",VLOOKUP(C752,Questions!$A$1:G$9999,7,0))</f>
        <v>2</v>
      </c>
      <c r="B752" s="17" t="str">
        <f t="shared" si="11"/>
        <v>Problem</v>
      </c>
      <c r="C752" s="30" t="s">
        <v>1017</v>
      </c>
    </row>
    <row r="753" spans="1:3" x14ac:dyDescent="0.2">
      <c r="A753" t="str">
        <f>IF(ISERROR(VLOOKUP(C753,Questions!$A$1:G$9999,7,0)),"",VLOOKUP(C753,Questions!$A$1:G$9999,7,0))</f>
        <v/>
      </c>
      <c r="B753" s="17" t="str">
        <f t="shared" si="11"/>
        <v>Problem</v>
      </c>
      <c r="C753" s="29" t="s">
        <v>795</v>
      </c>
    </row>
    <row r="754" spans="1:3" x14ac:dyDescent="0.2">
      <c r="A754">
        <f>IF(ISERROR(VLOOKUP(C754,Questions!$A$1:G$9999,7,0)),"",VLOOKUP(C754,Questions!$A$1:G$9999,7,0))</f>
        <v>1</v>
      </c>
      <c r="B754" s="17" t="str">
        <f t="shared" si="11"/>
        <v>Problem</v>
      </c>
      <c r="C754" s="30" t="s">
        <v>152</v>
      </c>
    </row>
    <row r="755" spans="1:3" x14ac:dyDescent="0.2">
      <c r="A755">
        <f>IF(ISERROR(VLOOKUP(C755,Questions!$A$1:G$9999,7,0)),"",VLOOKUP(C755,Questions!$A$1:G$9999,7,0))</f>
        <v>4</v>
      </c>
      <c r="B755" s="17" t="str">
        <f t="shared" si="11"/>
        <v>Problem</v>
      </c>
      <c r="C755" s="30" t="s">
        <v>153</v>
      </c>
    </row>
    <row r="756" spans="1:3" x14ac:dyDescent="0.2">
      <c r="A756">
        <f>IF(ISERROR(VLOOKUP(C756,Questions!$A$1:G$9999,7,0)),"",VLOOKUP(C756,Questions!$A$1:G$9999,7,0))</f>
        <v>1</v>
      </c>
      <c r="B756" s="17" t="str">
        <f t="shared" si="11"/>
        <v>Problem</v>
      </c>
      <c r="C756" s="30" t="s">
        <v>154</v>
      </c>
    </row>
    <row r="757" spans="1:3" x14ac:dyDescent="0.2">
      <c r="A757">
        <f>IF(ISERROR(VLOOKUP(C757,Questions!$A$1:G$9999,7,0)),"",VLOOKUP(C757,Questions!$A$1:G$9999,7,0))</f>
        <v>1</v>
      </c>
      <c r="B757" s="17" t="str">
        <f t="shared" si="11"/>
        <v>Problem</v>
      </c>
      <c r="C757" s="30" t="s">
        <v>155</v>
      </c>
    </row>
    <row r="758" spans="1:3" x14ac:dyDescent="0.2">
      <c r="A758" t="str">
        <f>IF(ISERROR(VLOOKUP(C758,Questions!$A$1:G$9999,7,0)),"",VLOOKUP(C758,Questions!$A$1:G$9999,7,0))</f>
        <v/>
      </c>
      <c r="B758" s="17" t="str">
        <f t="shared" si="11"/>
        <v>Problem</v>
      </c>
      <c r="C758" s="29" t="s">
        <v>797</v>
      </c>
    </row>
    <row r="759" spans="1:3" x14ac:dyDescent="0.2">
      <c r="A759">
        <f>IF(ISERROR(VLOOKUP(C759,Questions!$A$1:G$9999,7,0)),"",VLOOKUP(C759,Questions!$A$1:G$9999,7,0))</f>
        <v>4</v>
      </c>
      <c r="B759" s="17" t="str">
        <f t="shared" si="11"/>
        <v>Problem</v>
      </c>
      <c r="C759" s="30" t="s">
        <v>187</v>
      </c>
    </row>
    <row r="760" spans="1:3" x14ac:dyDescent="0.2">
      <c r="A760">
        <f>IF(ISERROR(VLOOKUP(C760,Questions!$A$1:G$9999,7,0)),"",VLOOKUP(C760,Questions!$A$1:G$9999,7,0))</f>
        <v>2</v>
      </c>
      <c r="B760" s="17" t="str">
        <f t="shared" si="11"/>
        <v>Problem</v>
      </c>
      <c r="C760" s="30" t="s">
        <v>193</v>
      </c>
    </row>
    <row r="761" spans="1:3" x14ac:dyDescent="0.2">
      <c r="A761" t="str">
        <f>IF(ISERROR(VLOOKUP(C761,Questions!$A$1:G$9999,7,0)),"",VLOOKUP(C761,Questions!$A$1:G$9999,7,0))</f>
        <v/>
      </c>
      <c r="B761" s="17" t="str">
        <f t="shared" si="11"/>
        <v>Problem</v>
      </c>
      <c r="C761" s="29" t="s">
        <v>799</v>
      </c>
    </row>
    <row r="762" spans="1:3" x14ac:dyDescent="0.2">
      <c r="A762">
        <f>IF(ISERROR(VLOOKUP(C762,Questions!$A$1:G$9999,7,0)),"",VLOOKUP(C762,Questions!$A$1:G$9999,7,0))</f>
        <v>2</v>
      </c>
      <c r="B762" s="17" t="str">
        <f t="shared" si="11"/>
        <v>Problem</v>
      </c>
      <c r="C762" s="30" t="s">
        <v>222</v>
      </c>
    </row>
    <row r="763" spans="1:3" x14ac:dyDescent="0.2">
      <c r="A763">
        <f>IF(ISERROR(VLOOKUP(C763,Questions!$A$1:G$9999,7,0)),"",VLOOKUP(C763,Questions!$A$1:G$9999,7,0))</f>
        <v>1</v>
      </c>
      <c r="B763" s="17" t="str">
        <f t="shared" si="11"/>
        <v>Problem</v>
      </c>
      <c r="C763" s="30" t="s">
        <v>223</v>
      </c>
    </row>
    <row r="764" spans="1:3" x14ac:dyDescent="0.2">
      <c r="A764">
        <f>IF(ISERROR(VLOOKUP(C764,Questions!$A$1:G$9999,7,0)),"",VLOOKUP(C764,Questions!$A$1:G$9999,7,0))</f>
        <v>4</v>
      </c>
      <c r="B764" s="17" t="str">
        <f t="shared" si="11"/>
        <v>Problem</v>
      </c>
      <c r="C764" s="30" t="s">
        <v>227</v>
      </c>
    </row>
    <row r="765" spans="1:3" x14ac:dyDescent="0.2">
      <c r="A765">
        <f>IF(ISERROR(VLOOKUP(C765,Questions!$A$1:G$9999,7,0)),"",VLOOKUP(C765,Questions!$A$1:G$9999,7,0))</f>
        <v>1</v>
      </c>
      <c r="B765" s="17" t="str">
        <f t="shared" si="11"/>
        <v>Problem</v>
      </c>
      <c r="C765" s="30" t="s">
        <v>1018</v>
      </c>
    </row>
    <row r="766" spans="1:3" x14ac:dyDescent="0.2">
      <c r="A766" t="str">
        <f>IF(ISERROR(VLOOKUP(C766,Questions!$A$1:G$9999,7,0)),"",VLOOKUP(C766,Questions!$A$1:G$9999,7,0))</f>
        <v/>
      </c>
      <c r="B766" s="17" t="str">
        <f t="shared" si="11"/>
        <v>Problem</v>
      </c>
      <c r="C766" s="29" t="s">
        <v>801</v>
      </c>
    </row>
    <row r="767" spans="1:3" x14ac:dyDescent="0.2">
      <c r="A767">
        <f>IF(ISERROR(VLOOKUP(C767,Questions!$A$1:G$9999,7,0)),"",VLOOKUP(C767,Questions!$A$1:G$9999,7,0))</f>
        <v>2</v>
      </c>
      <c r="B767" s="17" t="str">
        <f t="shared" si="11"/>
        <v>Problem</v>
      </c>
      <c r="C767" s="30" t="s">
        <v>258</v>
      </c>
    </row>
    <row r="768" spans="1:3" x14ac:dyDescent="0.2">
      <c r="A768">
        <f>IF(ISERROR(VLOOKUP(C768,Questions!$A$1:G$9999,7,0)),"",VLOOKUP(C768,Questions!$A$1:G$9999,7,0))</f>
        <v>3</v>
      </c>
      <c r="B768" s="17" t="str">
        <f t="shared" si="11"/>
        <v>Problem</v>
      </c>
      <c r="C768" s="30" t="s">
        <v>266</v>
      </c>
    </row>
    <row r="769" spans="1:3" x14ac:dyDescent="0.2">
      <c r="A769" t="str">
        <f>IF(ISERROR(VLOOKUP(C769,Questions!$A$1:G$9999,7,0)),"",VLOOKUP(C769,Questions!$A$1:G$9999,7,0))</f>
        <v/>
      </c>
      <c r="B769" s="17" t="str">
        <f t="shared" si="11"/>
        <v>Problem</v>
      </c>
      <c r="C769" s="29" t="s">
        <v>802</v>
      </c>
    </row>
    <row r="770" spans="1:3" x14ac:dyDescent="0.2">
      <c r="A770">
        <f>IF(ISERROR(VLOOKUP(C770,Questions!$A$1:G$9999,7,0)),"",VLOOKUP(C770,Questions!$A$1:G$9999,7,0))</f>
        <v>2</v>
      </c>
      <c r="B770" s="17" t="str">
        <f t="shared" si="11"/>
        <v>Problem</v>
      </c>
      <c r="C770" s="30" t="s">
        <v>292</v>
      </c>
    </row>
    <row r="771" spans="1:3" x14ac:dyDescent="0.2">
      <c r="A771">
        <f>IF(ISERROR(VLOOKUP(C771,Questions!$A$1:G$9999,7,0)),"",VLOOKUP(C771,Questions!$A$1:G$9999,7,0))</f>
        <v>1</v>
      </c>
      <c r="B771" s="17" t="str">
        <f t="shared" si="11"/>
        <v>Problem</v>
      </c>
      <c r="C771" s="30" t="s">
        <v>293</v>
      </c>
    </row>
    <row r="772" spans="1:3" x14ac:dyDescent="0.2">
      <c r="A772">
        <f>IF(ISERROR(VLOOKUP(C772,Questions!$A$1:G$9999,7,0)),"",VLOOKUP(C772,Questions!$A$1:G$9999,7,0))</f>
        <v>1</v>
      </c>
      <c r="B772" s="17" t="str">
        <f t="shared" ref="B772:B835" si="12">HYPERLINK("http://www.mrhosey.com/RPhys/" &amp; C772 &amp; ".gif","Problem")</f>
        <v>Problem</v>
      </c>
      <c r="C772" s="30" t="s">
        <v>303</v>
      </c>
    </row>
    <row r="773" spans="1:3" x14ac:dyDescent="0.2">
      <c r="A773">
        <f>IF(ISERROR(VLOOKUP(C773,Questions!$A$1:G$9999,7,0)),"",VLOOKUP(C773,Questions!$A$1:G$9999,7,0))</f>
        <v>2</v>
      </c>
      <c r="B773" s="17" t="str">
        <f t="shared" si="12"/>
        <v>Problem</v>
      </c>
      <c r="C773" s="30" t="s">
        <v>311</v>
      </c>
    </row>
    <row r="774" spans="1:3" x14ac:dyDescent="0.2">
      <c r="A774">
        <f>IF(ISERROR(VLOOKUP(C774,Questions!$A$1:G$9999,7,0)),"",VLOOKUP(C774,Questions!$A$1:G$9999,7,0))</f>
        <v>3</v>
      </c>
      <c r="B774" s="17" t="str">
        <f t="shared" si="12"/>
        <v>Problem</v>
      </c>
      <c r="C774" s="30" t="s">
        <v>1019</v>
      </c>
    </row>
    <row r="775" spans="1:3" x14ac:dyDescent="0.2">
      <c r="A775" t="str">
        <f>IF(ISERROR(VLOOKUP(C775,Questions!$A$1:G$9999,7,0)),"",VLOOKUP(C775,Questions!$A$1:G$9999,7,0))</f>
        <v/>
      </c>
      <c r="B775" s="17" t="str">
        <f t="shared" si="12"/>
        <v>Problem</v>
      </c>
      <c r="C775" s="29" t="s">
        <v>803</v>
      </c>
    </row>
    <row r="776" spans="1:3" x14ac:dyDescent="0.2">
      <c r="A776">
        <f>IF(ISERROR(VLOOKUP(C776,Questions!$A$1:G$9999,7,0)),"",VLOOKUP(C776,Questions!$A$1:G$9999,7,0))</f>
        <v>3</v>
      </c>
      <c r="B776" s="17" t="str">
        <f t="shared" si="12"/>
        <v>Problem</v>
      </c>
      <c r="C776" s="30" t="s">
        <v>327</v>
      </c>
    </row>
    <row r="777" spans="1:3" x14ac:dyDescent="0.2">
      <c r="A777">
        <f>IF(ISERROR(VLOOKUP(C777,Questions!$A$1:G$9999,7,0)),"",VLOOKUP(C777,Questions!$A$1:G$9999,7,0))</f>
        <v>1</v>
      </c>
      <c r="B777" s="17" t="str">
        <f t="shared" si="12"/>
        <v>Problem</v>
      </c>
      <c r="C777" s="30" t="s">
        <v>328</v>
      </c>
    </row>
    <row r="778" spans="1:3" x14ac:dyDescent="0.2">
      <c r="A778">
        <f>IF(ISERROR(VLOOKUP(C778,Questions!$A$1:G$9999,7,0)),"",VLOOKUP(C778,Questions!$A$1:G$9999,7,0))</f>
        <v>2</v>
      </c>
      <c r="B778" s="17" t="str">
        <f t="shared" si="12"/>
        <v>Problem</v>
      </c>
      <c r="C778" s="30" t="s">
        <v>352</v>
      </c>
    </row>
    <row r="779" spans="1:3" x14ac:dyDescent="0.2">
      <c r="A779">
        <f>IF(ISERROR(VLOOKUP(C779,Questions!$A$1:G$9999,7,0)),"",VLOOKUP(C779,Questions!$A$1:G$9999,7,0))</f>
        <v>4</v>
      </c>
      <c r="B779" s="17" t="str">
        <f t="shared" si="12"/>
        <v>Problem</v>
      </c>
      <c r="C779" s="30" t="s">
        <v>1020</v>
      </c>
    </row>
    <row r="780" spans="1:3" x14ac:dyDescent="0.2">
      <c r="A780" t="str">
        <f>IF(ISERROR(VLOOKUP(C780,Questions!$A$1:G$9999,7,0)),"",VLOOKUP(C780,Questions!$A$1:G$9999,7,0))</f>
        <v/>
      </c>
      <c r="B780" s="17" t="str">
        <f t="shared" si="12"/>
        <v>Problem</v>
      </c>
      <c r="C780" s="29" t="s">
        <v>805</v>
      </c>
    </row>
    <row r="781" spans="1:3" x14ac:dyDescent="0.2">
      <c r="A781">
        <f>IF(ISERROR(VLOOKUP(C781,Questions!$A$1:G$9999,7,0)),"",VLOOKUP(C781,Questions!$A$1:G$9999,7,0))</f>
        <v>1</v>
      </c>
      <c r="B781" s="17" t="str">
        <f t="shared" si="12"/>
        <v>Problem</v>
      </c>
      <c r="C781" s="30" t="s">
        <v>364</v>
      </c>
    </row>
    <row r="782" spans="1:3" x14ac:dyDescent="0.2">
      <c r="A782">
        <f>IF(ISERROR(VLOOKUP(C782,Questions!$A$1:G$9999,7,0)),"",VLOOKUP(C782,Questions!$A$1:G$9999,7,0))</f>
        <v>2</v>
      </c>
      <c r="B782" s="17" t="str">
        <f t="shared" si="12"/>
        <v>Problem</v>
      </c>
      <c r="C782" s="30" t="s">
        <v>365</v>
      </c>
    </row>
    <row r="783" spans="1:3" x14ac:dyDescent="0.2">
      <c r="A783">
        <f>IF(ISERROR(VLOOKUP(C783,Questions!$A$1:G$9999,7,0)),"",VLOOKUP(C783,Questions!$A$1:G$9999,7,0))</f>
        <v>1</v>
      </c>
      <c r="B783" s="17" t="str">
        <f t="shared" si="12"/>
        <v>Problem</v>
      </c>
      <c r="C783" s="30" t="s">
        <v>1021</v>
      </c>
    </row>
    <row r="784" spans="1:3" x14ac:dyDescent="0.2">
      <c r="A784">
        <f>IF(ISERROR(VLOOKUP(C784,Questions!$A$1:G$9999,7,0)),"",VLOOKUP(C784,Questions!$A$1:G$9999,7,0))</f>
        <v>4</v>
      </c>
      <c r="B784" s="17" t="str">
        <f t="shared" si="12"/>
        <v>Problem</v>
      </c>
      <c r="C784" s="30" t="s">
        <v>1022</v>
      </c>
    </row>
    <row r="785" spans="1:3" x14ac:dyDescent="0.2">
      <c r="A785" t="str">
        <f>IF(ISERROR(VLOOKUP(C785,Questions!$A$1:G$9999,7,0)),"",VLOOKUP(C785,Questions!$A$1:G$9999,7,0))</f>
        <v/>
      </c>
      <c r="B785" s="17" t="str">
        <f t="shared" si="12"/>
        <v>Problem</v>
      </c>
      <c r="C785" s="29" t="s">
        <v>807</v>
      </c>
    </row>
    <row r="786" spans="1:3" x14ac:dyDescent="0.2">
      <c r="A786">
        <f>IF(ISERROR(VLOOKUP(C786,Questions!$A$1:G$9999,7,0)),"",VLOOKUP(C786,Questions!$A$1:G$9999,7,0))</f>
        <v>1</v>
      </c>
      <c r="B786" s="17" t="str">
        <f t="shared" si="12"/>
        <v>Problem</v>
      </c>
      <c r="C786" s="30" t="s">
        <v>398</v>
      </c>
    </row>
    <row r="787" spans="1:3" x14ac:dyDescent="0.2">
      <c r="A787">
        <f>IF(ISERROR(VLOOKUP(C787,Questions!$A$1:G$9999,7,0)),"",VLOOKUP(C787,Questions!$A$1:G$9999,7,0))</f>
        <v>2</v>
      </c>
      <c r="B787" s="17" t="str">
        <f t="shared" si="12"/>
        <v>Problem</v>
      </c>
      <c r="C787" s="30" t="s">
        <v>402</v>
      </c>
    </row>
    <row r="788" spans="1:3" x14ac:dyDescent="0.2">
      <c r="A788">
        <f>IF(ISERROR(VLOOKUP(C788,Questions!$A$1:G$9999,7,0)),"",VLOOKUP(C788,Questions!$A$1:G$9999,7,0))</f>
        <v>3</v>
      </c>
      <c r="B788" s="17" t="str">
        <f t="shared" si="12"/>
        <v>Problem</v>
      </c>
      <c r="C788" s="30" t="s">
        <v>1023</v>
      </c>
    </row>
    <row r="789" spans="1:3" x14ac:dyDescent="0.2">
      <c r="A789">
        <f>IF(ISERROR(VLOOKUP(C789,Questions!$A$1:G$9999,7,0)),"",VLOOKUP(C789,Questions!$A$1:G$9999,7,0))</f>
        <v>3</v>
      </c>
      <c r="B789" s="17" t="str">
        <f t="shared" si="12"/>
        <v>Problem</v>
      </c>
      <c r="C789" s="30" t="s">
        <v>1024</v>
      </c>
    </row>
    <row r="790" spans="1:3" x14ac:dyDescent="0.2">
      <c r="A790">
        <f>IF(ISERROR(VLOOKUP(C790,Questions!$A$1:G$9999,7,0)),"",VLOOKUP(C790,Questions!$A$1:G$9999,7,0))</f>
        <v>4</v>
      </c>
      <c r="B790" s="17" t="str">
        <f t="shared" si="12"/>
        <v>Problem</v>
      </c>
      <c r="C790" s="30" t="s">
        <v>1025</v>
      </c>
    </row>
    <row r="791" spans="1:3" x14ac:dyDescent="0.2">
      <c r="A791" t="str">
        <f>IF(ISERROR(VLOOKUP(C791,Questions!$A$1:G$9999,7,0)),"",VLOOKUP(C791,Questions!$A$1:G$9999,7,0))</f>
        <v/>
      </c>
      <c r="B791" s="17" t="str">
        <f t="shared" si="12"/>
        <v>Problem</v>
      </c>
      <c r="C791" s="29" t="s">
        <v>808</v>
      </c>
    </row>
    <row r="792" spans="1:3" x14ac:dyDescent="0.2">
      <c r="A792">
        <f>IF(ISERROR(VLOOKUP(C792,Questions!$A$1:G$9999,7,0)),"",VLOOKUP(C792,Questions!$A$1:G$9999,7,0))</f>
        <v>3</v>
      </c>
      <c r="B792" s="17" t="str">
        <f t="shared" si="12"/>
        <v>Problem</v>
      </c>
      <c r="C792" s="30" t="s">
        <v>433</v>
      </c>
    </row>
    <row r="793" spans="1:3" x14ac:dyDescent="0.2">
      <c r="A793">
        <f>IF(ISERROR(VLOOKUP(C793,Questions!$A$1:G$9999,7,0)),"",VLOOKUP(C793,Questions!$A$1:G$9999,7,0))</f>
        <v>2</v>
      </c>
      <c r="B793" s="17" t="str">
        <f t="shared" si="12"/>
        <v>Problem</v>
      </c>
      <c r="C793" s="30" t="s">
        <v>434</v>
      </c>
    </row>
    <row r="794" spans="1:3" x14ac:dyDescent="0.2">
      <c r="A794" t="str">
        <f>IF(ISERROR(VLOOKUP(C794,Questions!$A$1:G$9999,7,0)),"",VLOOKUP(C794,Questions!$A$1:G$9999,7,0))</f>
        <v/>
      </c>
      <c r="B794" s="17" t="str">
        <f t="shared" si="12"/>
        <v>Problem</v>
      </c>
      <c r="C794" s="29" t="s">
        <v>810</v>
      </c>
    </row>
    <row r="795" spans="1:3" x14ac:dyDescent="0.2">
      <c r="A795">
        <f>IF(ISERROR(VLOOKUP(C795,Questions!$A$1:G$9999,7,0)),"",VLOOKUP(C795,Questions!$A$1:G$9999,7,0))</f>
        <v>3</v>
      </c>
      <c r="B795" s="17" t="str">
        <f t="shared" si="12"/>
        <v>Problem</v>
      </c>
      <c r="C795" s="30" t="s">
        <v>470</v>
      </c>
    </row>
    <row r="796" spans="1:3" x14ac:dyDescent="0.2">
      <c r="A796">
        <f>IF(ISERROR(VLOOKUP(C796,Questions!$A$1:G$9999,7,0)),"",VLOOKUP(C796,Questions!$A$1:G$9999,7,0))</f>
        <v>3</v>
      </c>
      <c r="B796" s="17" t="str">
        <f t="shared" si="12"/>
        <v>Problem</v>
      </c>
      <c r="C796" s="30" t="s">
        <v>471</v>
      </c>
    </row>
    <row r="797" spans="1:3" x14ac:dyDescent="0.2">
      <c r="A797">
        <f>IF(ISERROR(VLOOKUP(C797,Questions!$A$1:G$9999,7,0)),"",VLOOKUP(C797,Questions!$A$1:G$9999,7,0))</f>
        <v>3</v>
      </c>
      <c r="B797" s="17" t="str">
        <f t="shared" si="12"/>
        <v>Problem</v>
      </c>
      <c r="C797" s="30" t="s">
        <v>473</v>
      </c>
    </row>
    <row r="798" spans="1:3" x14ac:dyDescent="0.2">
      <c r="A798">
        <f>IF(ISERROR(VLOOKUP(C798,Questions!$A$1:G$9999,7,0)),"",VLOOKUP(C798,Questions!$A$1:G$9999,7,0))</f>
        <v>4</v>
      </c>
      <c r="B798" s="17" t="str">
        <f t="shared" si="12"/>
        <v>Problem</v>
      </c>
      <c r="C798" s="30" t="s">
        <v>1026</v>
      </c>
    </row>
    <row r="799" spans="1:3" x14ac:dyDescent="0.2">
      <c r="A799" t="str">
        <f>IF(ISERROR(VLOOKUP(C799,Questions!$A$1:G$9999,7,0)),"",VLOOKUP(C799,Questions!$A$1:G$9999,7,0))</f>
        <v/>
      </c>
      <c r="B799" s="17" t="str">
        <f t="shared" si="12"/>
        <v>Problem</v>
      </c>
      <c r="C799" s="29" t="s">
        <v>811</v>
      </c>
    </row>
    <row r="800" spans="1:3" x14ac:dyDescent="0.2">
      <c r="A800">
        <f>IF(ISERROR(VLOOKUP(C800,Questions!$A$1:G$9999,7,0)),"",VLOOKUP(C800,Questions!$A$1:G$9999,7,0))</f>
        <v>1</v>
      </c>
      <c r="B800" s="17" t="str">
        <f t="shared" si="12"/>
        <v>Problem</v>
      </c>
      <c r="C800" s="30" t="s">
        <v>505</v>
      </c>
    </row>
    <row r="801" spans="1:3" x14ac:dyDescent="0.2">
      <c r="A801">
        <f>IF(ISERROR(VLOOKUP(C801,Questions!$A$1:G$9999,7,0)),"",VLOOKUP(C801,Questions!$A$1:G$9999,7,0))</f>
        <v>3</v>
      </c>
      <c r="B801" s="17" t="str">
        <f t="shared" si="12"/>
        <v>Problem</v>
      </c>
      <c r="C801" s="30" t="s">
        <v>506</v>
      </c>
    </row>
    <row r="802" spans="1:3" x14ac:dyDescent="0.2">
      <c r="A802">
        <f>IF(ISERROR(VLOOKUP(C802,Questions!$A$1:G$9999,7,0)),"",VLOOKUP(C802,Questions!$A$1:G$9999,7,0))</f>
        <v>1</v>
      </c>
      <c r="B802" s="17" t="str">
        <f t="shared" si="12"/>
        <v>Problem</v>
      </c>
      <c r="C802" s="30" t="s">
        <v>1027</v>
      </c>
    </row>
    <row r="803" spans="1:3" x14ac:dyDescent="0.2">
      <c r="A803" t="str">
        <f>IF(ISERROR(VLOOKUP(C803,Questions!$A$1:G$9999,7,0)),"",VLOOKUP(C803,Questions!$A$1:G$9999,7,0))</f>
        <v/>
      </c>
      <c r="B803" s="17" t="str">
        <f t="shared" si="12"/>
        <v>Problem</v>
      </c>
      <c r="C803" s="29" t="s">
        <v>777</v>
      </c>
    </row>
    <row r="804" spans="1:3" x14ac:dyDescent="0.2">
      <c r="A804">
        <f>IF(ISERROR(VLOOKUP(C804,Questions!$A$1:G$9999,7,0)),"",VLOOKUP(C804,Questions!$A$1:G$9999,7,0))</f>
        <v>3</v>
      </c>
      <c r="B804" s="17" t="str">
        <f t="shared" si="12"/>
        <v>Problem</v>
      </c>
      <c r="C804" s="30" t="s">
        <v>622</v>
      </c>
    </row>
    <row r="805" spans="1:3" x14ac:dyDescent="0.2">
      <c r="A805">
        <f>IF(ISERROR(VLOOKUP(C805,Questions!$A$1:G$9999,7,0)),"",VLOOKUP(C805,Questions!$A$1:G$9999,7,0))</f>
        <v>4</v>
      </c>
      <c r="B805" s="17" t="str">
        <f t="shared" si="12"/>
        <v>Problem</v>
      </c>
      <c r="C805" s="30" t="s">
        <v>625</v>
      </c>
    </row>
    <row r="806" spans="1:3" x14ac:dyDescent="0.2">
      <c r="A806">
        <f>IF(ISERROR(VLOOKUP(C806,Questions!$A$1:G$9999,7,0)),"",VLOOKUP(C806,Questions!$A$1:G$9999,7,0))</f>
        <v>3</v>
      </c>
      <c r="B806" s="17" t="str">
        <f t="shared" si="12"/>
        <v>Problem</v>
      </c>
      <c r="C806" s="30" t="s">
        <v>626</v>
      </c>
    </row>
    <row r="807" spans="1:3" x14ac:dyDescent="0.2">
      <c r="A807">
        <f>IF(ISERROR(VLOOKUP(C807,Questions!$A$1:G$9999,7,0)),"",VLOOKUP(C807,Questions!$A$1:G$9999,7,0))</f>
        <v>1</v>
      </c>
      <c r="B807" s="17" t="str">
        <f t="shared" si="12"/>
        <v>Problem</v>
      </c>
      <c r="C807" s="30" t="s">
        <v>1028</v>
      </c>
    </row>
    <row r="808" spans="1:3" x14ac:dyDescent="0.2">
      <c r="A808">
        <f>IF(ISERROR(VLOOKUP(C808,Questions!$A$1:G$9999,7,0)),"",VLOOKUP(C808,Questions!$A$1:G$9999,7,0))</f>
        <v>3</v>
      </c>
      <c r="B808" s="17" t="str">
        <f t="shared" si="12"/>
        <v>Problem</v>
      </c>
      <c r="C808" s="30" t="s">
        <v>1029</v>
      </c>
    </row>
    <row r="809" spans="1:3" x14ac:dyDescent="0.2">
      <c r="A809" t="str">
        <f>IF(ISERROR(VLOOKUP(C809,Questions!$A$1:G$9999,7,0)),"",VLOOKUP(C809,Questions!$A$1:G$9999,7,0))</f>
        <v/>
      </c>
      <c r="B809" s="17" t="str">
        <f t="shared" si="12"/>
        <v>Problem</v>
      </c>
      <c r="C809" s="29" t="s">
        <v>778</v>
      </c>
    </row>
    <row r="810" spans="1:3" x14ac:dyDescent="0.2">
      <c r="A810">
        <f>IF(ISERROR(VLOOKUP(C810,Questions!$A$1:G$9999,7,0)),"",VLOOKUP(C810,Questions!$A$1:G$9999,7,0))</f>
        <v>2</v>
      </c>
      <c r="B810" s="17" t="str">
        <f t="shared" si="12"/>
        <v>Problem</v>
      </c>
      <c r="C810" s="30" t="s">
        <v>689</v>
      </c>
    </row>
    <row r="811" spans="1:3" x14ac:dyDescent="0.2">
      <c r="A811">
        <f>IF(ISERROR(VLOOKUP(C811,Questions!$A$1:G$9999,7,0)),"",VLOOKUP(C811,Questions!$A$1:G$9999,7,0))</f>
        <v>3</v>
      </c>
      <c r="B811" s="17" t="str">
        <f t="shared" si="12"/>
        <v>Problem</v>
      </c>
      <c r="C811" s="30" t="s">
        <v>690</v>
      </c>
    </row>
    <row r="812" spans="1:3" x14ac:dyDescent="0.2">
      <c r="A812">
        <f>IF(ISERROR(VLOOKUP(C812,Questions!$A$1:G$9999,7,0)),"",VLOOKUP(C812,Questions!$A$1:G$9999,7,0))</f>
        <v>3</v>
      </c>
      <c r="B812" s="17" t="str">
        <f t="shared" si="12"/>
        <v>Problem</v>
      </c>
      <c r="C812" s="30" t="s">
        <v>691</v>
      </c>
    </row>
    <row r="813" spans="1:3" x14ac:dyDescent="0.2">
      <c r="A813">
        <f>IF(ISERROR(VLOOKUP(C813,Questions!$A$1:G$9999,7,0)),"",VLOOKUP(C813,Questions!$A$1:G$9999,7,0))</f>
        <v>3</v>
      </c>
      <c r="B813" s="17" t="str">
        <f t="shared" si="12"/>
        <v>Problem</v>
      </c>
      <c r="C813" s="30" t="s">
        <v>699</v>
      </c>
    </row>
    <row r="814" spans="1:3" x14ac:dyDescent="0.2">
      <c r="A814">
        <f>IF(ISERROR(VLOOKUP(C814,Questions!$A$1:G$9999,7,0)),"",VLOOKUP(C814,Questions!$A$1:G$9999,7,0))</f>
        <v>4</v>
      </c>
      <c r="B814" s="17" t="str">
        <f t="shared" si="12"/>
        <v>Problem</v>
      </c>
      <c r="C814" s="30" t="s">
        <v>730</v>
      </c>
    </row>
    <row r="815" spans="1:3" x14ac:dyDescent="0.2">
      <c r="A815">
        <f>IF(ISERROR(VLOOKUP(C815,Questions!$A$1:G$9999,7,0)),"",VLOOKUP(C815,Questions!$A$1:G$9999,7,0))</f>
        <v>3</v>
      </c>
      <c r="B815" s="17" t="str">
        <f t="shared" si="12"/>
        <v>Problem</v>
      </c>
      <c r="C815" s="30" t="s">
        <v>731</v>
      </c>
    </row>
    <row r="816" spans="1:3" x14ac:dyDescent="0.2">
      <c r="A816" t="str">
        <f>IF(ISERROR(VLOOKUP(C816,Questions!$A$1:G$9999,7,0)),"",VLOOKUP(C816,Questions!$A$1:G$9999,7,0))</f>
        <v/>
      </c>
      <c r="B816" s="17" t="str">
        <f t="shared" si="12"/>
        <v>Problem</v>
      </c>
      <c r="C816" s="29" t="s">
        <v>779</v>
      </c>
    </row>
    <row r="817" spans="1:3" x14ac:dyDescent="0.2">
      <c r="A817">
        <f>IF(ISERROR(VLOOKUP(C817,Questions!$A$1:G$9999,7,0)),"",VLOOKUP(C817,Questions!$A$1:G$9999,7,0))</f>
        <v>2</v>
      </c>
      <c r="B817" s="17" t="str">
        <f t="shared" si="12"/>
        <v>Problem</v>
      </c>
      <c r="C817" s="30" t="s">
        <v>1030</v>
      </c>
    </row>
    <row r="818" spans="1:3" x14ac:dyDescent="0.2">
      <c r="A818">
        <f>IF(ISERROR(VLOOKUP(C818,Questions!$A$1:G$9999,7,0)),"",VLOOKUP(C818,Questions!$A$1:G$9999,7,0))</f>
        <v>1</v>
      </c>
      <c r="B818" s="17" t="str">
        <f t="shared" si="12"/>
        <v>Problem</v>
      </c>
      <c r="C818" s="30" t="s">
        <v>1031</v>
      </c>
    </row>
    <row r="819" spans="1:3" x14ac:dyDescent="0.2">
      <c r="A819">
        <f>IF(ISERROR(VLOOKUP(C819,Questions!$A$1:G$9999,7,0)),"",VLOOKUP(C819,Questions!$A$1:G$9999,7,0))</f>
        <v>4</v>
      </c>
      <c r="B819" s="17" t="str">
        <f t="shared" si="12"/>
        <v>Problem</v>
      </c>
      <c r="C819" s="30" t="s">
        <v>1032</v>
      </c>
    </row>
    <row r="820" spans="1:3" x14ac:dyDescent="0.2">
      <c r="A820">
        <f>IF(ISERROR(VLOOKUP(C820,Questions!$A$1:G$9999,7,0)),"",VLOOKUP(C820,Questions!$A$1:G$9999,7,0))</f>
        <v>1</v>
      </c>
      <c r="B820" s="17" t="str">
        <f t="shared" si="12"/>
        <v>Problem</v>
      </c>
      <c r="C820" s="30" t="s">
        <v>1033</v>
      </c>
    </row>
    <row r="821" spans="1:3" x14ac:dyDescent="0.2">
      <c r="A821" t="str">
        <f>IF(ISERROR(VLOOKUP(C821,Questions!$A$1:G$9999,7,0)),"",VLOOKUP(C821,Questions!$A$1:G$9999,7,0))</f>
        <v/>
      </c>
      <c r="B821" s="17" t="str">
        <f t="shared" si="12"/>
        <v>Problem</v>
      </c>
      <c r="C821" s="29" t="s">
        <v>780</v>
      </c>
    </row>
    <row r="822" spans="1:3" x14ac:dyDescent="0.2">
      <c r="A822">
        <f>IF(ISERROR(VLOOKUP(C822,Questions!$A$1:G$9999,7,0)),"",VLOOKUP(C822,Questions!$A$1:G$9999,7,0))</f>
        <v>1</v>
      </c>
      <c r="B822" s="17" t="str">
        <f t="shared" si="12"/>
        <v>Problem</v>
      </c>
      <c r="C822" s="30" t="s">
        <v>1034</v>
      </c>
    </row>
    <row r="823" spans="1:3" x14ac:dyDescent="0.2">
      <c r="A823">
        <f>IF(ISERROR(VLOOKUP(C823,Questions!$A$1:G$9999,7,0)),"",VLOOKUP(C823,Questions!$A$1:G$9999,7,0))</f>
        <v>3</v>
      </c>
      <c r="B823" s="17" t="str">
        <f t="shared" si="12"/>
        <v>Problem</v>
      </c>
      <c r="C823" s="30" t="s">
        <v>1035</v>
      </c>
    </row>
    <row r="824" spans="1:3" x14ac:dyDescent="0.2">
      <c r="A824">
        <f>IF(ISERROR(VLOOKUP(C824,Questions!$A$1:G$9999,7,0)),"",VLOOKUP(C824,Questions!$A$1:G$9999,7,0))</f>
        <v>4</v>
      </c>
      <c r="B824" s="17" t="str">
        <f t="shared" si="12"/>
        <v>Problem</v>
      </c>
      <c r="C824" s="30" t="s">
        <v>1036</v>
      </c>
    </row>
    <row r="825" spans="1:3" x14ac:dyDescent="0.2">
      <c r="A825" t="str">
        <f>IF(ISERROR(VLOOKUP(C825,Questions!$A$1:G$9999,7,0)),"",VLOOKUP(C825,Questions!$A$1:G$9999,7,0))</f>
        <v/>
      </c>
      <c r="B825" s="17" t="str">
        <f t="shared" si="12"/>
        <v>Problem</v>
      </c>
      <c r="C825" s="29" t="s">
        <v>781</v>
      </c>
    </row>
    <row r="826" spans="1:3" x14ac:dyDescent="0.2">
      <c r="A826">
        <f>IF(ISERROR(VLOOKUP(C826,Questions!$A$1:G$9999,7,0)),"",VLOOKUP(C826,Questions!$A$1:G$9999,7,0))</f>
        <v>1</v>
      </c>
      <c r="B826" s="17" t="str">
        <f t="shared" si="12"/>
        <v>Problem</v>
      </c>
      <c r="C826" s="30" t="s">
        <v>1037</v>
      </c>
    </row>
    <row r="827" spans="1:3" x14ac:dyDescent="0.2">
      <c r="A827">
        <f>IF(ISERROR(VLOOKUP(C827,Questions!$A$1:G$9999,7,0)),"",VLOOKUP(C827,Questions!$A$1:G$9999,7,0))</f>
        <v>2</v>
      </c>
      <c r="B827" s="17" t="str">
        <f t="shared" si="12"/>
        <v>Problem</v>
      </c>
      <c r="C827" s="30" t="s">
        <v>1038</v>
      </c>
    </row>
    <row r="828" spans="1:3" x14ac:dyDescent="0.2">
      <c r="A828" t="str">
        <f>IF(ISERROR(VLOOKUP(C828,Questions!$A$1:G$9999,7,0)),"",VLOOKUP(C828,Questions!$A$1:G$9999,7,0))</f>
        <v/>
      </c>
      <c r="B828" s="17" t="str">
        <f t="shared" si="12"/>
        <v>Problem</v>
      </c>
      <c r="C828" s="29" t="s">
        <v>826</v>
      </c>
    </row>
    <row r="829" spans="1:3" x14ac:dyDescent="0.2">
      <c r="A829">
        <f>IF(ISERROR(VLOOKUP(C829,Questions!$A$1:G$9999,7,0)),"",VLOOKUP(C829,Questions!$A$1:G$9999,7,0))</f>
        <v>1</v>
      </c>
      <c r="B829" s="17" t="str">
        <f t="shared" si="12"/>
        <v>Problem</v>
      </c>
      <c r="C829" s="30" t="s">
        <v>1039</v>
      </c>
    </row>
    <row r="830" spans="1:3" x14ac:dyDescent="0.2">
      <c r="A830">
        <f>IF(ISERROR(VLOOKUP(C830,Questions!$A$1:G$9999,7,0)),"",VLOOKUP(C830,Questions!$A$1:G$9999,7,0))</f>
        <v>3</v>
      </c>
      <c r="B830" s="17" t="str">
        <f t="shared" si="12"/>
        <v>Problem</v>
      </c>
      <c r="C830" s="30" t="s">
        <v>1040</v>
      </c>
    </row>
    <row r="831" spans="1:3" x14ac:dyDescent="0.2">
      <c r="A831">
        <f>IF(ISERROR(VLOOKUP(C831,Questions!$A$1:G$9999,7,0)),"",VLOOKUP(C831,Questions!$A$1:G$9999,7,0))</f>
        <v>4</v>
      </c>
      <c r="B831" s="17" t="str">
        <f t="shared" si="12"/>
        <v>Problem</v>
      </c>
      <c r="C831" s="30" t="s">
        <v>1041</v>
      </c>
    </row>
    <row r="832" spans="1:3" x14ac:dyDescent="0.2">
      <c r="A832" t="str">
        <f>IF(ISERROR(VLOOKUP(C832,Questions!$A$1:G$9999,7,0)),"",VLOOKUP(C832,Questions!$A$1:G$9999,7,0))</f>
        <v/>
      </c>
      <c r="B832" s="17" t="str">
        <f t="shared" si="12"/>
        <v>Problem</v>
      </c>
      <c r="C832" s="29" t="s">
        <v>1195</v>
      </c>
    </row>
    <row r="833" spans="1:3" x14ac:dyDescent="0.2">
      <c r="A833">
        <f>IF(ISERROR(VLOOKUP(C833,Questions!$A$1:G$9999,7,0)),"",VLOOKUP(C833,Questions!$A$1:G$9999,7,0))</f>
        <v>2</v>
      </c>
      <c r="B833" s="17" t="str">
        <f t="shared" si="12"/>
        <v>Problem</v>
      </c>
      <c r="C833" s="30" t="s">
        <v>1226</v>
      </c>
    </row>
    <row r="834" spans="1:3" x14ac:dyDescent="0.2">
      <c r="A834">
        <f>IF(ISERROR(VLOOKUP(C834,Questions!$A$1:G$9999,7,0)),"",VLOOKUP(C834,Questions!$A$1:G$9999,7,0))</f>
        <v>3</v>
      </c>
      <c r="B834" s="17" t="str">
        <f t="shared" si="12"/>
        <v>Problem</v>
      </c>
      <c r="C834" s="30" t="s">
        <v>1227</v>
      </c>
    </row>
    <row r="835" spans="1:3" x14ac:dyDescent="0.2">
      <c r="A835">
        <f>IF(ISERROR(VLOOKUP(C835,Questions!$A$1:G$9999,7,0)),"",VLOOKUP(C835,Questions!$A$1:G$9999,7,0))</f>
        <v>2</v>
      </c>
      <c r="B835" s="17" t="str">
        <f t="shared" si="12"/>
        <v>Problem</v>
      </c>
      <c r="C835" s="30" t="s">
        <v>1228</v>
      </c>
    </row>
    <row r="836" spans="1:3" x14ac:dyDescent="0.2">
      <c r="A836">
        <f>IF(ISERROR(VLOOKUP(C836,Questions!$A$1:G$9999,7,0)),"",VLOOKUP(C836,Questions!$A$1:G$9999,7,0))</f>
        <v>4</v>
      </c>
      <c r="B836" s="17" t="str">
        <f t="shared" ref="B836:B899" si="13">HYPERLINK("http://www.mrhosey.com/RPhys/" &amp; C836 &amp; ".gif","Problem")</f>
        <v>Problem</v>
      </c>
      <c r="C836" s="30" t="s">
        <v>1229</v>
      </c>
    </row>
    <row r="837" spans="1:3" x14ac:dyDescent="0.2">
      <c r="A837">
        <f>IF(ISERROR(VLOOKUP(C837,Questions!$A$1:G$9999,7,0)),"",VLOOKUP(C837,Questions!$A$1:G$9999,7,0))</f>
        <v>1</v>
      </c>
      <c r="B837" s="17" t="str">
        <f t="shared" si="13"/>
        <v>Problem</v>
      </c>
      <c r="C837" s="30" t="s">
        <v>1230</v>
      </c>
    </row>
    <row r="838" spans="1:3" x14ac:dyDescent="0.2">
      <c r="A838" t="str">
        <f>IF(ISERROR(VLOOKUP(C838,Questions!$A$1:G$9999,7,0)),"",VLOOKUP(C838,Questions!$A$1:G$9999,7,0))</f>
        <v/>
      </c>
      <c r="B838" s="17" t="str">
        <f t="shared" si="13"/>
        <v>Problem</v>
      </c>
      <c r="C838" s="12" t="s">
        <v>12</v>
      </c>
    </row>
    <row r="839" spans="1:3" x14ac:dyDescent="0.2">
      <c r="A839" t="str">
        <f>IF(ISERROR(VLOOKUP(C839,Questions!$A$1:G$9999,7,0)),"",VLOOKUP(C839,Questions!$A$1:G$9999,7,0))</f>
        <v/>
      </c>
      <c r="B839" s="17" t="str">
        <f t="shared" si="13"/>
        <v>Problem</v>
      </c>
      <c r="C839" s="29" t="s">
        <v>789</v>
      </c>
    </row>
    <row r="840" spans="1:3" x14ac:dyDescent="0.2">
      <c r="A840">
        <f>IF(ISERROR(VLOOKUP(C840,Questions!$A$1:G$9999,7,0)),"",VLOOKUP(C840,Questions!$A$1:G$9999,7,0))</f>
        <v>3</v>
      </c>
      <c r="B840" s="17" t="str">
        <f t="shared" si="13"/>
        <v>Problem</v>
      </c>
      <c r="C840" s="30" t="s">
        <v>1042</v>
      </c>
    </row>
    <row r="841" spans="1:3" x14ac:dyDescent="0.2">
      <c r="A841" t="str">
        <f>IF(ISERROR(VLOOKUP(C841,Questions!$A$1:G$9999,7,0)),"",VLOOKUP(C841,Questions!$A$1:G$9999,7,0))</f>
        <v/>
      </c>
      <c r="B841" s="17" t="str">
        <f t="shared" si="13"/>
        <v>Problem</v>
      </c>
      <c r="C841" s="29" t="s">
        <v>777</v>
      </c>
    </row>
    <row r="842" spans="1:3" x14ac:dyDescent="0.2">
      <c r="A842">
        <f>IF(ISERROR(VLOOKUP(C842,Questions!$A$1:G$9999,7,0)),"",VLOOKUP(C842,Questions!$A$1:G$9999,7,0))</f>
        <v>1</v>
      </c>
      <c r="B842" s="17" t="str">
        <f t="shared" si="13"/>
        <v>Problem</v>
      </c>
      <c r="C842" s="30" t="s">
        <v>643</v>
      </c>
    </row>
    <row r="843" spans="1:3" x14ac:dyDescent="0.2">
      <c r="A843" t="str">
        <f>IF(ISERROR(VLOOKUP(C843,Questions!$A$1:G$9999,7,0)),"",VLOOKUP(C843,Questions!$A$1:G$9999,7,0))</f>
        <v/>
      </c>
      <c r="B843" s="17" t="str">
        <f t="shared" si="13"/>
        <v>Problem</v>
      </c>
      <c r="C843" s="29" t="s">
        <v>778</v>
      </c>
    </row>
    <row r="844" spans="1:3" x14ac:dyDescent="0.2">
      <c r="A844">
        <f>IF(ISERROR(VLOOKUP(C844,Questions!$A$1:G$9999,7,0)),"",VLOOKUP(C844,Questions!$A$1:G$9999,7,0))</f>
        <v>1</v>
      </c>
      <c r="B844" s="17" t="str">
        <f t="shared" si="13"/>
        <v>Problem</v>
      </c>
      <c r="C844" s="30" t="s">
        <v>707</v>
      </c>
    </row>
    <row r="845" spans="1:3" x14ac:dyDescent="0.2">
      <c r="A845" t="str">
        <f>IF(ISERROR(VLOOKUP(C845,Questions!$A$1:G$9999,7,0)),"",VLOOKUP(C845,Questions!$A$1:G$9999,7,0))</f>
        <v/>
      </c>
      <c r="B845" s="17" t="str">
        <f t="shared" si="13"/>
        <v>Problem</v>
      </c>
      <c r="C845" s="29" t="s">
        <v>779</v>
      </c>
    </row>
    <row r="846" spans="1:3" x14ac:dyDescent="0.2">
      <c r="A846">
        <f>IF(ISERROR(VLOOKUP(C846,Questions!$A$1:G$9999,7,0)),"",VLOOKUP(C846,Questions!$A$1:G$9999,7,0))</f>
        <v>1</v>
      </c>
      <c r="B846" s="17" t="str">
        <f t="shared" si="13"/>
        <v>Problem</v>
      </c>
      <c r="C846" s="30" t="s">
        <v>1043</v>
      </c>
    </row>
    <row r="847" spans="1:3" x14ac:dyDescent="0.2">
      <c r="A847" t="str">
        <f>IF(ISERROR(VLOOKUP(C847,Questions!$A$1:G$9999,7,0)),"",VLOOKUP(C847,Questions!$A$1:G$9999,7,0))</f>
        <v/>
      </c>
      <c r="B847" s="17" t="str">
        <f t="shared" si="13"/>
        <v>Problem</v>
      </c>
      <c r="C847" s="29" t="s">
        <v>780</v>
      </c>
    </row>
    <row r="848" spans="1:3" x14ac:dyDescent="0.2">
      <c r="A848">
        <f>IF(ISERROR(VLOOKUP(C848,Questions!$A$1:G$9999,7,0)),"",VLOOKUP(C848,Questions!$A$1:G$9999,7,0))</f>
        <v>2</v>
      </c>
      <c r="B848" s="17" t="str">
        <f t="shared" si="13"/>
        <v>Problem</v>
      </c>
      <c r="C848" s="30" t="s">
        <v>1044</v>
      </c>
    </row>
    <row r="849" spans="1:3" x14ac:dyDescent="0.2">
      <c r="A849" t="str">
        <f>IF(ISERROR(VLOOKUP(C849,Questions!$A$1:G$9999,7,0)),"",VLOOKUP(C849,Questions!$A$1:G$9999,7,0))</f>
        <v/>
      </c>
      <c r="B849" s="17" t="str">
        <f t="shared" si="13"/>
        <v>Problem</v>
      </c>
      <c r="C849" s="29" t="s">
        <v>781</v>
      </c>
    </row>
    <row r="850" spans="1:3" x14ac:dyDescent="0.2">
      <c r="A850">
        <f>IF(ISERROR(VLOOKUP(C850,Questions!$A$1:G$9999,7,0)),"",VLOOKUP(C850,Questions!$A$1:G$9999,7,0))</f>
        <v>4</v>
      </c>
      <c r="B850" s="17" t="str">
        <f t="shared" si="13"/>
        <v>Problem</v>
      </c>
      <c r="C850" s="30" t="s">
        <v>1045</v>
      </c>
    </row>
    <row r="851" spans="1:3" x14ac:dyDescent="0.2">
      <c r="A851" t="str">
        <f>IF(ISERROR(VLOOKUP(C851,Questions!$A$1:G$9999,7,0)),"",VLOOKUP(C851,Questions!$A$1:G$9999,7,0))</f>
        <v/>
      </c>
      <c r="B851" s="17" t="str">
        <f t="shared" si="13"/>
        <v>Problem</v>
      </c>
      <c r="C851" s="29" t="s">
        <v>826</v>
      </c>
    </row>
    <row r="852" spans="1:3" x14ac:dyDescent="0.2">
      <c r="A852">
        <f>IF(ISERROR(VLOOKUP(C852,Questions!$A$1:G$9999,7,0)),"",VLOOKUP(C852,Questions!$A$1:G$9999,7,0))</f>
        <v>3</v>
      </c>
      <c r="B852" s="17" t="str">
        <f t="shared" si="13"/>
        <v>Problem</v>
      </c>
      <c r="C852" s="30" t="s">
        <v>1046</v>
      </c>
    </row>
    <row r="853" spans="1:3" x14ac:dyDescent="0.2">
      <c r="A853" t="str">
        <f>IF(ISERROR(VLOOKUP(C853,Questions!$A$1:G$9999,7,0)),"",VLOOKUP(C853,Questions!$A$1:G$9999,7,0))</f>
        <v/>
      </c>
      <c r="B853" s="17" t="str">
        <f t="shared" si="13"/>
        <v>Problem</v>
      </c>
      <c r="C853" s="12" t="s">
        <v>548</v>
      </c>
    </row>
    <row r="854" spans="1:3" x14ac:dyDescent="0.2">
      <c r="A854" t="str">
        <f>IF(ISERROR(VLOOKUP(C854,Questions!$A$1:G$9999,7,0)),"",VLOOKUP(C854,Questions!$A$1:G$9999,7,0))</f>
        <v/>
      </c>
      <c r="B854" s="17" t="str">
        <f t="shared" si="13"/>
        <v>Problem</v>
      </c>
      <c r="C854" s="29" t="s">
        <v>777</v>
      </c>
    </row>
    <row r="855" spans="1:3" x14ac:dyDescent="0.2">
      <c r="A855">
        <f>IF(ISERROR(VLOOKUP(C855,Questions!$A$1:G$9999,7,0)),"",VLOOKUP(C855,Questions!$A$1:G$9999,7,0))</f>
        <v>4</v>
      </c>
      <c r="B855" s="17" t="str">
        <f t="shared" si="13"/>
        <v>Problem</v>
      </c>
      <c r="C855" s="30" t="s">
        <v>655</v>
      </c>
    </row>
    <row r="856" spans="1:3" x14ac:dyDescent="0.2">
      <c r="A856" t="str">
        <f>IF(ISERROR(VLOOKUP(C856,Questions!$A$1:G$9999,7,0)),"",VLOOKUP(C856,Questions!$A$1:G$9999,7,0))</f>
        <v/>
      </c>
      <c r="B856" s="17" t="str">
        <f t="shared" si="13"/>
        <v>Problem</v>
      </c>
      <c r="C856" s="29" t="s">
        <v>778</v>
      </c>
    </row>
    <row r="857" spans="1:3" x14ac:dyDescent="0.2">
      <c r="A857">
        <f>IF(ISERROR(VLOOKUP(C857,Questions!$A$1:G$9999,7,0)),"",VLOOKUP(C857,Questions!$A$1:G$9999,7,0))</f>
        <v>4</v>
      </c>
      <c r="B857" s="17" t="str">
        <f t="shared" si="13"/>
        <v>Problem</v>
      </c>
      <c r="C857" s="30" t="s">
        <v>727</v>
      </c>
    </row>
    <row r="858" spans="1:3" x14ac:dyDescent="0.2">
      <c r="A858">
        <f>IF(ISERROR(VLOOKUP(C858,Questions!$A$1:G$9999,7,0)),"",VLOOKUP(C858,Questions!$A$1:G$9999,7,0))</f>
        <v>2</v>
      </c>
      <c r="B858" s="17" t="str">
        <f t="shared" si="13"/>
        <v>Problem</v>
      </c>
      <c r="C858" s="30" t="s">
        <v>729</v>
      </c>
    </row>
    <row r="859" spans="1:3" x14ac:dyDescent="0.2">
      <c r="A859">
        <f>IF(ISERROR(VLOOKUP(C859,Questions!$A$1:G$9999,7,0)),"",VLOOKUP(C859,Questions!$A$1:G$9999,7,0))</f>
        <v>4</v>
      </c>
      <c r="B859" s="17" t="str">
        <f t="shared" si="13"/>
        <v>Problem</v>
      </c>
      <c r="C859" s="30" t="s">
        <v>734</v>
      </c>
    </row>
    <row r="860" spans="1:3" x14ac:dyDescent="0.2">
      <c r="A860">
        <f>IF(ISERROR(VLOOKUP(C860,Questions!$A$1:G$9999,7,0)),"",VLOOKUP(C860,Questions!$A$1:G$9999,7,0))</f>
        <v>1</v>
      </c>
      <c r="B860" s="17" t="str">
        <f t="shared" si="13"/>
        <v>Problem</v>
      </c>
      <c r="C860" s="30" t="s">
        <v>735</v>
      </c>
    </row>
    <row r="861" spans="1:3" x14ac:dyDescent="0.2">
      <c r="A861" t="str">
        <f>IF(ISERROR(VLOOKUP(C861,Questions!$A$1:G$9999,7,0)),"",VLOOKUP(C861,Questions!$A$1:G$9999,7,0))</f>
        <v/>
      </c>
      <c r="B861" s="17" t="str">
        <f t="shared" si="13"/>
        <v>Problem</v>
      </c>
      <c r="C861" s="29" t="s">
        <v>779</v>
      </c>
    </row>
    <row r="862" spans="1:3" x14ac:dyDescent="0.2">
      <c r="A862">
        <f>IF(ISERROR(VLOOKUP(C862,Questions!$A$1:G$9999,7,0)),"",VLOOKUP(C862,Questions!$A$1:G$9999,7,0))</f>
        <v>1</v>
      </c>
      <c r="B862" s="17" t="str">
        <f t="shared" si="13"/>
        <v>Problem</v>
      </c>
      <c r="C862" s="30" t="s">
        <v>766</v>
      </c>
    </row>
    <row r="863" spans="1:3" x14ac:dyDescent="0.2">
      <c r="A863">
        <f>IF(ISERROR(VLOOKUP(C863,Questions!$A$1:G$9999,7,0)),"",VLOOKUP(C863,Questions!$A$1:G$9999,7,0))</f>
        <v>3</v>
      </c>
      <c r="B863" s="17" t="str">
        <f t="shared" si="13"/>
        <v>Problem</v>
      </c>
      <c r="C863" s="30" t="s">
        <v>767</v>
      </c>
    </row>
    <row r="864" spans="1:3" x14ac:dyDescent="0.2">
      <c r="A864">
        <f>IF(ISERROR(VLOOKUP(C864,Questions!$A$1:G$9999,7,0)),"",VLOOKUP(C864,Questions!$A$1:G$9999,7,0))</f>
        <v>2</v>
      </c>
      <c r="B864" s="17" t="str">
        <f t="shared" si="13"/>
        <v>Problem</v>
      </c>
      <c r="C864" s="30" t="s">
        <v>768</v>
      </c>
    </row>
    <row r="865" spans="1:3" x14ac:dyDescent="0.2">
      <c r="A865">
        <f>IF(ISERROR(VLOOKUP(C865,Questions!$A$1:G$9999,7,0)),"",VLOOKUP(C865,Questions!$A$1:G$9999,7,0))</f>
        <v>4</v>
      </c>
      <c r="B865" s="17" t="str">
        <f t="shared" si="13"/>
        <v>Problem</v>
      </c>
      <c r="C865" s="30" t="s">
        <v>769</v>
      </c>
    </row>
    <row r="866" spans="1:3" x14ac:dyDescent="0.2">
      <c r="A866" t="str">
        <f>IF(ISERROR(VLOOKUP(C866,Questions!$A$1:G$9999,7,0)),"",VLOOKUP(C866,Questions!$A$1:G$9999,7,0))</f>
        <v/>
      </c>
      <c r="B866" s="17" t="str">
        <f t="shared" si="13"/>
        <v>Problem</v>
      </c>
      <c r="C866" s="29" t="s">
        <v>780</v>
      </c>
    </row>
    <row r="867" spans="1:3" x14ac:dyDescent="0.2">
      <c r="A867">
        <f>IF(ISERROR(VLOOKUP(C867,Questions!$A$1:G$9999,7,0)),"",VLOOKUP(C867,Questions!$A$1:G$9999,7,0))</f>
        <v>1</v>
      </c>
      <c r="B867" s="17" t="str">
        <f t="shared" si="13"/>
        <v>Problem</v>
      </c>
      <c r="C867" s="30" t="s">
        <v>770</v>
      </c>
    </row>
    <row r="868" spans="1:3" x14ac:dyDescent="0.2">
      <c r="A868">
        <f>IF(ISERROR(VLOOKUP(C868,Questions!$A$1:G$9999,7,0)),"",VLOOKUP(C868,Questions!$A$1:G$9999,7,0))</f>
        <v>4</v>
      </c>
      <c r="B868" s="17" t="str">
        <f t="shared" si="13"/>
        <v>Problem</v>
      </c>
      <c r="C868" s="30" t="s">
        <v>771</v>
      </c>
    </row>
    <row r="869" spans="1:3" x14ac:dyDescent="0.2">
      <c r="A869" t="str">
        <f>IF(ISERROR(VLOOKUP(C869,Questions!$A$1:G$9999,7,0)),"",VLOOKUP(C869,Questions!$A$1:G$9999,7,0))</f>
        <v/>
      </c>
      <c r="B869" s="17" t="str">
        <f t="shared" si="13"/>
        <v>Problem</v>
      </c>
      <c r="C869" s="29" t="s">
        <v>781</v>
      </c>
    </row>
    <row r="870" spans="1:3" x14ac:dyDescent="0.2">
      <c r="A870">
        <f>IF(ISERROR(VLOOKUP(C870,Questions!$A$1:G$9999,7,0)),"",VLOOKUP(C870,Questions!$A$1:G$9999,7,0))</f>
        <v>2</v>
      </c>
      <c r="B870" s="17" t="str">
        <f t="shared" si="13"/>
        <v>Problem</v>
      </c>
      <c r="C870" s="30" t="s">
        <v>772</v>
      </c>
    </row>
    <row r="871" spans="1:3" x14ac:dyDescent="0.2">
      <c r="A871">
        <f>IF(ISERROR(VLOOKUP(C871,Questions!$A$1:G$9999,7,0)),"",VLOOKUP(C871,Questions!$A$1:G$9999,7,0))</f>
        <v>3</v>
      </c>
      <c r="B871" s="17" t="str">
        <f t="shared" si="13"/>
        <v>Problem</v>
      </c>
      <c r="C871" s="30" t="s">
        <v>773</v>
      </c>
    </row>
    <row r="872" spans="1:3" x14ac:dyDescent="0.2">
      <c r="A872">
        <f>IF(ISERROR(VLOOKUP(C872,Questions!$A$1:G$9999,7,0)),"",VLOOKUP(C872,Questions!$A$1:G$9999,7,0))</f>
        <v>4</v>
      </c>
      <c r="B872" s="17" t="str">
        <f t="shared" si="13"/>
        <v>Problem</v>
      </c>
      <c r="C872" s="30" t="s">
        <v>774</v>
      </c>
    </row>
    <row r="873" spans="1:3" x14ac:dyDescent="0.2">
      <c r="A873">
        <f>IF(ISERROR(VLOOKUP(C873,Questions!$A$1:G$9999,7,0)),"",VLOOKUP(C873,Questions!$A$1:G$9999,7,0))</f>
        <v>2</v>
      </c>
      <c r="B873" s="17" t="str">
        <f t="shared" si="13"/>
        <v>Problem</v>
      </c>
      <c r="C873" s="30" t="s">
        <v>775</v>
      </c>
    </row>
    <row r="874" spans="1:3" x14ac:dyDescent="0.2">
      <c r="A874" t="str">
        <f>IF(ISERROR(VLOOKUP(C874,Questions!$A$1:G$9999,7,0)),"",VLOOKUP(C874,Questions!$A$1:G$9999,7,0))</f>
        <v/>
      </c>
      <c r="B874" s="17" t="str">
        <f t="shared" si="13"/>
        <v>Problem</v>
      </c>
      <c r="C874" s="29" t="s">
        <v>1195</v>
      </c>
    </row>
    <row r="875" spans="1:3" x14ac:dyDescent="0.2">
      <c r="A875">
        <f>IF(ISERROR(VLOOKUP(C875,Questions!$A$1:G$9999,7,0)),"",VLOOKUP(C875,Questions!$A$1:G$9999,7,0))</f>
        <v>3</v>
      </c>
      <c r="B875" s="17" t="str">
        <f t="shared" si="13"/>
        <v>Problem</v>
      </c>
      <c r="C875" s="30" t="s">
        <v>1231</v>
      </c>
    </row>
    <row r="876" spans="1:3" x14ac:dyDescent="0.2">
      <c r="A876" t="str">
        <f>IF(ISERROR(VLOOKUP(C876,Questions!$A$1:G$9999,7,0)),"",VLOOKUP(C876,Questions!$A$1:G$9999,7,0))</f>
        <v/>
      </c>
      <c r="B876" s="17" t="str">
        <f t="shared" si="13"/>
        <v>Problem</v>
      </c>
      <c r="C876" s="12" t="s">
        <v>1</v>
      </c>
    </row>
    <row r="877" spans="1:3" x14ac:dyDescent="0.2">
      <c r="A877" t="str">
        <f>IF(ISERROR(VLOOKUP(C877,Questions!$A$1:G$9999,7,0)),"",VLOOKUP(C877,Questions!$A$1:G$9999,7,0))</f>
        <v/>
      </c>
      <c r="B877" s="17" t="str">
        <f t="shared" si="13"/>
        <v>Problem</v>
      </c>
      <c r="C877" s="29" t="s">
        <v>785</v>
      </c>
    </row>
    <row r="878" spans="1:3" x14ac:dyDescent="0.2">
      <c r="A878">
        <f>IF(ISERROR(VLOOKUP(C878,Questions!$A$1:G$9999,7,0)),"",VLOOKUP(C878,Questions!$A$1:G$9999,7,0))</f>
        <v>1</v>
      </c>
      <c r="B878" s="17" t="str">
        <f t="shared" si="13"/>
        <v>Problem</v>
      </c>
      <c r="C878" s="30" t="s">
        <v>1047</v>
      </c>
    </row>
    <row r="879" spans="1:3" x14ac:dyDescent="0.2">
      <c r="A879" t="str">
        <f>IF(ISERROR(VLOOKUP(C879,Questions!$A$1:G$9999,7,0)),"",VLOOKUP(C879,Questions!$A$1:G$9999,7,0))</f>
        <v/>
      </c>
      <c r="B879" s="17" t="str">
        <f t="shared" si="13"/>
        <v>Problem</v>
      </c>
      <c r="C879" s="29" t="s">
        <v>787</v>
      </c>
    </row>
    <row r="880" spans="1:3" x14ac:dyDescent="0.2">
      <c r="A880">
        <f>IF(ISERROR(VLOOKUP(C880,Questions!$A$1:G$9999,7,0)),"",VLOOKUP(C880,Questions!$A$1:G$9999,7,0))</f>
        <v>4</v>
      </c>
      <c r="B880" s="17" t="str">
        <f t="shared" si="13"/>
        <v>Problem</v>
      </c>
      <c r="C880" s="30" t="s">
        <v>71</v>
      </c>
    </row>
    <row r="881" spans="1:3" x14ac:dyDescent="0.2">
      <c r="A881" t="str">
        <f>IF(ISERROR(VLOOKUP(C881,Questions!$A$1:G$9999,7,0)),"",VLOOKUP(C881,Questions!$A$1:G$9999,7,0))</f>
        <v/>
      </c>
      <c r="B881" s="17" t="str">
        <f t="shared" si="13"/>
        <v>Problem</v>
      </c>
      <c r="C881" s="29" t="s">
        <v>789</v>
      </c>
    </row>
    <row r="882" spans="1:3" x14ac:dyDescent="0.2">
      <c r="A882">
        <f>IF(ISERROR(VLOOKUP(C882,Questions!$A$1:G$9999,7,0)),"",VLOOKUP(C882,Questions!$A$1:G$9999,7,0))</f>
        <v>4</v>
      </c>
      <c r="B882" s="17" t="str">
        <f t="shared" si="13"/>
        <v>Problem</v>
      </c>
      <c r="C882" s="30" t="s">
        <v>116</v>
      </c>
    </row>
    <row r="883" spans="1:3" x14ac:dyDescent="0.2">
      <c r="A883">
        <f>IF(ISERROR(VLOOKUP(C883,Questions!$A$1:G$9999,7,0)),"",VLOOKUP(C883,Questions!$A$1:G$9999,7,0))</f>
        <v>3</v>
      </c>
      <c r="B883" s="17" t="str">
        <f t="shared" si="13"/>
        <v>Problem</v>
      </c>
      <c r="C883" s="30" t="s">
        <v>1048</v>
      </c>
    </row>
    <row r="884" spans="1:3" x14ac:dyDescent="0.2">
      <c r="A884" t="str">
        <f>IF(ISERROR(VLOOKUP(C884,Questions!$A$1:G$9999,7,0)),"",VLOOKUP(C884,Questions!$A$1:G$9999,7,0))</f>
        <v/>
      </c>
      <c r="B884" s="17" t="str">
        <f t="shared" si="13"/>
        <v>Problem</v>
      </c>
      <c r="C884" s="29" t="s">
        <v>793</v>
      </c>
    </row>
    <row r="885" spans="1:3" x14ac:dyDescent="0.2">
      <c r="A885">
        <f>IF(ISERROR(VLOOKUP(C885,Questions!$A$1:G$9999,7,0)),"",VLOOKUP(C885,Questions!$A$1:G$9999,7,0))</f>
        <v>3</v>
      </c>
      <c r="B885" s="17" t="str">
        <f t="shared" si="13"/>
        <v>Problem</v>
      </c>
      <c r="C885" s="30" t="s">
        <v>1049</v>
      </c>
    </row>
    <row r="886" spans="1:3" x14ac:dyDescent="0.2">
      <c r="A886" t="str">
        <f>IF(ISERROR(VLOOKUP(C886,Questions!$A$1:G$9999,7,0)),"",VLOOKUP(C886,Questions!$A$1:G$9999,7,0))</f>
        <v/>
      </c>
      <c r="B886" s="17" t="str">
        <f t="shared" si="13"/>
        <v>Problem</v>
      </c>
      <c r="C886" s="29" t="s">
        <v>795</v>
      </c>
    </row>
    <row r="887" spans="1:3" x14ac:dyDescent="0.2">
      <c r="A887">
        <f>IF(ISERROR(VLOOKUP(C887,Questions!$A$1:G$9999,7,0)),"",VLOOKUP(C887,Questions!$A$1:G$9999,7,0))</f>
        <v>3</v>
      </c>
      <c r="B887" s="17" t="str">
        <f t="shared" si="13"/>
        <v>Problem</v>
      </c>
      <c r="C887" s="30" t="s">
        <v>1050</v>
      </c>
    </row>
    <row r="888" spans="1:3" x14ac:dyDescent="0.2">
      <c r="A888" t="str">
        <f>IF(ISERROR(VLOOKUP(C888,Questions!$A$1:G$9999,7,0)),"",VLOOKUP(C888,Questions!$A$1:G$9999,7,0))</f>
        <v/>
      </c>
      <c r="B888" s="17" t="str">
        <f t="shared" si="13"/>
        <v>Problem</v>
      </c>
      <c r="C888" s="29" t="s">
        <v>797</v>
      </c>
    </row>
    <row r="889" spans="1:3" x14ac:dyDescent="0.2">
      <c r="A889">
        <f>IF(ISERROR(VLOOKUP(C889,Questions!$A$1:G$9999,7,0)),"",VLOOKUP(C889,Questions!$A$1:G$9999,7,0))</f>
        <v>4</v>
      </c>
      <c r="B889" s="17" t="str">
        <f t="shared" si="13"/>
        <v>Problem</v>
      </c>
      <c r="C889" s="30" t="s">
        <v>197</v>
      </c>
    </row>
    <row r="890" spans="1:3" x14ac:dyDescent="0.2">
      <c r="A890">
        <f>IF(ISERROR(VLOOKUP(C890,Questions!$A$1:G$9999,7,0)),"",VLOOKUP(C890,Questions!$A$1:G$9999,7,0))</f>
        <v>3</v>
      </c>
      <c r="B890" s="17" t="str">
        <f t="shared" si="13"/>
        <v>Problem</v>
      </c>
      <c r="C890" s="30" t="s">
        <v>1051</v>
      </c>
    </row>
    <row r="891" spans="1:3" x14ac:dyDescent="0.2">
      <c r="A891" t="str">
        <f>IF(ISERROR(VLOOKUP(C891,Questions!$A$1:G$9999,7,0)),"",VLOOKUP(C891,Questions!$A$1:G$9999,7,0))</f>
        <v/>
      </c>
      <c r="B891" s="17" t="str">
        <f t="shared" si="13"/>
        <v>Problem</v>
      </c>
      <c r="C891" s="29" t="s">
        <v>799</v>
      </c>
    </row>
    <row r="892" spans="1:3" x14ac:dyDescent="0.2">
      <c r="A892">
        <f>IF(ISERROR(VLOOKUP(C892,Questions!$A$1:G$9999,7,0)),"",VLOOKUP(C892,Questions!$A$1:G$9999,7,0))</f>
        <v>2</v>
      </c>
      <c r="B892" s="17" t="str">
        <f t="shared" si="13"/>
        <v>Problem</v>
      </c>
      <c r="C892" s="30" t="s">
        <v>764</v>
      </c>
    </row>
    <row r="893" spans="1:3" x14ac:dyDescent="0.2">
      <c r="A893">
        <f>IF(ISERROR(VLOOKUP(C893,Questions!$A$1:G$9999,7,0)),"",VLOOKUP(C893,Questions!$A$1:G$9999,7,0))</f>
        <v>1</v>
      </c>
      <c r="B893" s="17" t="str">
        <f t="shared" si="13"/>
        <v>Problem</v>
      </c>
      <c r="C893" s="30" t="s">
        <v>1052</v>
      </c>
    </row>
    <row r="894" spans="1:3" x14ac:dyDescent="0.2">
      <c r="A894" t="str">
        <f>IF(ISERROR(VLOOKUP(C894,Questions!$A$1:G$9999,7,0)),"",VLOOKUP(C894,Questions!$A$1:G$9999,7,0))</f>
        <v/>
      </c>
      <c r="B894" s="17" t="str">
        <f t="shared" si="13"/>
        <v>Problem</v>
      </c>
      <c r="C894" s="29" t="s">
        <v>801</v>
      </c>
    </row>
    <row r="895" spans="1:3" x14ac:dyDescent="0.2">
      <c r="A895">
        <f>IF(ISERROR(VLOOKUP(C895,Questions!$A$1:G$9999,7,0)),"",VLOOKUP(C895,Questions!$A$1:G$9999,7,0))</f>
        <v>2</v>
      </c>
      <c r="B895" s="17" t="str">
        <f t="shared" si="13"/>
        <v>Problem</v>
      </c>
      <c r="C895" s="30" t="s">
        <v>1053</v>
      </c>
    </row>
    <row r="896" spans="1:3" x14ac:dyDescent="0.2">
      <c r="A896">
        <f>IF(ISERROR(VLOOKUP(C896,Questions!$A$1:G$9999,7,0)),"",VLOOKUP(C896,Questions!$A$1:G$9999,7,0))</f>
        <v>4</v>
      </c>
      <c r="B896" s="17" t="str">
        <f t="shared" si="13"/>
        <v>Problem</v>
      </c>
      <c r="C896" s="30" t="s">
        <v>1054</v>
      </c>
    </row>
    <row r="897" spans="1:3" x14ac:dyDescent="0.2">
      <c r="A897" t="str">
        <f>IF(ISERROR(VLOOKUP(C897,Questions!$A$1:G$9999,7,0)),"",VLOOKUP(C897,Questions!$A$1:G$9999,7,0))</f>
        <v/>
      </c>
      <c r="B897" s="17" t="str">
        <f t="shared" si="13"/>
        <v>Problem</v>
      </c>
      <c r="C897" s="29" t="s">
        <v>802</v>
      </c>
    </row>
    <row r="898" spans="1:3" x14ac:dyDescent="0.2">
      <c r="A898">
        <f>IF(ISERROR(VLOOKUP(C898,Questions!$A$1:G$9999,7,0)),"",VLOOKUP(C898,Questions!$A$1:G$9999,7,0))</f>
        <v>3</v>
      </c>
      <c r="B898" s="17" t="str">
        <f t="shared" si="13"/>
        <v>Problem</v>
      </c>
      <c r="C898" s="30" t="s">
        <v>1055</v>
      </c>
    </row>
    <row r="899" spans="1:3" x14ac:dyDescent="0.2">
      <c r="A899">
        <f>IF(ISERROR(VLOOKUP(C899,Questions!$A$1:G$9999,7,0)),"",VLOOKUP(C899,Questions!$A$1:G$9999,7,0))</f>
        <v>1</v>
      </c>
      <c r="B899" s="17" t="str">
        <f t="shared" si="13"/>
        <v>Problem</v>
      </c>
      <c r="C899" s="30" t="s">
        <v>1056</v>
      </c>
    </row>
    <row r="900" spans="1:3" x14ac:dyDescent="0.2">
      <c r="A900" t="str">
        <f>IF(ISERROR(VLOOKUP(C900,Questions!$A$1:G$9999,7,0)),"",VLOOKUP(C900,Questions!$A$1:G$9999,7,0))</f>
        <v/>
      </c>
      <c r="B900" s="17" t="str">
        <f t="shared" ref="B900:B963" si="14">HYPERLINK("http://www.mrhosey.com/RPhys/" &amp; C900 &amp; ".gif","Problem")</f>
        <v>Problem</v>
      </c>
      <c r="C900" s="29" t="s">
        <v>803</v>
      </c>
    </row>
    <row r="901" spans="1:3" x14ac:dyDescent="0.2">
      <c r="A901">
        <f>IF(ISERROR(VLOOKUP(C901,Questions!$A$1:G$9999,7,0)),"",VLOOKUP(C901,Questions!$A$1:G$9999,7,0))</f>
        <v>2</v>
      </c>
      <c r="B901" s="17" t="str">
        <f t="shared" si="14"/>
        <v>Problem</v>
      </c>
      <c r="C901" s="30" t="s">
        <v>1057</v>
      </c>
    </row>
    <row r="902" spans="1:3" x14ac:dyDescent="0.2">
      <c r="A902" t="str">
        <f>IF(ISERROR(VLOOKUP(C902,Questions!$A$1:G$9999,7,0)),"",VLOOKUP(C902,Questions!$A$1:G$9999,7,0))</f>
        <v/>
      </c>
      <c r="B902" s="17" t="str">
        <f t="shared" si="14"/>
        <v>Problem</v>
      </c>
      <c r="C902" s="29" t="s">
        <v>805</v>
      </c>
    </row>
    <row r="903" spans="1:3" x14ac:dyDescent="0.2">
      <c r="A903">
        <f>IF(ISERROR(VLOOKUP(C903,Questions!$A$1:G$9999,7,0)),"",VLOOKUP(C903,Questions!$A$1:G$9999,7,0))</f>
        <v>4</v>
      </c>
      <c r="B903" s="17" t="str">
        <f t="shared" si="14"/>
        <v>Problem</v>
      </c>
      <c r="C903" s="30" t="s">
        <v>1058</v>
      </c>
    </row>
    <row r="904" spans="1:3" x14ac:dyDescent="0.2">
      <c r="A904" t="str">
        <f>IF(ISERROR(VLOOKUP(C904,Questions!$A$1:G$9999,7,0)),"",VLOOKUP(C904,Questions!$A$1:G$9999,7,0))</f>
        <v/>
      </c>
      <c r="B904" s="17" t="str">
        <f t="shared" si="14"/>
        <v>Problem</v>
      </c>
      <c r="C904" s="29" t="s">
        <v>807</v>
      </c>
    </row>
    <row r="905" spans="1:3" x14ac:dyDescent="0.2">
      <c r="A905">
        <f>IF(ISERROR(VLOOKUP(C905,Questions!$A$1:G$9999,7,0)),"",VLOOKUP(C905,Questions!$A$1:G$9999,7,0))</f>
        <v>2</v>
      </c>
      <c r="B905" s="17" t="str">
        <f t="shared" si="14"/>
        <v>Problem</v>
      </c>
      <c r="C905" s="30" t="s">
        <v>1059</v>
      </c>
    </row>
    <row r="906" spans="1:3" x14ac:dyDescent="0.2">
      <c r="A906">
        <f>IF(ISERROR(VLOOKUP(C906,Questions!$A$1:G$9999,7,0)),"",VLOOKUP(C906,Questions!$A$1:G$9999,7,0))</f>
        <v>1</v>
      </c>
      <c r="B906" s="17" t="str">
        <f t="shared" si="14"/>
        <v>Problem</v>
      </c>
      <c r="C906" s="30" t="s">
        <v>1060</v>
      </c>
    </row>
    <row r="907" spans="1:3" x14ac:dyDescent="0.2">
      <c r="A907" t="str">
        <f>IF(ISERROR(VLOOKUP(C907,Questions!$A$1:G$9999,7,0)),"",VLOOKUP(C907,Questions!$A$1:G$9999,7,0))</f>
        <v/>
      </c>
      <c r="B907" s="17" t="str">
        <f t="shared" si="14"/>
        <v>Problem</v>
      </c>
      <c r="C907" s="29" t="s">
        <v>808</v>
      </c>
    </row>
    <row r="908" spans="1:3" x14ac:dyDescent="0.2">
      <c r="A908">
        <f>IF(ISERROR(VLOOKUP(C908,Questions!$A$1:G$9999,7,0)),"",VLOOKUP(C908,Questions!$A$1:G$9999,7,0))</f>
        <v>1</v>
      </c>
      <c r="B908" s="17" t="str">
        <f t="shared" si="14"/>
        <v>Problem</v>
      </c>
      <c r="C908" s="30" t="s">
        <v>1061</v>
      </c>
    </row>
    <row r="909" spans="1:3" x14ac:dyDescent="0.2">
      <c r="A909">
        <f>IF(ISERROR(VLOOKUP(C909,Questions!$A$1:G$9999,7,0)),"",VLOOKUP(C909,Questions!$A$1:G$9999,7,0))</f>
        <v>3</v>
      </c>
      <c r="B909" s="17" t="str">
        <f t="shared" si="14"/>
        <v>Problem</v>
      </c>
      <c r="C909" s="30" t="s">
        <v>1062</v>
      </c>
    </row>
    <row r="910" spans="1:3" x14ac:dyDescent="0.2">
      <c r="A910" t="str">
        <f>IF(ISERROR(VLOOKUP(C910,Questions!$A$1:G$9999,7,0)),"",VLOOKUP(C910,Questions!$A$1:G$9999,7,0))</f>
        <v/>
      </c>
      <c r="B910" s="17" t="str">
        <f t="shared" si="14"/>
        <v>Problem</v>
      </c>
      <c r="C910" s="29" t="s">
        <v>810</v>
      </c>
    </row>
    <row r="911" spans="1:3" x14ac:dyDescent="0.2">
      <c r="A911">
        <f>IF(ISERROR(VLOOKUP(C911,Questions!$A$1:G$9999,7,0)),"",VLOOKUP(C911,Questions!$A$1:G$9999,7,0))</f>
        <v>3</v>
      </c>
      <c r="B911" s="17" t="str">
        <f t="shared" si="14"/>
        <v>Problem</v>
      </c>
      <c r="C911" s="30" t="s">
        <v>1063</v>
      </c>
    </row>
    <row r="912" spans="1:3" x14ac:dyDescent="0.2">
      <c r="A912">
        <f>IF(ISERROR(VLOOKUP(C912,Questions!$A$1:G$9999,7,0)),"",VLOOKUP(C912,Questions!$A$1:G$9999,7,0))</f>
        <v>4</v>
      </c>
      <c r="B912" s="17" t="str">
        <f t="shared" si="14"/>
        <v>Problem</v>
      </c>
      <c r="C912" s="30" t="s">
        <v>1064</v>
      </c>
    </row>
    <row r="913" spans="1:3" x14ac:dyDescent="0.2">
      <c r="A913" t="str">
        <f>IF(ISERROR(VLOOKUP(C913,Questions!$A$1:G$9999,7,0)),"",VLOOKUP(C913,Questions!$A$1:G$9999,7,0))</f>
        <v/>
      </c>
      <c r="B913" s="17" t="str">
        <f t="shared" si="14"/>
        <v>Problem</v>
      </c>
      <c r="C913" s="29" t="s">
        <v>811</v>
      </c>
    </row>
    <row r="914" spans="1:3" x14ac:dyDescent="0.2">
      <c r="A914">
        <f>IF(ISERROR(VLOOKUP(C914,Questions!$A$1:G$9999,7,0)),"",VLOOKUP(C914,Questions!$A$1:G$9999,7,0))</f>
        <v>2</v>
      </c>
      <c r="B914" s="17" t="str">
        <f t="shared" si="14"/>
        <v>Problem</v>
      </c>
      <c r="C914" s="30" t="s">
        <v>527</v>
      </c>
    </row>
    <row r="915" spans="1:3" x14ac:dyDescent="0.2">
      <c r="A915">
        <f>IF(ISERROR(VLOOKUP(C915,Questions!$A$1:G$9999,7,0)),"",VLOOKUP(C915,Questions!$A$1:G$9999,7,0))</f>
        <v>2</v>
      </c>
      <c r="B915" s="17" t="str">
        <f t="shared" si="14"/>
        <v>Problem</v>
      </c>
      <c r="C915" s="30" t="s">
        <v>1065</v>
      </c>
    </row>
    <row r="916" spans="1:3" x14ac:dyDescent="0.2">
      <c r="A916" t="str">
        <f>IF(ISERROR(VLOOKUP(C916,Questions!$A$1:G$9999,7,0)),"",VLOOKUP(C916,Questions!$A$1:G$9999,7,0))</f>
        <v/>
      </c>
      <c r="B916" s="17" t="str">
        <f t="shared" si="14"/>
        <v>Problem</v>
      </c>
      <c r="C916" s="29" t="s">
        <v>777</v>
      </c>
    </row>
    <row r="917" spans="1:3" x14ac:dyDescent="0.2">
      <c r="A917">
        <f>IF(ISERROR(VLOOKUP(C917,Questions!$A$1:G$9999,7,0)),"",VLOOKUP(C917,Questions!$A$1:G$9999,7,0))</f>
        <v>1</v>
      </c>
      <c r="B917" s="17" t="str">
        <f t="shared" si="14"/>
        <v>Problem</v>
      </c>
      <c r="C917" s="30" t="s">
        <v>1066</v>
      </c>
    </row>
    <row r="918" spans="1:3" x14ac:dyDescent="0.2">
      <c r="A918">
        <f>IF(ISERROR(VLOOKUP(C918,Questions!$A$1:G$9999,7,0)),"",VLOOKUP(C918,Questions!$A$1:G$9999,7,0))</f>
        <v>1</v>
      </c>
      <c r="B918" s="17" t="str">
        <f t="shared" si="14"/>
        <v>Problem</v>
      </c>
      <c r="C918" s="30" t="s">
        <v>1067</v>
      </c>
    </row>
    <row r="919" spans="1:3" x14ac:dyDescent="0.2">
      <c r="A919" t="str">
        <f>IF(ISERROR(VLOOKUP(C919,Questions!$A$1:G$9999,7,0)),"",VLOOKUP(C919,Questions!$A$1:G$9999,7,0))</f>
        <v/>
      </c>
      <c r="B919" s="17" t="str">
        <f t="shared" si="14"/>
        <v>Problem</v>
      </c>
      <c r="C919" s="29" t="s">
        <v>778</v>
      </c>
    </row>
    <row r="920" spans="1:3" x14ac:dyDescent="0.2">
      <c r="A920">
        <f>IF(ISERROR(VLOOKUP(C920,Questions!$A$1:G$9999,7,0)),"",VLOOKUP(C920,Questions!$A$1:G$9999,7,0))</f>
        <v>2</v>
      </c>
      <c r="B920" s="17" t="str">
        <f t="shared" si="14"/>
        <v>Problem</v>
      </c>
      <c r="C920" s="30" t="s">
        <v>724</v>
      </c>
    </row>
    <row r="921" spans="1:3" x14ac:dyDescent="0.2">
      <c r="A921">
        <f>IF(ISERROR(VLOOKUP(C921,Questions!$A$1:G$9999,7,0)),"",VLOOKUP(C921,Questions!$A$1:G$9999,7,0))</f>
        <v>4</v>
      </c>
      <c r="B921" s="17" t="str">
        <f t="shared" si="14"/>
        <v>Problem</v>
      </c>
      <c r="C921" s="30" t="s">
        <v>725</v>
      </c>
    </row>
    <row r="922" spans="1:3" x14ac:dyDescent="0.2">
      <c r="A922" t="str">
        <f>IF(ISERROR(VLOOKUP(C922,Questions!$A$1:G$9999,7,0)),"",VLOOKUP(C922,Questions!$A$1:G$9999,7,0))</f>
        <v/>
      </c>
      <c r="B922" s="17" t="str">
        <f t="shared" si="14"/>
        <v>Problem</v>
      </c>
      <c r="C922" s="29" t="s">
        <v>779</v>
      </c>
    </row>
    <row r="923" spans="1:3" x14ac:dyDescent="0.2">
      <c r="A923">
        <f>IF(ISERROR(VLOOKUP(C923,Questions!$A$1:G$9999,7,0)),"",VLOOKUP(C923,Questions!$A$1:G$9999,7,0))</f>
        <v>2</v>
      </c>
      <c r="B923" s="17" t="str">
        <f t="shared" si="14"/>
        <v>Problem</v>
      </c>
      <c r="C923" s="30" t="s">
        <v>1068</v>
      </c>
    </row>
    <row r="924" spans="1:3" x14ac:dyDescent="0.2">
      <c r="A924" t="str">
        <f>IF(ISERROR(VLOOKUP(C924,Questions!$A$1:G$9999,7,0)),"",VLOOKUP(C924,Questions!$A$1:G$9999,7,0))</f>
        <v/>
      </c>
      <c r="B924" s="17" t="str">
        <f t="shared" si="14"/>
        <v>Problem</v>
      </c>
      <c r="C924" s="29" t="s">
        <v>780</v>
      </c>
    </row>
    <row r="925" spans="1:3" x14ac:dyDescent="0.2">
      <c r="A925">
        <f>IF(ISERROR(VLOOKUP(C925,Questions!$A$1:G$9999,7,0)),"",VLOOKUP(C925,Questions!$A$1:G$9999,7,0))</f>
        <v>2</v>
      </c>
      <c r="B925" s="17" t="str">
        <f t="shared" si="14"/>
        <v>Problem</v>
      </c>
      <c r="C925" s="30" t="s">
        <v>1069</v>
      </c>
    </row>
    <row r="926" spans="1:3" x14ac:dyDescent="0.2">
      <c r="A926">
        <f>IF(ISERROR(VLOOKUP(C926,Questions!$A$1:G$9999,7,0)),"",VLOOKUP(C926,Questions!$A$1:G$9999,7,0))</f>
        <v>2</v>
      </c>
      <c r="B926" s="17" t="str">
        <f t="shared" si="14"/>
        <v>Problem</v>
      </c>
      <c r="C926" s="30" t="s">
        <v>1070</v>
      </c>
    </row>
    <row r="927" spans="1:3" x14ac:dyDescent="0.2">
      <c r="A927" t="str">
        <f>IF(ISERROR(VLOOKUP(C927,Questions!$A$1:G$9999,7,0)),"",VLOOKUP(C927,Questions!$A$1:G$9999,7,0))</f>
        <v/>
      </c>
      <c r="B927" s="17" t="str">
        <f t="shared" si="14"/>
        <v>Problem</v>
      </c>
      <c r="C927" s="29" t="s">
        <v>781</v>
      </c>
    </row>
    <row r="928" spans="1:3" x14ac:dyDescent="0.2">
      <c r="A928">
        <f>IF(ISERROR(VLOOKUP(C928,Questions!$A$1:G$9999,7,0)),"",VLOOKUP(C928,Questions!$A$1:G$9999,7,0))</f>
        <v>1</v>
      </c>
      <c r="B928" s="17" t="str">
        <f t="shared" si="14"/>
        <v>Problem</v>
      </c>
      <c r="C928" s="30" t="s">
        <v>1071</v>
      </c>
    </row>
    <row r="929" spans="1:3" x14ac:dyDescent="0.2">
      <c r="A929">
        <f>IF(ISERROR(VLOOKUP(C929,Questions!$A$1:G$9999,7,0)),"",VLOOKUP(C929,Questions!$A$1:G$9999,7,0))</f>
        <v>2</v>
      </c>
      <c r="B929" s="17" t="str">
        <f t="shared" si="14"/>
        <v>Problem</v>
      </c>
      <c r="C929" s="30" t="s">
        <v>1072</v>
      </c>
    </row>
    <row r="930" spans="1:3" x14ac:dyDescent="0.2">
      <c r="A930" t="str">
        <f>IF(ISERROR(VLOOKUP(C930,Questions!$A$1:G$9999,7,0)),"",VLOOKUP(C930,Questions!$A$1:G$9999,7,0))</f>
        <v/>
      </c>
      <c r="B930" s="17" t="str">
        <f t="shared" si="14"/>
        <v>Problem</v>
      </c>
      <c r="C930" s="29" t="s">
        <v>826</v>
      </c>
    </row>
    <row r="931" spans="1:3" x14ac:dyDescent="0.2">
      <c r="A931">
        <f>IF(ISERROR(VLOOKUP(C931,Questions!$A$1:G$9999,7,0)),"",VLOOKUP(C931,Questions!$A$1:G$9999,7,0))</f>
        <v>3</v>
      </c>
      <c r="B931" s="17" t="str">
        <f t="shared" si="14"/>
        <v>Problem</v>
      </c>
      <c r="C931" s="30" t="s">
        <v>1073</v>
      </c>
    </row>
    <row r="932" spans="1:3" x14ac:dyDescent="0.2">
      <c r="A932">
        <f>IF(ISERROR(VLOOKUP(C932,Questions!$A$1:G$9999,7,0)),"",VLOOKUP(C932,Questions!$A$1:G$9999,7,0))</f>
        <v>3</v>
      </c>
      <c r="B932" s="17" t="str">
        <f t="shared" si="14"/>
        <v>Problem</v>
      </c>
      <c r="C932" s="30" t="s">
        <v>1074</v>
      </c>
    </row>
    <row r="933" spans="1:3" x14ac:dyDescent="0.2">
      <c r="A933" t="str">
        <f>IF(ISERROR(VLOOKUP(C933,Questions!$A$1:G$9999,7,0)),"",VLOOKUP(C933,Questions!$A$1:G$9999,7,0))</f>
        <v/>
      </c>
      <c r="B933" s="17" t="str">
        <f t="shared" si="14"/>
        <v>Problem</v>
      </c>
      <c r="C933" s="29" t="s">
        <v>1195</v>
      </c>
    </row>
    <row r="934" spans="1:3" x14ac:dyDescent="0.2">
      <c r="A934">
        <f>IF(ISERROR(VLOOKUP(C934,Questions!$A$1:G$9999,7,0)),"",VLOOKUP(C934,Questions!$A$1:G$9999,7,0))</f>
        <v>2</v>
      </c>
      <c r="B934" s="17" t="str">
        <f t="shared" si="14"/>
        <v>Problem</v>
      </c>
      <c r="C934" s="30" t="s">
        <v>1232</v>
      </c>
    </row>
    <row r="935" spans="1:3" x14ac:dyDescent="0.2">
      <c r="A935">
        <f>IF(ISERROR(VLOOKUP(C935,Questions!$A$1:G$9999,7,0)),"",VLOOKUP(C935,Questions!$A$1:G$9999,7,0))</f>
        <v>3</v>
      </c>
      <c r="B935" s="17" t="str">
        <f t="shared" si="14"/>
        <v>Problem</v>
      </c>
      <c r="C935" s="30" t="s">
        <v>1233</v>
      </c>
    </row>
    <row r="936" spans="1:3" x14ac:dyDescent="0.2">
      <c r="A936" t="str">
        <f>IF(ISERROR(VLOOKUP(C936,Questions!$A$1:G$9999,7,0)),"",VLOOKUP(C936,Questions!$A$1:G$9999,7,0))</f>
        <v/>
      </c>
      <c r="B936" s="17" t="str">
        <f t="shared" si="14"/>
        <v>Problem</v>
      </c>
      <c r="C936" s="12" t="s">
        <v>588</v>
      </c>
    </row>
    <row r="937" spans="1:3" x14ac:dyDescent="0.2">
      <c r="A937" t="str">
        <f>IF(ISERROR(VLOOKUP(C937,Questions!$A$1:G$9999,7,0)),"",VLOOKUP(C937,Questions!$A$1:G$9999,7,0))</f>
        <v/>
      </c>
      <c r="B937" s="17" t="str">
        <f t="shared" si="14"/>
        <v>Problem</v>
      </c>
      <c r="C937" s="29" t="s">
        <v>787</v>
      </c>
    </row>
    <row r="938" spans="1:3" x14ac:dyDescent="0.2">
      <c r="A938">
        <f>IF(ISERROR(VLOOKUP(C938,Questions!$A$1:G$9999,7,0)),"",VLOOKUP(C938,Questions!$A$1:G$9999,7,0))</f>
        <v>4</v>
      </c>
      <c r="B938" s="17" t="str">
        <f t="shared" si="14"/>
        <v>Problem</v>
      </c>
      <c r="C938" s="30" t="s">
        <v>76</v>
      </c>
    </row>
    <row r="939" spans="1:3" x14ac:dyDescent="0.2">
      <c r="A939" t="str">
        <f>IF(ISERROR(VLOOKUP(C939,Questions!$A$1:G$9999,7,0)),"",VLOOKUP(C939,Questions!$A$1:G$9999,7,0))</f>
        <v/>
      </c>
      <c r="B939" s="17" t="str">
        <f t="shared" si="14"/>
        <v>Problem</v>
      </c>
      <c r="C939" s="29" t="s">
        <v>793</v>
      </c>
    </row>
    <row r="940" spans="1:3" x14ac:dyDescent="0.2">
      <c r="A940">
        <f>IF(ISERROR(VLOOKUP(C940,Questions!$A$1:G$9999,7,0)),"",VLOOKUP(C940,Questions!$A$1:G$9999,7,0))</f>
        <v>2</v>
      </c>
      <c r="B940" s="17" t="str">
        <f t="shared" si="14"/>
        <v>Problem</v>
      </c>
      <c r="C940" s="30" t="s">
        <v>130</v>
      </c>
    </row>
    <row r="941" spans="1:3" x14ac:dyDescent="0.2">
      <c r="A941" t="str">
        <f>IF(ISERROR(VLOOKUP(C941,Questions!$A$1:G$9999,7,0)),"",VLOOKUP(C941,Questions!$A$1:G$9999,7,0))</f>
        <v/>
      </c>
      <c r="B941" s="17" t="str">
        <f t="shared" si="14"/>
        <v>Problem</v>
      </c>
      <c r="C941" s="29" t="s">
        <v>795</v>
      </c>
    </row>
    <row r="942" spans="1:3" x14ac:dyDescent="0.2">
      <c r="A942">
        <f>IF(ISERROR(VLOOKUP(C942,Questions!$A$1:G$9999,7,0)),"",VLOOKUP(C942,Questions!$A$1:G$9999,7,0))</f>
        <v>2</v>
      </c>
      <c r="B942" s="17" t="str">
        <f t="shared" si="14"/>
        <v>Problem</v>
      </c>
      <c r="C942" s="30" t="s">
        <v>171</v>
      </c>
    </row>
    <row r="943" spans="1:3" x14ac:dyDescent="0.2">
      <c r="A943" t="str">
        <f>IF(ISERROR(VLOOKUP(C943,Questions!$A$1:G$9999,7,0)),"",VLOOKUP(C943,Questions!$A$1:G$9999,7,0))</f>
        <v/>
      </c>
      <c r="B943" s="17" t="str">
        <f t="shared" si="14"/>
        <v>Problem</v>
      </c>
      <c r="C943" s="29" t="s">
        <v>797</v>
      </c>
    </row>
    <row r="944" spans="1:3" x14ac:dyDescent="0.2">
      <c r="A944">
        <f>IF(ISERROR(VLOOKUP(C944,Questions!$A$1:G$9999,7,0)),"",VLOOKUP(C944,Questions!$A$1:G$9999,7,0))</f>
        <v>3</v>
      </c>
      <c r="B944" s="17" t="str">
        <f t="shared" si="14"/>
        <v>Problem</v>
      </c>
      <c r="C944" s="30" t="s">
        <v>202</v>
      </c>
    </row>
    <row r="945" spans="1:3" x14ac:dyDescent="0.2">
      <c r="A945">
        <f>IF(ISERROR(VLOOKUP(C945,Questions!$A$1:G$9999,7,0)),"",VLOOKUP(C945,Questions!$A$1:G$9999,7,0))</f>
        <v>3</v>
      </c>
      <c r="B945" s="17" t="str">
        <f t="shared" si="14"/>
        <v>Problem</v>
      </c>
      <c r="C945" s="30" t="s">
        <v>206</v>
      </c>
    </row>
    <row r="946" spans="1:3" x14ac:dyDescent="0.2">
      <c r="A946" t="str">
        <f>IF(ISERROR(VLOOKUP(C946,Questions!$A$1:G$9999,7,0)),"",VLOOKUP(C946,Questions!$A$1:G$9999,7,0))</f>
        <v/>
      </c>
      <c r="B946" s="17" t="str">
        <f t="shared" si="14"/>
        <v>Problem</v>
      </c>
      <c r="C946" s="29" t="s">
        <v>801</v>
      </c>
    </row>
    <row r="947" spans="1:3" x14ac:dyDescent="0.2">
      <c r="A947">
        <f>IF(ISERROR(VLOOKUP(C947,Questions!$A$1:G$9999,7,0)),"",VLOOKUP(C947,Questions!$A$1:G$9999,7,0))</f>
        <v>2</v>
      </c>
      <c r="B947" s="17" t="str">
        <f t="shared" si="14"/>
        <v>Problem</v>
      </c>
      <c r="C947" s="30" t="s">
        <v>271</v>
      </c>
    </row>
    <row r="948" spans="1:3" x14ac:dyDescent="0.2">
      <c r="A948" t="str">
        <f>IF(ISERROR(VLOOKUP(C948,Questions!$A$1:G$9999,7,0)),"",VLOOKUP(C948,Questions!$A$1:G$9999,7,0))</f>
        <v/>
      </c>
      <c r="B948" s="17" t="str">
        <f t="shared" si="14"/>
        <v>Problem</v>
      </c>
      <c r="C948" s="29" t="s">
        <v>802</v>
      </c>
    </row>
    <row r="949" spans="1:3" x14ac:dyDescent="0.2">
      <c r="A949">
        <f>IF(ISERROR(VLOOKUP(C949,Questions!$A$1:G$9999,7,0)),"",VLOOKUP(C949,Questions!$A$1:G$9999,7,0))</f>
        <v>2</v>
      </c>
      <c r="B949" s="17" t="str">
        <f t="shared" si="14"/>
        <v>Problem</v>
      </c>
      <c r="C949" s="30" t="s">
        <v>318</v>
      </c>
    </row>
    <row r="950" spans="1:3" x14ac:dyDescent="0.2">
      <c r="A950" t="str">
        <f>IF(ISERROR(VLOOKUP(C950,Questions!$A$1:G$9999,7,0)),"",VLOOKUP(C950,Questions!$A$1:G$9999,7,0))</f>
        <v/>
      </c>
      <c r="B950" s="17" t="str">
        <f t="shared" si="14"/>
        <v>Problem</v>
      </c>
      <c r="C950" s="29" t="s">
        <v>803</v>
      </c>
    </row>
    <row r="951" spans="1:3" x14ac:dyDescent="0.2">
      <c r="A951">
        <f>IF(ISERROR(VLOOKUP(C951,Questions!$A$1:G$9999,7,0)),"",VLOOKUP(C951,Questions!$A$1:G$9999,7,0))</f>
        <v>4</v>
      </c>
      <c r="B951" s="17" t="str">
        <f t="shared" si="14"/>
        <v>Problem</v>
      </c>
      <c r="C951" s="30" t="s">
        <v>337</v>
      </c>
    </row>
    <row r="952" spans="1:3" x14ac:dyDescent="0.2">
      <c r="A952" t="str">
        <f>IF(ISERROR(VLOOKUP(C952,Questions!$A$1:G$9999,7,0)),"",VLOOKUP(C952,Questions!$A$1:G$9999,7,0))</f>
        <v/>
      </c>
      <c r="B952" s="17" t="str">
        <f t="shared" si="14"/>
        <v>Problem</v>
      </c>
      <c r="C952" s="29" t="s">
        <v>805</v>
      </c>
    </row>
    <row r="953" spans="1:3" x14ac:dyDescent="0.2">
      <c r="A953">
        <f>IF(ISERROR(VLOOKUP(C953,Questions!$A$1:G$9999,7,0)),"",VLOOKUP(C953,Questions!$A$1:G$9999,7,0))</f>
        <v>1</v>
      </c>
      <c r="B953" s="17" t="str">
        <f t="shared" si="14"/>
        <v>Problem</v>
      </c>
      <c r="C953" s="30" t="s">
        <v>377</v>
      </c>
    </row>
    <row r="954" spans="1:3" x14ac:dyDescent="0.2">
      <c r="A954">
        <f>IF(ISERROR(VLOOKUP(C954,Questions!$A$1:G$9999,7,0)),"",VLOOKUP(C954,Questions!$A$1:G$9999,7,0))</f>
        <v>1</v>
      </c>
      <c r="B954" s="17" t="str">
        <f t="shared" si="14"/>
        <v>Problem</v>
      </c>
      <c r="C954" s="30" t="s">
        <v>381</v>
      </c>
    </row>
    <row r="955" spans="1:3" x14ac:dyDescent="0.2">
      <c r="A955" t="str">
        <f>IF(ISERROR(VLOOKUP(C955,Questions!$A$1:G$9999,7,0)),"",VLOOKUP(C955,Questions!$A$1:G$9999,7,0))</f>
        <v/>
      </c>
      <c r="B955" s="17" t="str">
        <f t="shared" si="14"/>
        <v>Problem</v>
      </c>
      <c r="C955" s="29" t="s">
        <v>808</v>
      </c>
    </row>
    <row r="956" spans="1:3" x14ac:dyDescent="0.2">
      <c r="A956">
        <f>IF(ISERROR(VLOOKUP(C956,Questions!$A$1:G$9999,7,0)),"",VLOOKUP(C956,Questions!$A$1:G$9999,7,0))</f>
        <v>3</v>
      </c>
      <c r="B956" s="17" t="str">
        <f t="shared" si="14"/>
        <v>Problem</v>
      </c>
      <c r="C956" s="30" t="s">
        <v>450</v>
      </c>
    </row>
    <row r="957" spans="1:3" x14ac:dyDescent="0.2">
      <c r="A957" t="str">
        <f>IF(ISERROR(VLOOKUP(C957,Questions!$A$1:G$9999,7,0)),"",VLOOKUP(C957,Questions!$A$1:G$9999,7,0))</f>
        <v/>
      </c>
      <c r="B957" s="17" t="str">
        <f t="shared" si="14"/>
        <v>Problem</v>
      </c>
      <c r="C957" s="29" t="s">
        <v>810</v>
      </c>
    </row>
    <row r="958" spans="1:3" x14ac:dyDescent="0.2">
      <c r="A958">
        <f>IF(ISERROR(VLOOKUP(C958,Questions!$A$1:G$9999,7,0)),"",VLOOKUP(C958,Questions!$A$1:G$9999,7,0))</f>
        <v>1</v>
      </c>
      <c r="B958" s="17" t="str">
        <f t="shared" si="14"/>
        <v>Problem</v>
      </c>
      <c r="C958" s="30" t="s">
        <v>488</v>
      </c>
    </row>
    <row r="959" spans="1:3" x14ac:dyDescent="0.2">
      <c r="A959" t="str">
        <f>IF(ISERROR(VLOOKUP(C959,Questions!$A$1:G$9999,7,0)),"",VLOOKUP(C959,Questions!$A$1:G$9999,7,0))</f>
        <v/>
      </c>
      <c r="B959" s="17" t="str">
        <f t="shared" si="14"/>
        <v>Problem</v>
      </c>
      <c r="C959" s="29" t="s">
        <v>811</v>
      </c>
    </row>
    <row r="960" spans="1:3" x14ac:dyDescent="0.2">
      <c r="A960">
        <f>IF(ISERROR(VLOOKUP(C960,Questions!$A$1:G$9999,7,0)),"",VLOOKUP(C960,Questions!$A$1:G$9999,7,0))</f>
        <v>1</v>
      </c>
      <c r="B960" s="17" t="str">
        <f t="shared" si="14"/>
        <v>Problem</v>
      </c>
      <c r="C960" s="30" t="s">
        <v>520</v>
      </c>
    </row>
    <row r="961" spans="1:3" x14ac:dyDescent="0.2">
      <c r="A961">
        <f>IF(ISERROR(VLOOKUP(C961,Questions!$A$1:G$9999,7,0)),"",VLOOKUP(C961,Questions!$A$1:G$9999,7,0))</f>
        <v>3</v>
      </c>
      <c r="B961" s="17" t="str">
        <f t="shared" si="14"/>
        <v>Problem</v>
      </c>
      <c r="C961" s="30" t="s">
        <v>522</v>
      </c>
    </row>
    <row r="962" spans="1:3" x14ac:dyDescent="0.2">
      <c r="A962" t="str">
        <f>IF(ISERROR(VLOOKUP(C962,Questions!$A$1:G$9999,7,0)),"",VLOOKUP(C962,Questions!$A$1:G$9999,7,0))</f>
        <v/>
      </c>
      <c r="B962" s="17" t="str">
        <f t="shared" si="14"/>
        <v>Problem</v>
      </c>
      <c r="C962" s="12" t="s">
        <v>13</v>
      </c>
    </row>
    <row r="963" spans="1:3" x14ac:dyDescent="0.2">
      <c r="A963" t="str">
        <f>IF(ISERROR(VLOOKUP(C963,Questions!$A$1:G$9999,7,0)),"",VLOOKUP(C963,Questions!$A$1:G$9999,7,0))</f>
        <v/>
      </c>
      <c r="B963" s="17" t="str">
        <f t="shared" si="14"/>
        <v>Problem</v>
      </c>
      <c r="C963" s="29" t="s">
        <v>785</v>
      </c>
    </row>
    <row r="964" spans="1:3" x14ac:dyDescent="0.2">
      <c r="A964">
        <f>IF(ISERROR(VLOOKUP(C964,Questions!$A$1:G$9999,7,0)),"",VLOOKUP(C964,Questions!$A$1:G$9999,7,0))</f>
        <v>3</v>
      </c>
      <c r="B964" s="17" t="str">
        <f t="shared" ref="B964:B1019" si="15">HYPERLINK("http://www.mrhosey.com/RPhys/" &amp; C964 &amp; ".gif","Problem")</f>
        <v>Problem</v>
      </c>
      <c r="C964" s="30" t="s">
        <v>42</v>
      </c>
    </row>
    <row r="965" spans="1:3" x14ac:dyDescent="0.2">
      <c r="A965">
        <f>IF(ISERROR(VLOOKUP(C965,Questions!$A$1:G$9999,7,0)),"",VLOOKUP(C965,Questions!$A$1:G$9999,7,0))</f>
        <v>3</v>
      </c>
      <c r="B965" s="17" t="str">
        <f t="shared" si="15"/>
        <v>Problem</v>
      </c>
      <c r="C965" s="30" t="s">
        <v>1075</v>
      </c>
    </row>
    <row r="966" spans="1:3" x14ac:dyDescent="0.2">
      <c r="A966" t="str">
        <f>IF(ISERROR(VLOOKUP(C966,Questions!$A$1:G$9999,7,0)),"",VLOOKUP(C966,Questions!$A$1:G$9999,7,0))</f>
        <v/>
      </c>
      <c r="B966" s="17" t="str">
        <f t="shared" si="15"/>
        <v>Problem</v>
      </c>
      <c r="C966" s="29" t="s">
        <v>787</v>
      </c>
    </row>
    <row r="967" spans="1:3" x14ac:dyDescent="0.2">
      <c r="A967">
        <f>IF(ISERROR(VLOOKUP(C967,Questions!$A$1:G$9999,7,0)),"",VLOOKUP(C967,Questions!$A$1:G$9999,7,0))</f>
        <v>3</v>
      </c>
      <c r="B967" s="17" t="str">
        <f t="shared" si="15"/>
        <v>Problem</v>
      </c>
      <c r="C967" s="30" t="s">
        <v>69</v>
      </c>
    </row>
    <row r="968" spans="1:3" x14ac:dyDescent="0.2">
      <c r="A968">
        <f>IF(ISERROR(VLOOKUP(C968,Questions!$A$1:G$9999,7,0)),"",VLOOKUP(C968,Questions!$A$1:G$9999,7,0))</f>
        <v>1</v>
      </c>
      <c r="B968" s="17" t="str">
        <f t="shared" si="15"/>
        <v>Problem</v>
      </c>
      <c r="C968" s="30" t="s">
        <v>70</v>
      </c>
    </row>
    <row r="969" spans="1:3" x14ac:dyDescent="0.2">
      <c r="A969">
        <f>IF(ISERROR(VLOOKUP(C969,Questions!$A$1:G$9999,7,0)),"",VLOOKUP(C969,Questions!$A$1:G$9999,7,0))</f>
        <v>2</v>
      </c>
      <c r="B969" s="17" t="str">
        <f t="shared" si="15"/>
        <v>Problem</v>
      </c>
      <c r="C969" s="30" t="s">
        <v>1076</v>
      </c>
    </row>
    <row r="970" spans="1:3" x14ac:dyDescent="0.2">
      <c r="A970">
        <f>IF(ISERROR(VLOOKUP(C970,Questions!$A$1:G$9999,7,0)),"",VLOOKUP(C970,Questions!$A$1:G$9999,7,0))</f>
        <v>1</v>
      </c>
      <c r="B970" s="17" t="str">
        <f t="shared" si="15"/>
        <v>Problem</v>
      </c>
      <c r="C970" s="30" t="s">
        <v>1077</v>
      </c>
    </row>
    <row r="971" spans="1:3" x14ac:dyDescent="0.2">
      <c r="A971" t="str">
        <f>IF(ISERROR(VLOOKUP(C971,Questions!$A$1:G$9999,7,0)),"",VLOOKUP(C971,Questions!$A$1:G$9999,7,0))</f>
        <v/>
      </c>
      <c r="B971" s="17" t="str">
        <f t="shared" si="15"/>
        <v>Problem</v>
      </c>
      <c r="C971" s="29" t="s">
        <v>793</v>
      </c>
    </row>
    <row r="972" spans="1:3" x14ac:dyDescent="0.2">
      <c r="A972">
        <f>IF(ISERROR(VLOOKUP(C972,Questions!$A$1:G$9999,7,0)),"",VLOOKUP(C972,Questions!$A$1:G$9999,7,0))</f>
        <v>2</v>
      </c>
      <c r="B972" s="17" t="str">
        <f t="shared" si="15"/>
        <v>Problem</v>
      </c>
      <c r="C972" s="30" t="s">
        <v>147</v>
      </c>
    </row>
    <row r="973" spans="1:3" x14ac:dyDescent="0.2">
      <c r="A973">
        <f>IF(ISERROR(VLOOKUP(C973,Questions!$A$1:G$9999,7,0)),"",VLOOKUP(C973,Questions!$A$1:G$9999,7,0))</f>
        <v>1</v>
      </c>
      <c r="B973" s="17" t="str">
        <f t="shared" si="15"/>
        <v>Problem</v>
      </c>
      <c r="C973" s="30" t="s">
        <v>148</v>
      </c>
    </row>
    <row r="974" spans="1:3" x14ac:dyDescent="0.2">
      <c r="A974">
        <f>IF(ISERROR(VLOOKUP(C974,Questions!$A$1:G$9999,7,0)),"",VLOOKUP(C974,Questions!$A$1:G$9999,7,0))</f>
        <v>2</v>
      </c>
      <c r="B974" s="17" t="str">
        <f t="shared" si="15"/>
        <v>Problem</v>
      </c>
      <c r="C974" s="30" t="s">
        <v>149</v>
      </c>
    </row>
    <row r="975" spans="1:3" x14ac:dyDescent="0.2">
      <c r="A975">
        <f>IF(ISERROR(VLOOKUP(C975,Questions!$A$1:G$9999,7,0)),"",VLOOKUP(C975,Questions!$A$1:G$9999,7,0))</f>
        <v>4</v>
      </c>
      <c r="B975" s="17" t="str">
        <f t="shared" si="15"/>
        <v>Problem</v>
      </c>
      <c r="C975" s="30" t="s">
        <v>150</v>
      </c>
    </row>
    <row r="976" spans="1:3" x14ac:dyDescent="0.2">
      <c r="A976">
        <f>IF(ISERROR(VLOOKUP(C976,Questions!$A$1:G$9999,7,0)),"",VLOOKUP(C976,Questions!$A$1:G$9999,7,0))</f>
        <v>2</v>
      </c>
      <c r="B976" s="17" t="str">
        <f t="shared" si="15"/>
        <v>Problem</v>
      </c>
      <c r="C976" s="30" t="s">
        <v>151</v>
      </c>
    </row>
    <row r="977" spans="1:3" x14ac:dyDescent="0.2">
      <c r="A977" t="str">
        <f>IF(ISERROR(VLOOKUP(C977,Questions!$A$1:G$9999,7,0)),"",VLOOKUP(C977,Questions!$A$1:G$9999,7,0))</f>
        <v/>
      </c>
      <c r="B977" s="17" t="str">
        <f t="shared" si="15"/>
        <v>Problem</v>
      </c>
      <c r="C977" s="29" t="s">
        <v>795</v>
      </c>
    </row>
    <row r="978" spans="1:3" x14ac:dyDescent="0.2">
      <c r="A978">
        <f>IF(ISERROR(VLOOKUP(C978,Questions!$A$1:G$9999,7,0)),"",VLOOKUP(C978,Questions!$A$1:G$9999,7,0))</f>
        <v>3</v>
      </c>
      <c r="B978" s="17" t="str">
        <f t="shared" si="15"/>
        <v>Problem</v>
      </c>
      <c r="C978" s="30" t="s">
        <v>182</v>
      </c>
    </row>
    <row r="979" spans="1:3" x14ac:dyDescent="0.2">
      <c r="A979">
        <f>IF(ISERROR(VLOOKUP(C979,Questions!$A$1:G$9999,7,0)),"",VLOOKUP(C979,Questions!$A$1:G$9999,7,0))</f>
        <v>3</v>
      </c>
      <c r="B979" s="17" t="str">
        <f t="shared" si="15"/>
        <v>Problem</v>
      </c>
      <c r="C979" s="30" t="s">
        <v>184</v>
      </c>
    </row>
    <row r="980" spans="1:3" x14ac:dyDescent="0.2">
      <c r="A980">
        <f>IF(ISERROR(VLOOKUP(C980,Questions!$A$1:G$9999,7,0)),"",VLOOKUP(C980,Questions!$A$1:G$9999,7,0))</f>
        <v>2</v>
      </c>
      <c r="B980" s="17" t="str">
        <f t="shared" si="15"/>
        <v>Problem</v>
      </c>
      <c r="C980" s="30" t="s">
        <v>185</v>
      </c>
    </row>
    <row r="981" spans="1:3" x14ac:dyDescent="0.2">
      <c r="A981">
        <f>IF(ISERROR(VLOOKUP(C981,Questions!$A$1:G$9999,7,0)),"",VLOOKUP(C981,Questions!$A$1:G$9999,7,0))</f>
        <v>3</v>
      </c>
      <c r="B981" s="17" t="str">
        <f t="shared" si="15"/>
        <v>Problem</v>
      </c>
      <c r="C981" s="30" t="s">
        <v>186</v>
      </c>
    </row>
    <row r="982" spans="1:3" x14ac:dyDescent="0.2">
      <c r="A982">
        <f>IF(ISERROR(VLOOKUP(C982,Questions!$A$1:G$9999,7,0)),"",VLOOKUP(C982,Questions!$A$1:G$9999,7,0))</f>
        <v>2</v>
      </c>
      <c r="B982" s="17" t="str">
        <f t="shared" si="15"/>
        <v>Problem</v>
      </c>
      <c r="C982" s="30" t="s">
        <v>1078</v>
      </c>
    </row>
    <row r="983" spans="1:3" x14ac:dyDescent="0.2">
      <c r="A983">
        <f>IF(ISERROR(VLOOKUP(C983,Questions!$A$1:G$9999,7,0)),"",VLOOKUP(C983,Questions!$A$1:G$9999,7,0))</f>
        <v>3</v>
      </c>
      <c r="B983" s="17" t="str">
        <f t="shared" si="15"/>
        <v>Problem</v>
      </c>
      <c r="C983" s="30" t="s">
        <v>1079</v>
      </c>
    </row>
    <row r="984" spans="1:3" x14ac:dyDescent="0.2">
      <c r="A984" t="str">
        <f>IF(ISERROR(VLOOKUP(C984,Questions!$A$1:G$9999,7,0)),"",VLOOKUP(C984,Questions!$A$1:G$9999,7,0))</f>
        <v/>
      </c>
      <c r="B984" s="17" t="str">
        <f t="shared" si="15"/>
        <v>Problem</v>
      </c>
      <c r="C984" s="29" t="s">
        <v>797</v>
      </c>
    </row>
    <row r="985" spans="1:3" x14ac:dyDescent="0.2">
      <c r="A985">
        <f>IF(ISERROR(VLOOKUP(C985,Questions!$A$1:G$9999,7,0)),"",VLOOKUP(C985,Questions!$A$1:G$9999,7,0))</f>
        <v>1</v>
      </c>
      <c r="B985" s="17" t="str">
        <f t="shared" si="15"/>
        <v>Problem</v>
      </c>
      <c r="C985" s="30" t="s">
        <v>210</v>
      </c>
    </row>
    <row r="986" spans="1:3" x14ac:dyDescent="0.2">
      <c r="A986">
        <f>IF(ISERROR(VLOOKUP(C986,Questions!$A$1:G$9999,7,0)),"",VLOOKUP(C986,Questions!$A$1:G$9999,7,0))</f>
        <v>2</v>
      </c>
      <c r="B986" s="17" t="str">
        <f t="shared" si="15"/>
        <v>Problem</v>
      </c>
      <c r="C986" s="30" t="s">
        <v>211</v>
      </c>
    </row>
    <row r="987" spans="1:3" x14ac:dyDescent="0.2">
      <c r="A987">
        <f>IF(ISERROR(VLOOKUP(C987,Questions!$A$1:G$9999,7,0)),"",VLOOKUP(C987,Questions!$A$1:G$9999,7,0))</f>
        <v>1</v>
      </c>
      <c r="B987" s="17" t="str">
        <f t="shared" si="15"/>
        <v>Problem</v>
      </c>
      <c r="C987" s="30" t="s">
        <v>1080</v>
      </c>
    </row>
    <row r="988" spans="1:3" x14ac:dyDescent="0.2">
      <c r="A988">
        <f>IF(ISERROR(VLOOKUP(C988,Questions!$A$1:G$9999,7,0)),"",VLOOKUP(C988,Questions!$A$1:G$9999,7,0))</f>
        <v>3</v>
      </c>
      <c r="B988" s="17" t="str">
        <f t="shared" si="15"/>
        <v>Problem</v>
      </c>
      <c r="C988" s="30" t="s">
        <v>1081</v>
      </c>
    </row>
    <row r="989" spans="1:3" x14ac:dyDescent="0.2">
      <c r="A989" t="str">
        <f>IF(ISERROR(VLOOKUP(C989,Questions!$A$1:G$9999,7,0)),"",VLOOKUP(C989,Questions!$A$1:G$9999,7,0))</f>
        <v/>
      </c>
      <c r="B989" s="17" t="str">
        <f t="shared" si="15"/>
        <v>Problem</v>
      </c>
      <c r="C989" s="29" t="s">
        <v>799</v>
      </c>
    </row>
    <row r="990" spans="1:3" x14ac:dyDescent="0.2">
      <c r="A990">
        <f>IF(ISERROR(VLOOKUP(C990,Questions!$A$1:G$9999,7,0)),"",VLOOKUP(C990,Questions!$A$1:G$9999,7,0))</f>
        <v>2</v>
      </c>
      <c r="B990" s="17" t="str">
        <f t="shared" si="15"/>
        <v>Problem</v>
      </c>
      <c r="C990" s="30" t="s">
        <v>255</v>
      </c>
    </row>
    <row r="991" spans="1:3" x14ac:dyDescent="0.2">
      <c r="A991">
        <f>IF(ISERROR(VLOOKUP(C991,Questions!$A$1:G$9999,7,0)),"",VLOOKUP(C991,Questions!$A$1:G$9999,7,0))</f>
        <v>3</v>
      </c>
      <c r="B991" s="17" t="str">
        <f t="shared" si="15"/>
        <v>Problem</v>
      </c>
      <c r="C991" s="30" t="s">
        <v>1082</v>
      </c>
    </row>
    <row r="992" spans="1:3" x14ac:dyDescent="0.2">
      <c r="A992">
        <f>IF(ISERROR(VLOOKUP(C992,Questions!$A$1:G$9999,7,0)),"",VLOOKUP(C992,Questions!$A$1:G$9999,7,0))</f>
        <v>1</v>
      </c>
      <c r="B992" s="17" t="str">
        <f t="shared" si="15"/>
        <v>Problem</v>
      </c>
      <c r="C992" s="30" t="s">
        <v>1083</v>
      </c>
    </row>
    <row r="993" spans="1:3" x14ac:dyDescent="0.2">
      <c r="A993">
        <f>IF(ISERROR(VLOOKUP(C993,Questions!$A$1:G$9999,7,0)),"",VLOOKUP(C993,Questions!$A$1:G$9999,7,0))</f>
        <v>2</v>
      </c>
      <c r="B993" s="17" t="str">
        <f t="shared" si="15"/>
        <v>Problem</v>
      </c>
      <c r="C993" s="30" t="s">
        <v>1084</v>
      </c>
    </row>
    <row r="994" spans="1:3" x14ac:dyDescent="0.2">
      <c r="A994" t="str">
        <f>IF(ISERROR(VLOOKUP(C994,Questions!$A$1:G$9999,7,0)),"",VLOOKUP(C994,Questions!$A$1:G$9999,7,0))</f>
        <v/>
      </c>
      <c r="B994" s="17" t="str">
        <f t="shared" si="15"/>
        <v>Problem</v>
      </c>
      <c r="C994" s="29" t="s">
        <v>801</v>
      </c>
    </row>
    <row r="995" spans="1:3" x14ac:dyDescent="0.2">
      <c r="A995">
        <f>IF(ISERROR(VLOOKUP(C995,Questions!$A$1:G$9999,7,0)),"",VLOOKUP(C995,Questions!$A$1:G$9999,7,0))</f>
        <v>3</v>
      </c>
      <c r="B995" s="17" t="str">
        <f t="shared" si="15"/>
        <v>Problem</v>
      </c>
      <c r="C995" s="30" t="s">
        <v>288</v>
      </c>
    </row>
    <row r="996" spans="1:3" x14ac:dyDescent="0.2">
      <c r="A996">
        <f>IF(ISERROR(VLOOKUP(C996,Questions!$A$1:G$9999,7,0)),"",VLOOKUP(C996,Questions!$A$1:G$9999,7,0))</f>
        <v>4</v>
      </c>
      <c r="B996" s="17" t="str">
        <f t="shared" si="15"/>
        <v>Problem</v>
      </c>
      <c r="C996" s="30" t="s">
        <v>289</v>
      </c>
    </row>
    <row r="997" spans="1:3" x14ac:dyDescent="0.2">
      <c r="A997">
        <f>IF(ISERROR(VLOOKUP(C997,Questions!$A$1:G$9999,7,0)),"",VLOOKUP(C997,Questions!$A$1:G$9999,7,0))</f>
        <v>1</v>
      </c>
      <c r="B997" s="17" t="str">
        <f t="shared" si="15"/>
        <v>Problem</v>
      </c>
      <c r="C997" s="30" t="s">
        <v>290</v>
      </c>
    </row>
    <row r="998" spans="1:3" x14ac:dyDescent="0.2">
      <c r="A998">
        <f>IF(ISERROR(VLOOKUP(C998,Questions!$A$1:G$9999,7,0)),"",VLOOKUP(C998,Questions!$A$1:G$9999,7,0))</f>
        <v>2</v>
      </c>
      <c r="B998" s="17" t="str">
        <f t="shared" si="15"/>
        <v>Problem</v>
      </c>
      <c r="C998" s="30" t="s">
        <v>291</v>
      </c>
    </row>
    <row r="999" spans="1:3" x14ac:dyDescent="0.2">
      <c r="A999">
        <f>IF(ISERROR(VLOOKUP(C999,Questions!$A$1:G$9999,7,0)),"",VLOOKUP(C999,Questions!$A$1:G$9999,7,0))</f>
        <v>3</v>
      </c>
      <c r="B999" s="17" t="str">
        <f t="shared" si="15"/>
        <v>Problem</v>
      </c>
      <c r="C999" s="30" t="s">
        <v>1085</v>
      </c>
    </row>
    <row r="1000" spans="1:3" x14ac:dyDescent="0.2">
      <c r="A1000" t="str">
        <f>IF(ISERROR(VLOOKUP(C1000,Questions!$A$1:G$9999,7,0)),"",VLOOKUP(C1000,Questions!$A$1:G$9999,7,0))</f>
        <v/>
      </c>
      <c r="B1000" s="17" t="str">
        <f t="shared" si="15"/>
        <v>Problem</v>
      </c>
      <c r="C1000" s="29" t="s">
        <v>802</v>
      </c>
    </row>
    <row r="1001" spans="1:3" x14ac:dyDescent="0.2">
      <c r="A1001">
        <f>IF(ISERROR(VLOOKUP(C1001,Questions!$A$1:G$9999,7,0)),"",VLOOKUP(C1001,Questions!$A$1:G$9999,7,0))</f>
        <v>1</v>
      </c>
      <c r="B1001" s="17" t="str">
        <f t="shared" si="15"/>
        <v>Problem</v>
      </c>
      <c r="C1001" s="30" t="s">
        <v>325</v>
      </c>
    </row>
    <row r="1002" spans="1:3" x14ac:dyDescent="0.2">
      <c r="A1002">
        <f>IF(ISERROR(VLOOKUP(C1002,Questions!$A$1:G$9999,7,0)),"",VLOOKUP(C1002,Questions!$A$1:G$9999,7,0))</f>
        <v>2</v>
      </c>
      <c r="B1002" s="17" t="str">
        <f t="shared" si="15"/>
        <v>Problem</v>
      </c>
      <c r="C1002" s="30" t="s">
        <v>326</v>
      </c>
    </row>
    <row r="1003" spans="1:3" x14ac:dyDescent="0.2">
      <c r="A1003">
        <f>IF(ISERROR(VLOOKUP(C1003,Questions!$A$1:G$9999,7,0)),"",VLOOKUP(C1003,Questions!$A$1:G$9999,7,0))</f>
        <v>2</v>
      </c>
      <c r="B1003" s="17" t="str">
        <f t="shared" si="15"/>
        <v>Problem</v>
      </c>
      <c r="C1003" s="30" t="s">
        <v>1086</v>
      </c>
    </row>
    <row r="1004" spans="1:3" x14ac:dyDescent="0.2">
      <c r="A1004">
        <f>IF(ISERROR(VLOOKUP(C1004,Questions!$A$1:G$9999,7,0)),"",VLOOKUP(C1004,Questions!$A$1:G$9999,7,0))</f>
        <v>3</v>
      </c>
      <c r="B1004" s="17" t="str">
        <f t="shared" si="15"/>
        <v>Problem</v>
      </c>
      <c r="C1004" s="30" t="s">
        <v>1087</v>
      </c>
    </row>
    <row r="1005" spans="1:3" x14ac:dyDescent="0.2">
      <c r="A1005" t="str">
        <f>IF(ISERROR(VLOOKUP(C1005,Questions!$A$1:G$9999,7,0)),"",VLOOKUP(C1005,Questions!$A$1:G$9999,7,0))</f>
        <v/>
      </c>
      <c r="B1005" s="17" t="str">
        <f t="shared" si="15"/>
        <v>Problem</v>
      </c>
      <c r="C1005" s="29" t="s">
        <v>803</v>
      </c>
    </row>
    <row r="1006" spans="1:3" x14ac:dyDescent="0.2">
      <c r="A1006">
        <f>IF(ISERROR(VLOOKUP(C1006,Questions!$A$1:G$9999,7,0)),"",VLOOKUP(C1006,Questions!$A$1:G$9999,7,0))</f>
        <v>3</v>
      </c>
      <c r="B1006" s="17" t="str">
        <f t="shared" si="15"/>
        <v>Problem</v>
      </c>
      <c r="C1006" s="30" t="s">
        <v>360</v>
      </c>
    </row>
    <row r="1007" spans="1:3" x14ac:dyDescent="0.2">
      <c r="A1007">
        <f>IF(ISERROR(VLOOKUP(C1007,Questions!$A$1:G$9999,7,0)),"",VLOOKUP(C1007,Questions!$A$1:G$9999,7,0))</f>
        <v>3</v>
      </c>
      <c r="B1007" s="17" t="str">
        <f t="shared" si="15"/>
        <v>Problem</v>
      </c>
      <c r="C1007" s="30" t="s">
        <v>361</v>
      </c>
    </row>
    <row r="1008" spans="1:3" x14ac:dyDescent="0.2">
      <c r="A1008">
        <f>IF(ISERROR(VLOOKUP(C1008,Questions!$A$1:G$9999,7,0)),"",VLOOKUP(C1008,Questions!$A$1:G$9999,7,0))</f>
        <v>1</v>
      </c>
      <c r="B1008" s="17" t="str">
        <f t="shared" si="15"/>
        <v>Problem</v>
      </c>
      <c r="C1008" s="30" t="s">
        <v>1088</v>
      </c>
    </row>
    <row r="1009" spans="1:3" x14ac:dyDescent="0.2">
      <c r="A1009">
        <f>IF(ISERROR(VLOOKUP(C1009,Questions!$A$1:G$9999,7,0)),"",VLOOKUP(C1009,Questions!$A$1:G$9999,7,0))</f>
        <v>4</v>
      </c>
      <c r="B1009" s="17" t="str">
        <f t="shared" si="15"/>
        <v>Problem</v>
      </c>
      <c r="C1009" s="30" t="s">
        <v>1089</v>
      </c>
    </row>
    <row r="1010" spans="1:3" x14ac:dyDescent="0.2">
      <c r="A1010" t="str">
        <f>IF(ISERROR(VLOOKUP(C1010,Questions!$A$1:G$9999,7,0)),"",VLOOKUP(C1010,Questions!$A$1:G$9999,7,0))</f>
        <v/>
      </c>
      <c r="B1010" s="17" t="str">
        <f t="shared" si="15"/>
        <v>Problem</v>
      </c>
      <c r="C1010" s="29" t="s">
        <v>805</v>
      </c>
    </row>
    <row r="1011" spans="1:3" x14ac:dyDescent="0.2">
      <c r="A1011">
        <f>IF(ISERROR(VLOOKUP(C1011,Questions!$A$1:G$9999,7,0)),"",VLOOKUP(C1011,Questions!$A$1:G$9999,7,0))</f>
        <v>3</v>
      </c>
      <c r="B1011" s="17" t="str">
        <f t="shared" si="15"/>
        <v>Problem</v>
      </c>
      <c r="C1011" s="30" t="s">
        <v>391</v>
      </c>
    </row>
    <row r="1012" spans="1:3" x14ac:dyDescent="0.2">
      <c r="A1012">
        <f>IF(ISERROR(VLOOKUP(C1012,Questions!$A$1:G$9999,7,0)),"",VLOOKUP(C1012,Questions!$A$1:G$9999,7,0))</f>
        <v>2</v>
      </c>
      <c r="B1012" s="17" t="str">
        <f t="shared" si="15"/>
        <v>Problem</v>
      </c>
      <c r="C1012" s="30" t="s">
        <v>393</v>
      </c>
    </row>
    <row r="1013" spans="1:3" x14ac:dyDescent="0.2">
      <c r="A1013">
        <f>IF(ISERROR(VLOOKUP(C1013,Questions!$A$1:G$9999,7,0)),"",VLOOKUP(C1013,Questions!$A$1:G$9999,7,0))</f>
        <v>1</v>
      </c>
      <c r="B1013" s="17" t="str">
        <f t="shared" si="15"/>
        <v>Problem</v>
      </c>
      <c r="C1013" s="30" t="s">
        <v>395</v>
      </c>
    </row>
    <row r="1014" spans="1:3" x14ac:dyDescent="0.2">
      <c r="A1014">
        <f>IF(ISERROR(VLOOKUP(C1014,Questions!$A$1:G$9999,7,0)),"",VLOOKUP(C1014,Questions!$A$1:G$9999,7,0))</f>
        <v>3</v>
      </c>
      <c r="B1014" s="17" t="str">
        <f t="shared" si="15"/>
        <v>Problem</v>
      </c>
      <c r="C1014" s="30" t="s">
        <v>396</v>
      </c>
    </row>
    <row r="1015" spans="1:3" x14ac:dyDescent="0.2">
      <c r="A1015">
        <f>IF(ISERROR(VLOOKUP(C1015,Questions!$A$1:G$9999,7,0)),"",VLOOKUP(C1015,Questions!$A$1:G$9999,7,0))</f>
        <v>2</v>
      </c>
      <c r="B1015" s="17" t="str">
        <f t="shared" si="15"/>
        <v>Problem</v>
      </c>
      <c r="C1015" s="30" t="s">
        <v>1090</v>
      </c>
    </row>
    <row r="1016" spans="1:3" x14ac:dyDescent="0.2">
      <c r="A1016" t="str">
        <f>IF(ISERROR(VLOOKUP(C1016,Questions!$A$1:G$9999,7,0)),"",VLOOKUP(C1016,Questions!$A$1:G$9999,7,0))</f>
        <v/>
      </c>
      <c r="B1016" s="17" t="str">
        <f t="shared" si="15"/>
        <v>Problem</v>
      </c>
      <c r="C1016" s="29" t="s">
        <v>807</v>
      </c>
    </row>
    <row r="1017" spans="1:3" x14ac:dyDescent="0.2">
      <c r="A1017">
        <f>IF(ISERROR(VLOOKUP(C1017,Questions!$A$1:G$9999,7,0)),"",VLOOKUP(C1017,Questions!$A$1:G$9999,7,0))</f>
        <v>3</v>
      </c>
      <c r="B1017" s="17" t="str">
        <f t="shared" si="15"/>
        <v>Problem</v>
      </c>
      <c r="C1017" s="30" t="s">
        <v>430</v>
      </c>
    </row>
    <row r="1018" spans="1:3" x14ac:dyDescent="0.2">
      <c r="A1018">
        <f>IF(ISERROR(VLOOKUP(C1018,Questions!$A$1:G$9999,7,0)),"",VLOOKUP(C1018,Questions!$A$1:G$9999,7,0))</f>
        <v>1</v>
      </c>
      <c r="B1018" s="17" t="str">
        <f t="shared" si="15"/>
        <v>Problem</v>
      </c>
      <c r="C1018" s="30" t="s">
        <v>431</v>
      </c>
    </row>
    <row r="1019" spans="1:3" x14ac:dyDescent="0.2">
      <c r="A1019">
        <f>IF(ISERROR(VLOOKUP(C1019,Questions!$A$1:G$9999,7,0)),"",VLOOKUP(C1019,Questions!$A$1:G$9999,7,0))</f>
        <v>3</v>
      </c>
      <c r="B1019" s="17" t="str">
        <f t="shared" si="15"/>
        <v>Problem</v>
      </c>
      <c r="C1019" s="30" t="s">
        <v>1091</v>
      </c>
    </row>
    <row r="1020" spans="1:3" x14ac:dyDescent="0.2">
      <c r="A1020">
        <f>IF(ISERROR(VLOOKUP(C1020,Questions!$A$1:G$9999,7,0)),"",VLOOKUP(C1020,Questions!$A$1:G$9999,7,0))</f>
        <v>1</v>
      </c>
      <c r="B1020" s="17" t="str">
        <f t="shared" ref="B1020:B1083" si="16">HYPERLINK("http://www.mrhosey.com/RPhys/" &amp; C1020 &amp; ".gif","Problem")</f>
        <v>Problem</v>
      </c>
      <c r="C1020" s="30" t="s">
        <v>1092</v>
      </c>
    </row>
    <row r="1021" spans="1:3" x14ac:dyDescent="0.2">
      <c r="A1021" t="str">
        <f>IF(ISERROR(VLOOKUP(C1021,Questions!$A$1:G$9999,7,0)),"",VLOOKUP(C1021,Questions!$A$1:G$9999,7,0))</f>
        <v/>
      </c>
      <c r="B1021" s="17" t="str">
        <f t="shared" si="16"/>
        <v>Problem</v>
      </c>
      <c r="C1021" s="29" t="s">
        <v>808</v>
      </c>
    </row>
    <row r="1022" spans="1:3" x14ac:dyDescent="0.2">
      <c r="A1022">
        <f>IF(ISERROR(VLOOKUP(C1022,Questions!$A$1:G$9999,7,0)),"",VLOOKUP(C1022,Questions!$A$1:G$9999,7,0))</f>
        <v>3</v>
      </c>
      <c r="B1022" s="17" t="str">
        <f t="shared" si="16"/>
        <v>Problem</v>
      </c>
      <c r="C1022" s="30" t="s">
        <v>461</v>
      </c>
    </row>
    <row r="1023" spans="1:3" x14ac:dyDescent="0.2">
      <c r="A1023">
        <f>IF(ISERROR(VLOOKUP(C1023,Questions!$A$1:G$9999,7,0)),"",VLOOKUP(C1023,Questions!$A$1:G$9999,7,0))</f>
        <v>3</v>
      </c>
      <c r="B1023" s="17" t="str">
        <f t="shared" si="16"/>
        <v>Problem</v>
      </c>
      <c r="C1023" s="30" t="s">
        <v>464</v>
      </c>
    </row>
    <row r="1024" spans="1:3" x14ac:dyDescent="0.2">
      <c r="A1024">
        <f>IF(ISERROR(VLOOKUP(C1024,Questions!$A$1:G$9999,7,0)),"",VLOOKUP(C1024,Questions!$A$1:G$9999,7,0))</f>
        <v>2</v>
      </c>
      <c r="B1024" s="17" t="str">
        <f t="shared" si="16"/>
        <v>Problem</v>
      </c>
      <c r="C1024" s="30" t="s">
        <v>466</v>
      </c>
    </row>
    <row r="1025" spans="1:3" x14ac:dyDescent="0.2">
      <c r="A1025">
        <f>IF(ISERROR(VLOOKUP(C1025,Questions!$A$1:G$9999,7,0)),"",VLOOKUP(C1025,Questions!$A$1:G$9999,7,0))</f>
        <v>1</v>
      </c>
      <c r="B1025" s="17" t="str">
        <f t="shared" si="16"/>
        <v>Problem</v>
      </c>
      <c r="C1025" s="30" t="s">
        <v>1093</v>
      </c>
    </row>
    <row r="1026" spans="1:3" x14ac:dyDescent="0.2">
      <c r="A1026">
        <f>IF(ISERROR(VLOOKUP(C1026,Questions!$A$1:G$9999,7,0)),"",VLOOKUP(C1026,Questions!$A$1:G$9999,7,0))</f>
        <v>1</v>
      </c>
      <c r="B1026" s="17" t="str">
        <f t="shared" si="16"/>
        <v>Problem</v>
      </c>
      <c r="C1026" s="30" t="s">
        <v>1094</v>
      </c>
    </row>
    <row r="1027" spans="1:3" x14ac:dyDescent="0.2">
      <c r="A1027" t="str">
        <f>IF(ISERROR(VLOOKUP(C1027,Questions!$A$1:G$9999,7,0)),"",VLOOKUP(C1027,Questions!$A$1:G$9999,7,0))</f>
        <v/>
      </c>
      <c r="B1027" s="17" t="str">
        <f t="shared" si="16"/>
        <v>Problem</v>
      </c>
      <c r="C1027" s="29" t="s">
        <v>810</v>
      </c>
    </row>
    <row r="1028" spans="1:3" x14ac:dyDescent="0.2">
      <c r="A1028">
        <f>IF(ISERROR(VLOOKUP(C1028,Questions!$A$1:G$9999,7,0)),"",VLOOKUP(C1028,Questions!$A$1:G$9999,7,0))</f>
        <v>2</v>
      </c>
      <c r="B1028" s="17" t="str">
        <f t="shared" si="16"/>
        <v>Problem</v>
      </c>
      <c r="C1028" s="30" t="s">
        <v>499</v>
      </c>
    </row>
    <row r="1029" spans="1:3" x14ac:dyDescent="0.2">
      <c r="A1029">
        <f>IF(ISERROR(VLOOKUP(C1029,Questions!$A$1:G$9999,7,0)),"",VLOOKUP(C1029,Questions!$A$1:G$9999,7,0))</f>
        <v>4</v>
      </c>
      <c r="B1029" s="17" t="str">
        <f t="shared" si="16"/>
        <v>Problem</v>
      </c>
      <c r="C1029" s="30" t="s">
        <v>500</v>
      </c>
    </row>
    <row r="1030" spans="1:3" x14ac:dyDescent="0.2">
      <c r="A1030">
        <f>IF(ISERROR(VLOOKUP(C1030,Questions!$A$1:G$9999,7,0)),"",VLOOKUP(C1030,Questions!$A$1:G$9999,7,0))</f>
        <v>4</v>
      </c>
      <c r="B1030" s="17" t="str">
        <f t="shared" si="16"/>
        <v>Problem</v>
      </c>
      <c r="C1030" s="30" t="s">
        <v>501</v>
      </c>
    </row>
    <row r="1031" spans="1:3" x14ac:dyDescent="0.2">
      <c r="A1031">
        <f>IF(ISERROR(VLOOKUP(C1031,Questions!$A$1:G$9999,7,0)),"",VLOOKUP(C1031,Questions!$A$1:G$9999,7,0))</f>
        <v>3</v>
      </c>
      <c r="B1031" s="17" t="str">
        <f t="shared" si="16"/>
        <v>Problem</v>
      </c>
      <c r="C1031" s="30" t="s">
        <v>1095</v>
      </c>
    </row>
    <row r="1032" spans="1:3" x14ac:dyDescent="0.2">
      <c r="A1032">
        <f>IF(ISERROR(VLOOKUP(C1032,Questions!$A$1:G$9999,7,0)),"",VLOOKUP(C1032,Questions!$A$1:G$9999,7,0))</f>
        <v>4</v>
      </c>
      <c r="B1032" s="17" t="str">
        <f t="shared" si="16"/>
        <v>Problem</v>
      </c>
      <c r="C1032" s="30" t="s">
        <v>1096</v>
      </c>
    </row>
    <row r="1033" spans="1:3" x14ac:dyDescent="0.2">
      <c r="A1033">
        <f>IF(ISERROR(VLOOKUP(C1033,Questions!$A$1:G$9999,7,0)),"",VLOOKUP(C1033,Questions!$A$1:G$9999,7,0))</f>
        <v>2</v>
      </c>
      <c r="B1033" s="17" t="str">
        <f t="shared" si="16"/>
        <v>Problem</v>
      </c>
      <c r="C1033" s="30" t="s">
        <v>1097</v>
      </c>
    </row>
    <row r="1034" spans="1:3" x14ac:dyDescent="0.2">
      <c r="A1034" t="str">
        <f>IF(ISERROR(VLOOKUP(C1034,Questions!$A$1:G$9999,7,0)),"",VLOOKUP(C1034,Questions!$A$1:G$9999,7,0))</f>
        <v/>
      </c>
      <c r="B1034" s="17" t="str">
        <f t="shared" si="16"/>
        <v>Problem</v>
      </c>
      <c r="C1034" s="29" t="s">
        <v>811</v>
      </c>
    </row>
    <row r="1035" spans="1:3" x14ac:dyDescent="0.2">
      <c r="A1035">
        <f>IF(ISERROR(VLOOKUP(C1035,Questions!$A$1:G$9999,7,0)),"",VLOOKUP(C1035,Questions!$A$1:G$9999,7,0))</f>
        <v>3</v>
      </c>
      <c r="B1035" s="17" t="str">
        <f t="shared" si="16"/>
        <v>Problem</v>
      </c>
      <c r="C1035" s="30" t="s">
        <v>534</v>
      </c>
    </row>
    <row r="1036" spans="1:3" x14ac:dyDescent="0.2">
      <c r="A1036">
        <f>IF(ISERROR(VLOOKUP(C1036,Questions!$A$1:G$9999,7,0)),"",VLOOKUP(C1036,Questions!$A$1:G$9999,7,0))</f>
        <v>3</v>
      </c>
      <c r="B1036" s="17" t="str">
        <f t="shared" si="16"/>
        <v>Problem</v>
      </c>
      <c r="C1036" s="30" t="s">
        <v>536</v>
      </c>
    </row>
    <row r="1037" spans="1:3" x14ac:dyDescent="0.2">
      <c r="A1037" t="str">
        <f>IF(ISERROR(VLOOKUP(C1037,Questions!$A$1:G$9999,7,0)),"",VLOOKUP(C1037,Questions!$A$1:G$9999,7,0))</f>
        <v/>
      </c>
      <c r="B1037" s="17" t="str">
        <f t="shared" si="16"/>
        <v>Problem</v>
      </c>
      <c r="C1037" s="29" t="s">
        <v>777</v>
      </c>
    </row>
    <row r="1038" spans="1:3" x14ac:dyDescent="0.2">
      <c r="A1038">
        <f>IF(ISERROR(VLOOKUP(C1038,Questions!$A$1:G$9999,7,0)),"",VLOOKUP(C1038,Questions!$A$1:G$9999,7,0))</f>
        <v>4</v>
      </c>
      <c r="B1038" s="17" t="str">
        <f t="shared" si="16"/>
        <v>Problem</v>
      </c>
      <c r="C1038" s="30" t="s">
        <v>652</v>
      </c>
    </row>
    <row r="1039" spans="1:3" x14ac:dyDescent="0.2">
      <c r="A1039">
        <f>IF(ISERROR(VLOOKUP(C1039,Questions!$A$1:G$9999,7,0)),"",VLOOKUP(C1039,Questions!$A$1:G$9999,7,0))</f>
        <v>4</v>
      </c>
      <c r="B1039" s="17" t="str">
        <f t="shared" si="16"/>
        <v>Problem</v>
      </c>
      <c r="C1039" s="30" t="s">
        <v>653</v>
      </c>
    </row>
    <row r="1040" spans="1:3" x14ac:dyDescent="0.2">
      <c r="A1040">
        <f>IF(ISERROR(VLOOKUP(C1040,Questions!$A$1:G$9999,7,0)),"",VLOOKUP(C1040,Questions!$A$1:G$9999,7,0))</f>
        <v>2</v>
      </c>
      <c r="B1040" s="17" t="str">
        <f t="shared" si="16"/>
        <v>Problem</v>
      </c>
      <c r="C1040" s="30" t="s">
        <v>654</v>
      </c>
    </row>
    <row r="1041" spans="1:3" x14ac:dyDescent="0.2">
      <c r="A1041">
        <f>IF(ISERROR(VLOOKUP(C1041,Questions!$A$1:G$9999,7,0)),"",VLOOKUP(C1041,Questions!$A$1:G$9999,7,0))</f>
        <v>1</v>
      </c>
      <c r="B1041" s="17" t="str">
        <f t="shared" si="16"/>
        <v>Problem</v>
      </c>
      <c r="C1041" s="30" t="s">
        <v>656</v>
      </c>
    </row>
    <row r="1042" spans="1:3" x14ac:dyDescent="0.2">
      <c r="A1042">
        <f>IF(ISERROR(VLOOKUP(C1042,Questions!$A$1:G$9999,7,0)),"",VLOOKUP(C1042,Questions!$A$1:G$9999,7,0))</f>
        <v>4</v>
      </c>
      <c r="B1042" s="17" t="str">
        <f t="shared" si="16"/>
        <v>Problem</v>
      </c>
      <c r="C1042" s="30" t="s">
        <v>1098</v>
      </c>
    </row>
    <row r="1043" spans="1:3" x14ac:dyDescent="0.2">
      <c r="A1043" t="str">
        <f>IF(ISERROR(VLOOKUP(C1043,Questions!$A$1:G$9999,7,0)),"",VLOOKUP(C1043,Questions!$A$1:G$9999,7,0))</f>
        <v/>
      </c>
      <c r="B1043" s="17" t="str">
        <f t="shared" si="16"/>
        <v>Problem</v>
      </c>
      <c r="C1043" s="29" t="s">
        <v>778</v>
      </c>
    </row>
    <row r="1044" spans="1:3" x14ac:dyDescent="0.2">
      <c r="A1044">
        <f>IF(ISERROR(VLOOKUP(C1044,Questions!$A$1:G$9999,7,0)),"",VLOOKUP(C1044,Questions!$A$1:G$9999,7,0))</f>
        <v>3</v>
      </c>
      <c r="B1044" s="17" t="str">
        <f t="shared" si="16"/>
        <v>Problem</v>
      </c>
      <c r="C1044" s="30" t="s">
        <v>719</v>
      </c>
    </row>
    <row r="1045" spans="1:3" x14ac:dyDescent="0.2">
      <c r="A1045">
        <f>IF(ISERROR(VLOOKUP(C1045,Questions!$A$1:G$9999,7,0)),"",VLOOKUP(C1045,Questions!$A$1:G$9999,7,0))</f>
        <v>4</v>
      </c>
      <c r="B1045" s="17" t="str">
        <f t="shared" si="16"/>
        <v>Problem</v>
      </c>
      <c r="C1045" s="30" t="s">
        <v>720</v>
      </c>
    </row>
    <row r="1046" spans="1:3" x14ac:dyDescent="0.2">
      <c r="A1046">
        <f>IF(ISERROR(VLOOKUP(C1046,Questions!$A$1:G$9999,7,0)),"",VLOOKUP(C1046,Questions!$A$1:G$9999,7,0))</f>
        <v>1</v>
      </c>
      <c r="B1046" s="17" t="str">
        <f t="shared" si="16"/>
        <v>Problem</v>
      </c>
      <c r="C1046" s="30" t="s">
        <v>721</v>
      </c>
    </row>
    <row r="1047" spans="1:3" x14ac:dyDescent="0.2">
      <c r="A1047">
        <f>IF(ISERROR(VLOOKUP(C1047,Questions!$A$1:G$9999,7,0)),"",VLOOKUP(C1047,Questions!$A$1:G$9999,7,0))</f>
        <v>3</v>
      </c>
      <c r="B1047" s="17" t="str">
        <f t="shared" si="16"/>
        <v>Problem</v>
      </c>
      <c r="C1047" s="30" t="s">
        <v>722</v>
      </c>
    </row>
    <row r="1048" spans="1:3" x14ac:dyDescent="0.2">
      <c r="A1048" t="str">
        <f>IF(ISERROR(VLOOKUP(C1048,Questions!$A$1:G$9999,7,0)),"",VLOOKUP(C1048,Questions!$A$1:G$9999,7,0))</f>
        <v/>
      </c>
      <c r="B1048" s="17" t="str">
        <f t="shared" si="16"/>
        <v>Problem</v>
      </c>
      <c r="C1048" s="29" t="s">
        <v>779</v>
      </c>
    </row>
    <row r="1049" spans="1:3" x14ac:dyDescent="0.2">
      <c r="A1049">
        <f>IF(ISERROR(VLOOKUP(C1049,Questions!$A$1:G$9999,7,0)),"",VLOOKUP(C1049,Questions!$A$1:G$9999,7,0))</f>
        <v>1</v>
      </c>
      <c r="B1049" s="17" t="str">
        <f t="shared" si="16"/>
        <v>Problem</v>
      </c>
      <c r="C1049" s="30" t="s">
        <v>1099</v>
      </c>
    </row>
    <row r="1050" spans="1:3" x14ac:dyDescent="0.2">
      <c r="A1050">
        <f>IF(ISERROR(VLOOKUP(C1050,Questions!$A$1:G$9999,7,0)),"",VLOOKUP(C1050,Questions!$A$1:G$9999,7,0))</f>
        <v>4</v>
      </c>
      <c r="B1050" s="17" t="str">
        <f t="shared" si="16"/>
        <v>Problem</v>
      </c>
      <c r="C1050" s="30" t="s">
        <v>1100</v>
      </c>
    </row>
    <row r="1051" spans="1:3" x14ac:dyDescent="0.2">
      <c r="A1051">
        <f>IF(ISERROR(VLOOKUP(C1051,Questions!$A$1:G$9999,7,0)),"",VLOOKUP(C1051,Questions!$A$1:G$9999,7,0))</f>
        <v>4</v>
      </c>
      <c r="B1051" s="17" t="str">
        <f t="shared" si="16"/>
        <v>Problem</v>
      </c>
      <c r="C1051" s="30" t="s">
        <v>1101</v>
      </c>
    </row>
    <row r="1052" spans="1:3" x14ac:dyDescent="0.2">
      <c r="A1052">
        <f>IF(ISERROR(VLOOKUP(C1052,Questions!$A$1:G$9999,7,0)),"",VLOOKUP(C1052,Questions!$A$1:G$9999,7,0))</f>
        <v>3</v>
      </c>
      <c r="B1052" s="17" t="str">
        <f t="shared" si="16"/>
        <v>Problem</v>
      </c>
      <c r="C1052" s="30" t="s">
        <v>1102</v>
      </c>
    </row>
    <row r="1053" spans="1:3" x14ac:dyDescent="0.2">
      <c r="A1053" t="str">
        <f>IF(ISERROR(VLOOKUP(C1053,Questions!$A$1:G$9999,7,0)),"",VLOOKUP(C1053,Questions!$A$1:G$9999,7,0))</f>
        <v/>
      </c>
      <c r="B1053" s="17" t="str">
        <f t="shared" si="16"/>
        <v>Problem</v>
      </c>
      <c r="C1053" s="29" t="s">
        <v>780</v>
      </c>
    </row>
    <row r="1054" spans="1:3" x14ac:dyDescent="0.2">
      <c r="A1054">
        <f>IF(ISERROR(VLOOKUP(C1054,Questions!$A$1:G$9999,7,0)),"",VLOOKUP(C1054,Questions!$A$1:G$9999,7,0))</f>
        <v>3</v>
      </c>
      <c r="B1054" s="17" t="str">
        <f t="shared" si="16"/>
        <v>Problem</v>
      </c>
      <c r="C1054" s="30" t="s">
        <v>1103</v>
      </c>
    </row>
    <row r="1055" spans="1:3" x14ac:dyDescent="0.2">
      <c r="A1055">
        <f>IF(ISERROR(VLOOKUP(C1055,Questions!$A$1:G$9999,7,0)),"",VLOOKUP(C1055,Questions!$A$1:G$9999,7,0))</f>
        <v>3</v>
      </c>
      <c r="B1055" s="17" t="str">
        <f t="shared" si="16"/>
        <v>Problem</v>
      </c>
      <c r="C1055" s="30" t="s">
        <v>1104</v>
      </c>
    </row>
    <row r="1056" spans="1:3" x14ac:dyDescent="0.2">
      <c r="A1056" t="str">
        <f>IF(ISERROR(VLOOKUP(C1056,Questions!$A$1:G$9999,7,0)),"",VLOOKUP(C1056,Questions!$A$1:G$9999,7,0))</f>
        <v/>
      </c>
      <c r="B1056" s="17" t="str">
        <f t="shared" si="16"/>
        <v>Problem</v>
      </c>
      <c r="C1056" s="29" t="s">
        <v>781</v>
      </c>
    </row>
    <row r="1057" spans="1:3" x14ac:dyDescent="0.2">
      <c r="A1057">
        <f>IF(ISERROR(VLOOKUP(C1057,Questions!$A$1:G$9999,7,0)),"",VLOOKUP(C1057,Questions!$A$1:G$9999,7,0))</f>
        <v>2</v>
      </c>
      <c r="B1057" s="17" t="str">
        <f t="shared" si="16"/>
        <v>Problem</v>
      </c>
      <c r="C1057" s="30" t="s">
        <v>1105</v>
      </c>
    </row>
    <row r="1058" spans="1:3" x14ac:dyDescent="0.2">
      <c r="A1058">
        <f>IF(ISERROR(VLOOKUP(C1058,Questions!$A$1:G$9999,7,0)),"",VLOOKUP(C1058,Questions!$A$1:G$9999,7,0))</f>
        <v>1</v>
      </c>
      <c r="B1058" s="17" t="str">
        <f t="shared" si="16"/>
        <v>Problem</v>
      </c>
      <c r="C1058" s="30" t="s">
        <v>1106</v>
      </c>
    </row>
    <row r="1059" spans="1:3" x14ac:dyDescent="0.2">
      <c r="A1059">
        <f>IF(ISERROR(VLOOKUP(C1059,Questions!$A$1:G$9999,7,0)),"",VLOOKUP(C1059,Questions!$A$1:G$9999,7,0))</f>
        <v>1</v>
      </c>
      <c r="B1059" s="17" t="str">
        <f t="shared" si="16"/>
        <v>Problem</v>
      </c>
      <c r="C1059" s="30" t="s">
        <v>1107</v>
      </c>
    </row>
    <row r="1060" spans="1:3" x14ac:dyDescent="0.2">
      <c r="A1060" t="str">
        <f>IF(ISERROR(VLOOKUP(C1060,Questions!$A$1:G$9999,7,0)),"",VLOOKUP(C1060,Questions!$A$1:G$9999,7,0))</f>
        <v/>
      </c>
      <c r="B1060" s="17" t="str">
        <f t="shared" si="16"/>
        <v>Problem</v>
      </c>
      <c r="C1060" s="29" t="s">
        <v>826</v>
      </c>
    </row>
    <row r="1061" spans="1:3" x14ac:dyDescent="0.2">
      <c r="A1061">
        <f>IF(ISERROR(VLOOKUP(C1061,Questions!$A$1:G$9999,7,0)),"",VLOOKUP(C1061,Questions!$A$1:G$9999,7,0))</f>
        <v>2</v>
      </c>
      <c r="B1061" s="17" t="str">
        <f t="shared" si="16"/>
        <v>Problem</v>
      </c>
      <c r="C1061" s="30" t="s">
        <v>1108</v>
      </c>
    </row>
    <row r="1062" spans="1:3" x14ac:dyDescent="0.2">
      <c r="A1062">
        <f>IF(ISERROR(VLOOKUP(C1062,Questions!$A$1:G$9999,7,0)),"",VLOOKUP(C1062,Questions!$A$1:G$9999,7,0))</f>
        <v>1</v>
      </c>
      <c r="B1062" s="17" t="str">
        <f t="shared" si="16"/>
        <v>Problem</v>
      </c>
      <c r="C1062" s="30" t="s">
        <v>1109</v>
      </c>
    </row>
    <row r="1063" spans="1:3" x14ac:dyDescent="0.2">
      <c r="A1063">
        <f>IF(ISERROR(VLOOKUP(C1063,Questions!$A$1:G$9999,7,0)),"",VLOOKUP(C1063,Questions!$A$1:G$9999,7,0))</f>
        <v>2</v>
      </c>
      <c r="B1063" s="17" t="str">
        <f t="shared" si="16"/>
        <v>Problem</v>
      </c>
      <c r="C1063" s="30" t="s">
        <v>1110</v>
      </c>
    </row>
    <row r="1064" spans="1:3" x14ac:dyDescent="0.2">
      <c r="A1064">
        <f>IF(ISERROR(VLOOKUP(C1064,Questions!$A$1:G$9999,7,0)),"",VLOOKUP(C1064,Questions!$A$1:G$9999,7,0))</f>
        <v>3</v>
      </c>
      <c r="B1064" s="17" t="str">
        <f t="shared" si="16"/>
        <v>Problem</v>
      </c>
      <c r="C1064" s="30" t="s">
        <v>1111</v>
      </c>
    </row>
    <row r="1065" spans="1:3" x14ac:dyDescent="0.2">
      <c r="A1065">
        <f>IF(ISERROR(VLOOKUP(C1065,Questions!$A$1:G$9999,7,0)),"",VLOOKUP(C1065,Questions!$A$1:G$9999,7,0))</f>
        <v>1</v>
      </c>
      <c r="B1065" s="17" t="str">
        <f t="shared" si="16"/>
        <v>Problem</v>
      </c>
      <c r="C1065" s="30" t="s">
        <v>1112</v>
      </c>
    </row>
    <row r="1066" spans="1:3" x14ac:dyDescent="0.2">
      <c r="A1066" t="str">
        <f>IF(ISERROR(VLOOKUP(C1066,Questions!$A$1:G$9999,7,0)),"",VLOOKUP(C1066,Questions!$A$1:G$9999,7,0))</f>
        <v/>
      </c>
      <c r="B1066" s="17" t="str">
        <f t="shared" si="16"/>
        <v>Problem</v>
      </c>
      <c r="C1066" s="29" t="s">
        <v>1195</v>
      </c>
    </row>
    <row r="1067" spans="1:3" x14ac:dyDescent="0.2">
      <c r="A1067">
        <f>IF(ISERROR(VLOOKUP(C1067,Questions!$A$1:G$9999,7,0)),"",VLOOKUP(C1067,Questions!$A$1:G$9999,7,0))</f>
        <v>3</v>
      </c>
      <c r="B1067" s="17" t="str">
        <f t="shared" si="16"/>
        <v>Problem</v>
      </c>
      <c r="C1067" s="30" t="s">
        <v>1234</v>
      </c>
    </row>
    <row r="1068" spans="1:3" x14ac:dyDescent="0.2">
      <c r="A1068">
        <f>IF(ISERROR(VLOOKUP(C1068,Questions!$A$1:G$9999,7,0)),"",VLOOKUP(C1068,Questions!$A$1:G$9999,7,0))</f>
        <v>3</v>
      </c>
      <c r="B1068" s="17" t="str">
        <f t="shared" si="16"/>
        <v>Problem</v>
      </c>
      <c r="C1068" s="30" t="s">
        <v>1235</v>
      </c>
    </row>
    <row r="1069" spans="1:3" x14ac:dyDescent="0.2">
      <c r="A1069">
        <f>IF(ISERROR(VLOOKUP(C1069,Questions!$A$1:G$9999,7,0)),"",VLOOKUP(C1069,Questions!$A$1:G$9999,7,0))</f>
        <v>1</v>
      </c>
      <c r="B1069" s="17" t="str">
        <f t="shared" si="16"/>
        <v>Problem</v>
      </c>
      <c r="C1069" s="30" t="s">
        <v>1236</v>
      </c>
    </row>
    <row r="1070" spans="1:3" x14ac:dyDescent="0.2">
      <c r="A1070" t="str">
        <f>IF(ISERROR(VLOOKUP(C1070,Questions!$A$1:G$9999,7,0)),"",VLOOKUP(C1070,Questions!$A$1:G$9999,7,0))</f>
        <v/>
      </c>
      <c r="B1070" s="17" t="str">
        <f t="shared" si="16"/>
        <v>Problem</v>
      </c>
      <c r="C1070" s="12" t="s">
        <v>4</v>
      </c>
    </row>
    <row r="1071" spans="1:3" x14ac:dyDescent="0.2">
      <c r="A1071" t="str">
        <f>IF(ISERROR(VLOOKUP(C1071,Questions!$A$1:G$9999,7,0)),"",VLOOKUP(C1071,Questions!$A$1:G$9999,7,0))</f>
        <v/>
      </c>
      <c r="B1071" s="17" t="str">
        <f t="shared" si="16"/>
        <v>Problem</v>
      </c>
      <c r="C1071" s="29" t="s">
        <v>785</v>
      </c>
    </row>
    <row r="1072" spans="1:3" x14ac:dyDescent="0.2">
      <c r="A1072">
        <f>IF(ISERROR(VLOOKUP(C1072,Questions!$A$1:G$9999,7,0)),"",VLOOKUP(C1072,Questions!$A$1:G$9999,7,0))</f>
        <v>2</v>
      </c>
      <c r="B1072" s="17" t="str">
        <f t="shared" si="16"/>
        <v>Problem</v>
      </c>
      <c r="C1072" s="30" t="s">
        <v>541</v>
      </c>
    </row>
    <row r="1073" spans="1:3" x14ac:dyDescent="0.2">
      <c r="A1073">
        <f>IF(ISERROR(VLOOKUP(C1073,Questions!$A$1:G$9999,7,0)),"",VLOOKUP(C1073,Questions!$A$1:G$9999,7,0))</f>
        <v>2</v>
      </c>
      <c r="B1073" s="17" t="str">
        <f t="shared" si="16"/>
        <v>Problem</v>
      </c>
      <c r="C1073" s="30" t="s">
        <v>542</v>
      </c>
    </row>
    <row r="1074" spans="1:3" x14ac:dyDescent="0.2">
      <c r="A1074">
        <f>IF(ISERROR(VLOOKUP(C1074,Questions!$A$1:G$9999,7,0)),"",VLOOKUP(C1074,Questions!$A$1:G$9999,7,0))</f>
        <v>1</v>
      </c>
      <c r="B1074" s="17" t="str">
        <f t="shared" si="16"/>
        <v>Problem</v>
      </c>
      <c r="C1074" s="30" t="s">
        <v>19</v>
      </c>
    </row>
    <row r="1075" spans="1:3" x14ac:dyDescent="0.2">
      <c r="A1075">
        <f>IF(ISERROR(VLOOKUP(C1075,Questions!$A$1:G$9999,7,0)),"",VLOOKUP(C1075,Questions!$A$1:G$9999,7,0))</f>
        <v>3</v>
      </c>
      <c r="B1075" s="17" t="str">
        <f t="shared" si="16"/>
        <v>Problem</v>
      </c>
      <c r="C1075" s="30" t="s">
        <v>20</v>
      </c>
    </row>
    <row r="1076" spans="1:3" x14ac:dyDescent="0.2">
      <c r="A1076" t="str">
        <f>IF(ISERROR(VLOOKUP(C1076,Questions!$A$1:G$9999,7,0)),"",VLOOKUP(C1076,Questions!$A$1:G$9999,7,0))</f>
        <v/>
      </c>
      <c r="B1076" s="17" t="str">
        <f t="shared" si="16"/>
        <v>Problem</v>
      </c>
      <c r="C1076" s="29" t="s">
        <v>787</v>
      </c>
    </row>
    <row r="1077" spans="1:3" x14ac:dyDescent="0.2">
      <c r="A1077">
        <f>IF(ISERROR(VLOOKUP(C1077,Questions!$A$1:G$9999,7,0)),"",VLOOKUP(C1077,Questions!$A$1:G$9999,7,0))</f>
        <v>4</v>
      </c>
      <c r="B1077" s="17" t="str">
        <f t="shared" si="16"/>
        <v>Problem</v>
      </c>
      <c r="C1077" s="30" t="s">
        <v>50</v>
      </c>
    </row>
    <row r="1078" spans="1:3" x14ac:dyDescent="0.2">
      <c r="A1078">
        <f>IF(ISERROR(VLOOKUP(C1078,Questions!$A$1:G$9999,7,0)),"",VLOOKUP(C1078,Questions!$A$1:G$9999,7,0))</f>
        <v>3</v>
      </c>
      <c r="B1078" s="17" t="str">
        <f t="shared" si="16"/>
        <v>Problem</v>
      </c>
      <c r="C1078" s="30" t="s">
        <v>1113</v>
      </c>
    </row>
    <row r="1079" spans="1:3" x14ac:dyDescent="0.2">
      <c r="A1079" t="str">
        <f>IF(ISERROR(VLOOKUP(C1079,Questions!$A$1:G$9999,7,0)),"",VLOOKUP(C1079,Questions!$A$1:G$9999,7,0))</f>
        <v/>
      </c>
      <c r="B1079" s="17" t="str">
        <f t="shared" si="16"/>
        <v>Problem</v>
      </c>
      <c r="C1079" s="29" t="s">
        <v>789</v>
      </c>
    </row>
    <row r="1080" spans="1:3" x14ac:dyDescent="0.2">
      <c r="A1080">
        <f>IF(ISERROR(VLOOKUP(C1080,Questions!$A$1:G$9999,7,0)),"",VLOOKUP(C1080,Questions!$A$1:G$9999,7,0))</f>
        <v>2</v>
      </c>
      <c r="B1080" s="17" t="str">
        <f t="shared" si="16"/>
        <v>Problem</v>
      </c>
      <c r="C1080" s="30" t="s">
        <v>90</v>
      </c>
    </row>
    <row r="1081" spans="1:3" x14ac:dyDescent="0.2">
      <c r="A1081">
        <f>IF(ISERROR(VLOOKUP(C1081,Questions!$A$1:G$9999,7,0)),"",VLOOKUP(C1081,Questions!$A$1:G$9999,7,0))</f>
        <v>1</v>
      </c>
      <c r="B1081" s="17" t="str">
        <f t="shared" si="16"/>
        <v>Problem</v>
      </c>
      <c r="C1081" s="30" t="s">
        <v>91</v>
      </c>
    </row>
    <row r="1082" spans="1:3" x14ac:dyDescent="0.2">
      <c r="A1082" t="str">
        <f>IF(ISERROR(VLOOKUP(C1082,Questions!$A$1:G$9999,7,0)),"",VLOOKUP(C1082,Questions!$A$1:G$9999,7,0))</f>
        <v/>
      </c>
      <c r="B1082" s="17" t="str">
        <f t="shared" si="16"/>
        <v>Problem</v>
      </c>
      <c r="C1082" s="29" t="s">
        <v>793</v>
      </c>
    </row>
    <row r="1083" spans="1:3" x14ac:dyDescent="0.2">
      <c r="A1083">
        <f>IF(ISERROR(VLOOKUP(C1083,Questions!$A$1:G$9999,7,0)),"",VLOOKUP(C1083,Questions!$A$1:G$9999,7,0))</f>
        <v>4</v>
      </c>
      <c r="B1083" s="17" t="str">
        <f t="shared" si="16"/>
        <v>Problem</v>
      </c>
      <c r="C1083" s="30" t="s">
        <v>120</v>
      </c>
    </row>
    <row r="1084" spans="1:3" x14ac:dyDescent="0.2">
      <c r="A1084">
        <f>IF(ISERROR(VLOOKUP(C1084,Questions!$A$1:G$9999,7,0)),"",VLOOKUP(C1084,Questions!$A$1:G$9999,7,0))</f>
        <v>3</v>
      </c>
      <c r="B1084" s="17" t="str">
        <f t="shared" ref="B1084:B1147" si="17">HYPERLINK("http://www.mrhosey.com/RPhys/" &amp; C1084 &amp; ".gif","Problem")</f>
        <v>Problem</v>
      </c>
      <c r="C1084" s="30" t="s">
        <v>122</v>
      </c>
    </row>
    <row r="1085" spans="1:3" x14ac:dyDescent="0.2">
      <c r="A1085">
        <f>IF(ISERROR(VLOOKUP(C1085,Questions!$A$1:G$9999,7,0)),"",VLOOKUP(C1085,Questions!$A$1:G$9999,7,0))</f>
        <v>2</v>
      </c>
      <c r="B1085" s="17" t="str">
        <f t="shared" si="17"/>
        <v>Problem</v>
      </c>
      <c r="C1085" s="30" t="s">
        <v>123</v>
      </c>
    </row>
    <row r="1086" spans="1:3" x14ac:dyDescent="0.2">
      <c r="A1086">
        <f>IF(ISERROR(VLOOKUP(C1086,Questions!$A$1:G$9999,7,0)),"",VLOOKUP(C1086,Questions!$A$1:G$9999,7,0))</f>
        <v>4</v>
      </c>
      <c r="B1086" s="17" t="str">
        <f t="shared" si="17"/>
        <v>Problem</v>
      </c>
      <c r="C1086" s="30" t="s">
        <v>132</v>
      </c>
    </row>
    <row r="1087" spans="1:3" x14ac:dyDescent="0.2">
      <c r="A1087" t="str">
        <f>IF(ISERROR(VLOOKUP(C1087,Questions!$A$1:G$9999,7,0)),"",VLOOKUP(C1087,Questions!$A$1:G$9999,7,0))</f>
        <v/>
      </c>
      <c r="B1087" s="17" t="str">
        <f t="shared" si="17"/>
        <v>Problem</v>
      </c>
      <c r="C1087" s="29" t="s">
        <v>795</v>
      </c>
    </row>
    <row r="1088" spans="1:3" x14ac:dyDescent="0.2">
      <c r="A1088">
        <f>IF(ISERROR(VLOOKUP(C1088,Questions!$A$1:G$9999,7,0)),"",VLOOKUP(C1088,Questions!$A$1:G$9999,7,0))</f>
        <v>1</v>
      </c>
      <c r="B1088" s="17" t="str">
        <f t="shared" si="17"/>
        <v>Problem</v>
      </c>
      <c r="C1088" s="30" t="s">
        <v>158</v>
      </c>
    </row>
    <row r="1089" spans="1:3" x14ac:dyDescent="0.2">
      <c r="A1089">
        <f>IF(ISERROR(VLOOKUP(C1089,Questions!$A$1:G$9999,7,0)),"",VLOOKUP(C1089,Questions!$A$1:G$9999,7,0))</f>
        <v>2</v>
      </c>
      <c r="B1089" s="17" t="str">
        <f t="shared" si="17"/>
        <v>Problem</v>
      </c>
      <c r="C1089" s="30" t="s">
        <v>159</v>
      </c>
    </row>
    <row r="1090" spans="1:3" x14ac:dyDescent="0.2">
      <c r="A1090" t="str">
        <f>IF(ISERROR(VLOOKUP(C1090,Questions!$A$1:G$9999,7,0)),"",VLOOKUP(C1090,Questions!$A$1:G$9999,7,0))</f>
        <v/>
      </c>
      <c r="B1090" s="17" t="str">
        <f t="shared" si="17"/>
        <v>Problem</v>
      </c>
      <c r="C1090" s="29" t="s">
        <v>797</v>
      </c>
    </row>
    <row r="1091" spans="1:3" x14ac:dyDescent="0.2">
      <c r="A1091">
        <f>IF(ISERROR(VLOOKUP(C1091,Questions!$A$1:G$9999,7,0)),"",VLOOKUP(C1091,Questions!$A$1:G$9999,7,0))</f>
        <v>3</v>
      </c>
      <c r="B1091" s="17" t="str">
        <f t="shared" si="17"/>
        <v>Problem</v>
      </c>
      <c r="C1091" s="30" t="s">
        <v>190</v>
      </c>
    </row>
    <row r="1092" spans="1:3" x14ac:dyDescent="0.2">
      <c r="A1092">
        <f>IF(ISERROR(VLOOKUP(C1092,Questions!$A$1:G$9999,7,0)),"",VLOOKUP(C1092,Questions!$A$1:G$9999,7,0))</f>
        <v>3</v>
      </c>
      <c r="B1092" s="17" t="str">
        <f t="shared" si="17"/>
        <v>Problem</v>
      </c>
      <c r="C1092" s="30" t="s">
        <v>191</v>
      </c>
    </row>
    <row r="1093" spans="1:3" x14ac:dyDescent="0.2">
      <c r="A1093" t="str">
        <f>IF(ISERROR(VLOOKUP(C1093,Questions!$A$1:G$9999,7,0)),"",VLOOKUP(C1093,Questions!$A$1:G$9999,7,0))</f>
        <v/>
      </c>
      <c r="B1093" s="17" t="str">
        <f t="shared" si="17"/>
        <v>Problem</v>
      </c>
      <c r="C1093" s="29" t="s">
        <v>799</v>
      </c>
    </row>
    <row r="1094" spans="1:3" x14ac:dyDescent="0.2">
      <c r="A1094">
        <f>IF(ISERROR(VLOOKUP(C1094,Questions!$A$1:G$9999,7,0)),"",VLOOKUP(C1094,Questions!$A$1:G$9999,7,0))</f>
        <v>1</v>
      </c>
      <c r="B1094" s="17" t="str">
        <f t="shared" si="17"/>
        <v>Problem</v>
      </c>
      <c r="C1094" s="30" t="s">
        <v>224</v>
      </c>
    </row>
    <row r="1095" spans="1:3" x14ac:dyDescent="0.2">
      <c r="A1095" t="str">
        <f>IF(ISERROR(VLOOKUP(C1095,Questions!$A$1:G$9999,7,0)),"",VLOOKUP(C1095,Questions!$A$1:G$9999,7,0))</f>
        <v/>
      </c>
      <c r="B1095" s="17" t="str">
        <f t="shared" si="17"/>
        <v>Problem</v>
      </c>
      <c r="C1095" s="29" t="s">
        <v>801</v>
      </c>
    </row>
    <row r="1096" spans="1:3" x14ac:dyDescent="0.2">
      <c r="A1096">
        <f>IF(ISERROR(VLOOKUP(C1096,Questions!$A$1:G$9999,7,0)),"",VLOOKUP(C1096,Questions!$A$1:G$9999,7,0))</f>
        <v>2</v>
      </c>
      <c r="B1096" s="17" t="str">
        <f t="shared" si="17"/>
        <v>Problem</v>
      </c>
      <c r="C1096" s="30" t="s">
        <v>261</v>
      </c>
    </row>
    <row r="1097" spans="1:3" x14ac:dyDescent="0.2">
      <c r="A1097">
        <f>IF(ISERROR(VLOOKUP(C1097,Questions!$A$1:G$9999,7,0)),"",VLOOKUP(C1097,Questions!$A$1:G$9999,7,0))</f>
        <v>3</v>
      </c>
      <c r="B1097" s="17" t="str">
        <f t="shared" si="17"/>
        <v>Problem</v>
      </c>
      <c r="C1097" s="30" t="s">
        <v>263</v>
      </c>
    </row>
    <row r="1098" spans="1:3" x14ac:dyDescent="0.2">
      <c r="A1098">
        <f>IF(ISERROR(VLOOKUP(C1098,Questions!$A$1:G$9999,7,0)),"",VLOOKUP(C1098,Questions!$A$1:G$9999,7,0))</f>
        <v>2</v>
      </c>
      <c r="B1098" s="17" t="str">
        <f t="shared" si="17"/>
        <v>Problem</v>
      </c>
      <c r="C1098" s="30" t="s">
        <v>1114</v>
      </c>
    </row>
    <row r="1099" spans="1:3" x14ac:dyDescent="0.2">
      <c r="A1099">
        <f>IF(ISERROR(VLOOKUP(C1099,Questions!$A$1:G$9999,7,0)),"",VLOOKUP(C1099,Questions!$A$1:G$9999,7,0))</f>
        <v>1</v>
      </c>
      <c r="B1099" s="17" t="str">
        <f t="shared" si="17"/>
        <v>Problem</v>
      </c>
      <c r="C1099" s="30" t="s">
        <v>1115</v>
      </c>
    </row>
    <row r="1100" spans="1:3" x14ac:dyDescent="0.2">
      <c r="A1100" t="str">
        <f>IF(ISERROR(VLOOKUP(C1100,Questions!$A$1:G$9999,7,0)),"",VLOOKUP(C1100,Questions!$A$1:G$9999,7,0))</f>
        <v/>
      </c>
      <c r="B1100" s="17" t="str">
        <f t="shared" si="17"/>
        <v>Problem</v>
      </c>
      <c r="C1100" s="29" t="s">
        <v>802</v>
      </c>
    </row>
    <row r="1101" spans="1:3" x14ac:dyDescent="0.2">
      <c r="A1101">
        <f>IF(ISERROR(VLOOKUP(C1101,Questions!$A$1:G$9999,7,0)),"",VLOOKUP(C1101,Questions!$A$1:G$9999,7,0))</f>
        <v>3</v>
      </c>
      <c r="B1101" s="17" t="str">
        <f t="shared" si="17"/>
        <v>Problem</v>
      </c>
      <c r="C1101" s="30" t="s">
        <v>305</v>
      </c>
    </row>
    <row r="1102" spans="1:3" x14ac:dyDescent="0.2">
      <c r="A1102">
        <f>IF(ISERROR(VLOOKUP(C1102,Questions!$A$1:G$9999,7,0)),"",VLOOKUP(C1102,Questions!$A$1:G$9999,7,0))</f>
        <v>1</v>
      </c>
      <c r="B1102" s="17" t="str">
        <f t="shared" si="17"/>
        <v>Problem</v>
      </c>
      <c r="C1102" s="30" t="s">
        <v>1116</v>
      </c>
    </row>
    <row r="1103" spans="1:3" x14ac:dyDescent="0.2">
      <c r="A1103" t="str">
        <f>IF(ISERROR(VLOOKUP(C1103,Questions!$A$1:G$9999,7,0)),"",VLOOKUP(C1103,Questions!$A$1:G$9999,7,0))</f>
        <v/>
      </c>
      <c r="B1103" s="17" t="str">
        <f t="shared" si="17"/>
        <v>Problem</v>
      </c>
      <c r="C1103" s="29" t="s">
        <v>803</v>
      </c>
    </row>
    <row r="1104" spans="1:3" x14ac:dyDescent="0.2">
      <c r="A1104">
        <f>IF(ISERROR(VLOOKUP(C1104,Questions!$A$1:G$9999,7,0)),"",VLOOKUP(C1104,Questions!$A$1:G$9999,7,0))</f>
        <v>1</v>
      </c>
      <c r="B1104" s="17" t="str">
        <f t="shared" si="17"/>
        <v>Problem</v>
      </c>
      <c r="C1104" s="30" t="s">
        <v>333</v>
      </c>
    </row>
    <row r="1105" spans="1:3" x14ac:dyDescent="0.2">
      <c r="A1105">
        <f>IF(ISERROR(VLOOKUP(C1105,Questions!$A$1:G$9999,7,0)),"",VLOOKUP(C1105,Questions!$A$1:G$9999,7,0))</f>
        <v>2</v>
      </c>
      <c r="B1105" s="17" t="str">
        <f t="shared" si="17"/>
        <v>Problem</v>
      </c>
      <c r="C1105" s="30" t="s">
        <v>334</v>
      </c>
    </row>
    <row r="1106" spans="1:3" x14ac:dyDescent="0.2">
      <c r="A1106">
        <f>IF(ISERROR(VLOOKUP(C1106,Questions!$A$1:G$9999,7,0)),"",VLOOKUP(C1106,Questions!$A$1:G$9999,7,0))</f>
        <v>1</v>
      </c>
      <c r="B1106" s="17" t="str">
        <f t="shared" si="17"/>
        <v>Problem</v>
      </c>
      <c r="C1106" s="30" t="s">
        <v>1117</v>
      </c>
    </row>
    <row r="1107" spans="1:3" x14ac:dyDescent="0.2">
      <c r="A1107" t="str">
        <f>IF(ISERROR(VLOOKUP(C1107,Questions!$A$1:G$9999,7,0)),"",VLOOKUP(C1107,Questions!$A$1:G$9999,7,0))</f>
        <v/>
      </c>
      <c r="B1107" s="17" t="str">
        <f t="shared" si="17"/>
        <v>Problem</v>
      </c>
      <c r="C1107" s="29" t="s">
        <v>805</v>
      </c>
    </row>
    <row r="1108" spans="1:3" x14ac:dyDescent="0.2">
      <c r="A1108">
        <f>IF(ISERROR(VLOOKUP(C1108,Questions!$A$1:G$9999,7,0)),"",VLOOKUP(C1108,Questions!$A$1:G$9999,7,0))</f>
        <v>4</v>
      </c>
      <c r="B1108" s="17" t="str">
        <f t="shared" si="17"/>
        <v>Problem</v>
      </c>
      <c r="C1108" s="30" t="s">
        <v>366</v>
      </c>
    </row>
    <row r="1109" spans="1:3" x14ac:dyDescent="0.2">
      <c r="A1109">
        <f>IF(ISERROR(VLOOKUP(C1109,Questions!$A$1:G$9999,7,0)),"",VLOOKUP(C1109,Questions!$A$1:G$9999,7,0))</f>
        <v>2</v>
      </c>
      <c r="B1109" s="17" t="str">
        <f t="shared" si="17"/>
        <v>Problem</v>
      </c>
      <c r="C1109" s="30" t="s">
        <v>367</v>
      </c>
    </row>
    <row r="1110" spans="1:3" x14ac:dyDescent="0.2">
      <c r="A1110">
        <f>IF(ISERROR(VLOOKUP(C1110,Questions!$A$1:G$9999,7,0)),"",VLOOKUP(C1110,Questions!$A$1:G$9999,7,0))</f>
        <v>2</v>
      </c>
      <c r="B1110" s="17" t="str">
        <f t="shared" si="17"/>
        <v>Problem</v>
      </c>
      <c r="C1110" s="30" t="s">
        <v>368</v>
      </c>
    </row>
    <row r="1111" spans="1:3" x14ac:dyDescent="0.2">
      <c r="A1111" t="str">
        <f>IF(ISERROR(VLOOKUP(C1111,Questions!$A$1:G$9999,7,0)),"",VLOOKUP(C1111,Questions!$A$1:G$9999,7,0))</f>
        <v/>
      </c>
      <c r="B1111" s="17" t="str">
        <f t="shared" si="17"/>
        <v>Problem</v>
      </c>
      <c r="C1111" s="29" t="s">
        <v>807</v>
      </c>
    </row>
    <row r="1112" spans="1:3" x14ac:dyDescent="0.2">
      <c r="A1112">
        <f>IF(ISERROR(VLOOKUP(C1112,Questions!$A$1:G$9999,7,0)),"",VLOOKUP(C1112,Questions!$A$1:G$9999,7,0))</f>
        <v>4</v>
      </c>
      <c r="B1112" s="17" t="str">
        <f t="shared" si="17"/>
        <v>Problem</v>
      </c>
      <c r="C1112" s="30" t="s">
        <v>400</v>
      </c>
    </row>
    <row r="1113" spans="1:3" x14ac:dyDescent="0.2">
      <c r="A1113">
        <f>IF(ISERROR(VLOOKUP(C1113,Questions!$A$1:G$9999,7,0)),"",VLOOKUP(C1113,Questions!$A$1:G$9999,7,0))</f>
        <v>4</v>
      </c>
      <c r="B1113" s="17" t="str">
        <f t="shared" si="17"/>
        <v>Problem</v>
      </c>
      <c r="C1113" s="30" t="s">
        <v>404</v>
      </c>
    </row>
    <row r="1114" spans="1:3" x14ac:dyDescent="0.2">
      <c r="A1114" t="str">
        <f>IF(ISERROR(VLOOKUP(C1114,Questions!$A$1:G$9999,7,0)),"",VLOOKUP(C1114,Questions!$A$1:G$9999,7,0))</f>
        <v/>
      </c>
      <c r="B1114" s="17" t="str">
        <f t="shared" si="17"/>
        <v>Problem</v>
      </c>
      <c r="C1114" s="29" t="s">
        <v>808</v>
      </c>
    </row>
    <row r="1115" spans="1:3" x14ac:dyDescent="0.2">
      <c r="A1115">
        <f>IF(ISERROR(VLOOKUP(C1115,Questions!$A$1:G$9999,7,0)),"",VLOOKUP(C1115,Questions!$A$1:G$9999,7,0))</f>
        <v>2</v>
      </c>
      <c r="B1115" s="17" t="str">
        <f t="shared" si="17"/>
        <v>Problem</v>
      </c>
      <c r="C1115" s="30" t="s">
        <v>438</v>
      </c>
    </row>
    <row r="1116" spans="1:3" x14ac:dyDescent="0.2">
      <c r="A1116">
        <f>IF(ISERROR(VLOOKUP(C1116,Questions!$A$1:G$9999,7,0)),"",VLOOKUP(C1116,Questions!$A$1:G$9999,7,0))</f>
        <v>3</v>
      </c>
      <c r="B1116" s="17" t="str">
        <f t="shared" si="17"/>
        <v>Problem</v>
      </c>
      <c r="C1116" s="30" t="s">
        <v>441</v>
      </c>
    </row>
    <row r="1117" spans="1:3" x14ac:dyDescent="0.2">
      <c r="A1117" t="str">
        <f>IF(ISERROR(VLOOKUP(C1117,Questions!$A$1:G$9999,7,0)),"",VLOOKUP(C1117,Questions!$A$1:G$9999,7,0))</f>
        <v/>
      </c>
      <c r="B1117" s="17" t="str">
        <f t="shared" si="17"/>
        <v>Problem</v>
      </c>
      <c r="C1117" s="29" t="s">
        <v>810</v>
      </c>
    </row>
    <row r="1118" spans="1:3" x14ac:dyDescent="0.2">
      <c r="A1118">
        <f>IF(ISERROR(VLOOKUP(C1118,Questions!$A$1:G$9999,7,0)),"",VLOOKUP(C1118,Questions!$A$1:G$9999,7,0))</f>
        <v>1</v>
      </c>
      <c r="B1118" s="17" t="str">
        <f t="shared" si="17"/>
        <v>Problem</v>
      </c>
      <c r="C1118" s="30" t="s">
        <v>468</v>
      </c>
    </row>
    <row r="1119" spans="1:3" x14ac:dyDescent="0.2">
      <c r="A1119">
        <f>IF(ISERROR(VLOOKUP(C1119,Questions!$A$1:G$9999,7,0)),"",VLOOKUP(C1119,Questions!$A$1:G$9999,7,0))</f>
        <v>1</v>
      </c>
      <c r="B1119" s="17" t="str">
        <f t="shared" si="17"/>
        <v>Problem</v>
      </c>
      <c r="C1119" s="30" t="s">
        <v>472</v>
      </c>
    </row>
    <row r="1120" spans="1:3" x14ac:dyDescent="0.2">
      <c r="A1120">
        <f>IF(ISERROR(VLOOKUP(C1120,Questions!$A$1:G$9999,7,0)),"",VLOOKUP(C1120,Questions!$A$1:G$9999,7,0))</f>
        <v>2</v>
      </c>
      <c r="B1120" s="17" t="str">
        <f t="shared" si="17"/>
        <v>Problem</v>
      </c>
      <c r="C1120" s="30" t="s">
        <v>476</v>
      </c>
    </row>
    <row r="1121" spans="1:3" x14ac:dyDescent="0.2">
      <c r="A1121">
        <f>IF(ISERROR(VLOOKUP(C1121,Questions!$A$1:G$9999,7,0)),"",VLOOKUP(C1121,Questions!$A$1:G$9999,7,0))</f>
        <v>3</v>
      </c>
      <c r="B1121" s="17" t="str">
        <f t="shared" si="17"/>
        <v>Problem</v>
      </c>
      <c r="C1121" s="30" t="s">
        <v>479</v>
      </c>
    </row>
    <row r="1122" spans="1:3" x14ac:dyDescent="0.2">
      <c r="A1122">
        <f>IF(ISERROR(VLOOKUP(C1122,Questions!$A$1:G$9999,7,0)),"",VLOOKUP(C1122,Questions!$A$1:G$9999,7,0))</f>
        <v>2</v>
      </c>
      <c r="B1122" s="17" t="str">
        <f t="shared" si="17"/>
        <v>Problem</v>
      </c>
      <c r="C1122" s="30" t="s">
        <v>1118</v>
      </c>
    </row>
    <row r="1123" spans="1:3" x14ac:dyDescent="0.2">
      <c r="A1123" t="str">
        <f>IF(ISERROR(VLOOKUP(C1123,Questions!$A$1:G$9999,7,0)),"",VLOOKUP(C1123,Questions!$A$1:G$9999,7,0))</f>
        <v/>
      </c>
      <c r="B1123" s="17" t="str">
        <f t="shared" si="17"/>
        <v>Problem</v>
      </c>
      <c r="C1123" s="29" t="s">
        <v>811</v>
      </c>
    </row>
    <row r="1124" spans="1:3" x14ac:dyDescent="0.2">
      <c r="A1124">
        <f>IF(ISERROR(VLOOKUP(C1124,Questions!$A$1:G$9999,7,0)),"",VLOOKUP(C1124,Questions!$A$1:G$9999,7,0))</f>
        <v>4</v>
      </c>
      <c r="B1124" s="17" t="str">
        <f t="shared" si="17"/>
        <v>Problem</v>
      </c>
      <c r="C1124" s="30" t="s">
        <v>508</v>
      </c>
    </row>
    <row r="1125" spans="1:3" x14ac:dyDescent="0.2">
      <c r="A1125">
        <f>IF(ISERROR(VLOOKUP(C1125,Questions!$A$1:G$9999,7,0)),"",VLOOKUP(C1125,Questions!$A$1:G$9999,7,0))</f>
        <v>3</v>
      </c>
      <c r="B1125" s="17" t="str">
        <f t="shared" si="17"/>
        <v>Problem</v>
      </c>
      <c r="C1125" s="30" t="s">
        <v>509</v>
      </c>
    </row>
    <row r="1126" spans="1:3" x14ac:dyDescent="0.2">
      <c r="A1126" t="str">
        <f>IF(ISERROR(VLOOKUP(C1126,Questions!$A$1:G$9999,7,0)),"",VLOOKUP(C1126,Questions!$A$1:G$9999,7,0))</f>
        <v/>
      </c>
      <c r="B1126" s="17" t="str">
        <f t="shared" si="17"/>
        <v>Problem</v>
      </c>
      <c r="C1126" s="29" t="s">
        <v>777</v>
      </c>
    </row>
    <row r="1127" spans="1:3" x14ac:dyDescent="0.2">
      <c r="A1127">
        <f>IF(ISERROR(VLOOKUP(C1127,Questions!$A$1:G$9999,7,0)),"",VLOOKUP(C1127,Questions!$A$1:G$9999,7,0))</f>
        <v>2</v>
      </c>
      <c r="B1127" s="17" t="str">
        <f t="shared" si="17"/>
        <v>Problem</v>
      </c>
      <c r="C1127" s="30" t="s">
        <v>627</v>
      </c>
    </row>
    <row r="1128" spans="1:3" x14ac:dyDescent="0.2">
      <c r="A1128">
        <f>IF(ISERROR(VLOOKUP(C1128,Questions!$A$1:G$9999,7,0)),"",VLOOKUP(C1128,Questions!$A$1:G$9999,7,0))</f>
        <v>2</v>
      </c>
      <c r="B1128" s="17" t="str">
        <f t="shared" si="17"/>
        <v>Problem</v>
      </c>
      <c r="C1128" s="30" t="s">
        <v>628</v>
      </c>
    </row>
    <row r="1129" spans="1:3" x14ac:dyDescent="0.2">
      <c r="A1129">
        <f>IF(ISERROR(VLOOKUP(C1129,Questions!$A$1:G$9999,7,0)),"",VLOOKUP(C1129,Questions!$A$1:G$9999,7,0))</f>
        <v>3</v>
      </c>
      <c r="B1129" s="17" t="str">
        <f t="shared" si="17"/>
        <v>Problem</v>
      </c>
      <c r="C1129" s="30" t="s">
        <v>629</v>
      </c>
    </row>
    <row r="1130" spans="1:3" x14ac:dyDescent="0.2">
      <c r="A1130" t="str">
        <f>IF(ISERROR(VLOOKUP(C1130,Questions!$A$1:G$9999,7,0)),"",VLOOKUP(C1130,Questions!$A$1:G$9999,7,0))</f>
        <v/>
      </c>
      <c r="B1130" s="17" t="str">
        <f t="shared" si="17"/>
        <v>Problem</v>
      </c>
      <c r="C1130" s="29" t="s">
        <v>778</v>
      </c>
    </row>
    <row r="1131" spans="1:3" x14ac:dyDescent="0.2">
      <c r="A1131">
        <f>IF(ISERROR(VLOOKUP(C1131,Questions!$A$1:G$9999,7,0)),"",VLOOKUP(C1131,Questions!$A$1:G$9999,7,0))</f>
        <v>1</v>
      </c>
      <c r="B1131" s="17" t="str">
        <f t="shared" si="17"/>
        <v>Problem</v>
      </c>
      <c r="C1131" s="30" t="s">
        <v>694</v>
      </c>
    </row>
    <row r="1132" spans="1:3" x14ac:dyDescent="0.2">
      <c r="A1132">
        <f>IF(ISERROR(VLOOKUP(C1132,Questions!$A$1:G$9999,7,0)),"",VLOOKUP(C1132,Questions!$A$1:G$9999,7,0))</f>
        <v>3</v>
      </c>
      <c r="B1132" s="17" t="str">
        <f t="shared" si="17"/>
        <v>Problem</v>
      </c>
      <c r="C1132" s="30" t="s">
        <v>700</v>
      </c>
    </row>
    <row r="1133" spans="1:3" x14ac:dyDescent="0.2">
      <c r="A1133">
        <f>IF(ISERROR(VLOOKUP(C1133,Questions!$A$1:G$9999,7,0)),"",VLOOKUP(C1133,Questions!$A$1:G$9999,7,0))</f>
        <v>4</v>
      </c>
      <c r="B1133" s="17" t="str">
        <f t="shared" si="17"/>
        <v>Problem</v>
      </c>
      <c r="C1133" s="30" t="s">
        <v>702</v>
      </c>
    </row>
    <row r="1134" spans="1:3" x14ac:dyDescent="0.2">
      <c r="A1134" t="str">
        <f>IF(ISERROR(VLOOKUP(C1134,Questions!$A$1:G$9999,7,0)),"",VLOOKUP(C1134,Questions!$A$1:G$9999,7,0))</f>
        <v/>
      </c>
      <c r="B1134" s="17" t="str">
        <f t="shared" si="17"/>
        <v>Problem</v>
      </c>
      <c r="C1134" s="29" t="s">
        <v>779</v>
      </c>
    </row>
    <row r="1135" spans="1:3" x14ac:dyDescent="0.2">
      <c r="A1135">
        <f>IF(ISERROR(VLOOKUP(C1135,Questions!$A$1:G$9999,7,0)),"",VLOOKUP(C1135,Questions!$A$1:G$9999,7,0))</f>
        <v>3</v>
      </c>
      <c r="B1135" s="17" t="str">
        <f t="shared" si="17"/>
        <v>Problem</v>
      </c>
      <c r="C1135" s="30" t="s">
        <v>1119</v>
      </c>
    </row>
    <row r="1136" spans="1:3" x14ac:dyDescent="0.2">
      <c r="A1136">
        <f>IF(ISERROR(VLOOKUP(C1136,Questions!$A$1:G$9999,7,0)),"",VLOOKUP(C1136,Questions!$A$1:G$9999,7,0))</f>
        <v>1</v>
      </c>
      <c r="B1136" s="17" t="str">
        <f t="shared" si="17"/>
        <v>Problem</v>
      </c>
      <c r="C1136" s="30" t="s">
        <v>1120</v>
      </c>
    </row>
    <row r="1137" spans="1:3" x14ac:dyDescent="0.2">
      <c r="A1137">
        <f>IF(ISERROR(VLOOKUP(C1137,Questions!$A$1:G$9999,7,0)),"",VLOOKUP(C1137,Questions!$A$1:G$9999,7,0))</f>
        <v>4</v>
      </c>
      <c r="B1137" s="17" t="str">
        <f t="shared" si="17"/>
        <v>Problem</v>
      </c>
      <c r="C1137" s="30" t="s">
        <v>1121</v>
      </c>
    </row>
    <row r="1138" spans="1:3" x14ac:dyDescent="0.2">
      <c r="A1138">
        <f>IF(ISERROR(VLOOKUP(C1138,Questions!$A$1:G$9999,7,0)),"",VLOOKUP(C1138,Questions!$A$1:G$9999,7,0))</f>
        <v>2</v>
      </c>
      <c r="B1138" s="17" t="str">
        <f t="shared" si="17"/>
        <v>Problem</v>
      </c>
      <c r="C1138" s="30" t="s">
        <v>1122</v>
      </c>
    </row>
    <row r="1139" spans="1:3" x14ac:dyDescent="0.2">
      <c r="A1139" t="str">
        <f>IF(ISERROR(VLOOKUP(C1139,Questions!$A$1:G$9999,7,0)),"",VLOOKUP(C1139,Questions!$A$1:G$9999,7,0))</f>
        <v/>
      </c>
      <c r="B1139" s="17" t="str">
        <f t="shared" si="17"/>
        <v>Problem</v>
      </c>
      <c r="C1139" s="29" t="s">
        <v>780</v>
      </c>
    </row>
    <row r="1140" spans="1:3" x14ac:dyDescent="0.2">
      <c r="A1140">
        <f>IF(ISERROR(VLOOKUP(C1140,Questions!$A$1:G$9999,7,0)),"",VLOOKUP(C1140,Questions!$A$1:G$9999,7,0))</f>
        <v>3</v>
      </c>
      <c r="B1140" s="17" t="str">
        <f t="shared" si="17"/>
        <v>Problem</v>
      </c>
      <c r="C1140" s="30" t="s">
        <v>1123</v>
      </c>
    </row>
    <row r="1141" spans="1:3" x14ac:dyDescent="0.2">
      <c r="A1141">
        <f>IF(ISERROR(VLOOKUP(C1141,Questions!$A$1:G$9999,7,0)),"",VLOOKUP(C1141,Questions!$A$1:G$9999,7,0))</f>
        <v>3</v>
      </c>
      <c r="B1141" s="17" t="str">
        <f t="shared" si="17"/>
        <v>Problem</v>
      </c>
      <c r="C1141" s="30" t="s">
        <v>1124</v>
      </c>
    </row>
    <row r="1142" spans="1:3" x14ac:dyDescent="0.2">
      <c r="A1142">
        <f>IF(ISERROR(VLOOKUP(C1142,Questions!$A$1:G$9999,7,0)),"",VLOOKUP(C1142,Questions!$A$1:G$9999,7,0))</f>
        <v>4</v>
      </c>
      <c r="B1142" s="17" t="str">
        <f t="shared" si="17"/>
        <v>Problem</v>
      </c>
      <c r="C1142" s="30" t="s">
        <v>1125</v>
      </c>
    </row>
    <row r="1143" spans="1:3" x14ac:dyDescent="0.2">
      <c r="A1143">
        <f>IF(ISERROR(VLOOKUP(C1143,Questions!$A$1:G$9999,7,0)),"",VLOOKUP(C1143,Questions!$A$1:G$9999,7,0))</f>
        <v>4</v>
      </c>
      <c r="B1143" s="17" t="str">
        <f t="shared" si="17"/>
        <v>Problem</v>
      </c>
      <c r="C1143" s="30" t="s">
        <v>1126</v>
      </c>
    </row>
    <row r="1144" spans="1:3" x14ac:dyDescent="0.2">
      <c r="A1144">
        <f>IF(ISERROR(VLOOKUP(C1144,Questions!$A$1:G$9999,7,0)),"",VLOOKUP(C1144,Questions!$A$1:G$9999,7,0))</f>
        <v>3</v>
      </c>
      <c r="B1144" s="17" t="str">
        <f t="shared" si="17"/>
        <v>Problem</v>
      </c>
      <c r="C1144" s="30" t="s">
        <v>1127</v>
      </c>
    </row>
    <row r="1145" spans="1:3" x14ac:dyDescent="0.2">
      <c r="A1145">
        <f>IF(ISERROR(VLOOKUP(C1145,Questions!$A$1:G$9999,7,0)),"",VLOOKUP(C1145,Questions!$A$1:G$9999,7,0))</f>
        <v>2</v>
      </c>
      <c r="B1145" s="17" t="str">
        <f t="shared" si="17"/>
        <v>Problem</v>
      </c>
      <c r="C1145" s="30" t="s">
        <v>1128</v>
      </c>
    </row>
    <row r="1146" spans="1:3" x14ac:dyDescent="0.2">
      <c r="A1146" t="str">
        <f>IF(ISERROR(VLOOKUP(C1146,Questions!$A$1:G$9999,7,0)),"",VLOOKUP(C1146,Questions!$A$1:G$9999,7,0))</f>
        <v/>
      </c>
      <c r="B1146" s="17" t="str">
        <f t="shared" si="17"/>
        <v>Problem</v>
      </c>
      <c r="C1146" s="29" t="s">
        <v>781</v>
      </c>
    </row>
    <row r="1147" spans="1:3" x14ac:dyDescent="0.2">
      <c r="A1147">
        <f>IF(ISERROR(VLOOKUP(C1147,Questions!$A$1:G$9999,7,0)),"",VLOOKUP(C1147,Questions!$A$1:G$9999,7,0))</f>
        <v>1</v>
      </c>
      <c r="B1147" s="17" t="str">
        <f t="shared" si="17"/>
        <v>Problem</v>
      </c>
      <c r="C1147" s="30" t="s">
        <v>1129</v>
      </c>
    </row>
    <row r="1148" spans="1:3" x14ac:dyDescent="0.2">
      <c r="A1148">
        <f>IF(ISERROR(VLOOKUP(C1148,Questions!$A$1:G$9999,7,0)),"",VLOOKUP(C1148,Questions!$A$1:G$9999,7,0))</f>
        <v>4</v>
      </c>
      <c r="B1148" s="17" t="str">
        <f t="shared" ref="B1148:B1211" si="18">HYPERLINK("http://www.mrhosey.com/RPhys/" &amp; C1148 &amp; ".gif","Problem")</f>
        <v>Problem</v>
      </c>
      <c r="C1148" s="30" t="s">
        <v>1130</v>
      </c>
    </row>
    <row r="1149" spans="1:3" x14ac:dyDescent="0.2">
      <c r="A1149" t="str">
        <f>IF(ISERROR(VLOOKUP(C1149,Questions!$A$1:G$9999,7,0)),"",VLOOKUP(C1149,Questions!$A$1:G$9999,7,0))</f>
        <v/>
      </c>
      <c r="B1149" s="17" t="str">
        <f t="shared" si="18"/>
        <v>Problem</v>
      </c>
      <c r="C1149" s="29" t="s">
        <v>826</v>
      </c>
    </row>
    <row r="1150" spans="1:3" x14ac:dyDescent="0.2">
      <c r="A1150">
        <f>IF(ISERROR(VLOOKUP(C1150,Questions!$A$1:G$9999,7,0)),"",VLOOKUP(C1150,Questions!$A$1:G$9999,7,0))</f>
        <v>3</v>
      </c>
      <c r="B1150" s="17" t="str">
        <f t="shared" si="18"/>
        <v>Problem</v>
      </c>
      <c r="C1150" s="30" t="s">
        <v>1131</v>
      </c>
    </row>
    <row r="1151" spans="1:3" x14ac:dyDescent="0.2">
      <c r="A1151">
        <f>IF(ISERROR(VLOOKUP(C1151,Questions!$A$1:G$9999,7,0)),"",VLOOKUP(C1151,Questions!$A$1:G$9999,7,0))</f>
        <v>3</v>
      </c>
      <c r="B1151" s="17" t="str">
        <f t="shared" si="18"/>
        <v>Problem</v>
      </c>
      <c r="C1151" s="30" t="s">
        <v>1132</v>
      </c>
    </row>
    <row r="1152" spans="1:3" x14ac:dyDescent="0.2">
      <c r="A1152">
        <f>IF(ISERROR(VLOOKUP(C1152,Questions!$A$1:G$9999,7,0)),"",VLOOKUP(C1152,Questions!$A$1:G$9999,7,0))</f>
        <v>4</v>
      </c>
      <c r="B1152" s="17" t="str">
        <f t="shared" si="18"/>
        <v>Problem</v>
      </c>
      <c r="C1152" s="30" t="s">
        <v>1133</v>
      </c>
    </row>
    <row r="1153" spans="1:3" x14ac:dyDescent="0.2">
      <c r="A1153" t="str">
        <f>IF(ISERROR(VLOOKUP(C1153,Questions!$A$1:G$9999,7,0)),"",VLOOKUP(C1153,Questions!$A$1:G$9999,7,0))</f>
        <v/>
      </c>
      <c r="B1153" s="17" t="str">
        <f t="shared" si="18"/>
        <v>Problem</v>
      </c>
      <c r="C1153" s="29" t="s">
        <v>1195</v>
      </c>
    </row>
    <row r="1154" spans="1:3" x14ac:dyDescent="0.2">
      <c r="A1154">
        <f>IF(ISERROR(VLOOKUP(C1154,Questions!$A$1:G$9999,7,0)),"",VLOOKUP(C1154,Questions!$A$1:G$9999,7,0))</f>
        <v>4</v>
      </c>
      <c r="B1154" s="17" t="str">
        <f t="shared" si="18"/>
        <v>Problem</v>
      </c>
      <c r="C1154" s="30" t="s">
        <v>1237</v>
      </c>
    </row>
    <row r="1155" spans="1:3" x14ac:dyDescent="0.2">
      <c r="A1155" t="str">
        <f>IF(ISERROR(VLOOKUP(C1155,Questions!$A$1:G$9999,7,0)),"",VLOOKUP(C1155,Questions!$A$1:G$9999,7,0))</f>
        <v/>
      </c>
      <c r="B1155" s="17" t="str">
        <f t="shared" si="18"/>
        <v>Problem</v>
      </c>
      <c r="C1155" s="12" t="s">
        <v>3</v>
      </c>
    </row>
    <row r="1156" spans="1:3" x14ac:dyDescent="0.2">
      <c r="A1156" t="str">
        <f>IF(ISERROR(VLOOKUP(C1156,Questions!$A$1:G$9999,7,0)),"",VLOOKUP(C1156,Questions!$A$1:G$9999,7,0))</f>
        <v/>
      </c>
      <c r="B1156" s="17" t="str">
        <f t="shared" si="18"/>
        <v>Problem</v>
      </c>
      <c r="C1156" s="29" t="s">
        <v>785</v>
      </c>
    </row>
    <row r="1157" spans="1:3" x14ac:dyDescent="0.2">
      <c r="A1157">
        <f>IF(ISERROR(VLOOKUP(C1157,Questions!$A$1:G$9999,7,0)),"",VLOOKUP(C1157,Questions!$A$1:G$9999,7,0))</f>
        <v>4</v>
      </c>
      <c r="B1157" s="17" t="str">
        <f t="shared" si="18"/>
        <v>Problem</v>
      </c>
      <c r="C1157" s="30" t="s">
        <v>537</v>
      </c>
    </row>
    <row r="1158" spans="1:3" x14ac:dyDescent="0.2">
      <c r="A1158">
        <f>IF(ISERROR(VLOOKUP(C1158,Questions!$A$1:G$9999,7,0)),"",VLOOKUP(C1158,Questions!$A$1:G$9999,7,0))</f>
        <v>4</v>
      </c>
      <c r="B1158" s="17" t="str">
        <f t="shared" si="18"/>
        <v>Problem</v>
      </c>
      <c r="C1158" s="30" t="s">
        <v>1134</v>
      </c>
    </row>
    <row r="1159" spans="1:3" x14ac:dyDescent="0.2">
      <c r="A1159" t="str">
        <f>IF(ISERROR(VLOOKUP(C1159,Questions!$A$1:G$9999,7,0)),"",VLOOKUP(C1159,Questions!$A$1:G$9999,7,0))</f>
        <v/>
      </c>
      <c r="B1159" s="17" t="str">
        <f t="shared" si="18"/>
        <v>Problem</v>
      </c>
      <c r="C1159" s="29" t="s">
        <v>787</v>
      </c>
    </row>
    <row r="1160" spans="1:3" x14ac:dyDescent="0.2">
      <c r="A1160">
        <f>IF(ISERROR(VLOOKUP(C1160,Questions!$A$1:G$9999,7,0)),"",VLOOKUP(C1160,Questions!$A$1:G$9999,7,0))</f>
        <v>1</v>
      </c>
      <c r="B1160" s="17" t="str">
        <f t="shared" si="18"/>
        <v>Problem</v>
      </c>
      <c r="C1160" s="30" t="s">
        <v>53</v>
      </c>
    </row>
    <row r="1161" spans="1:3" x14ac:dyDescent="0.2">
      <c r="A1161" t="str">
        <f>IF(ISERROR(VLOOKUP(C1161,Questions!$A$1:G$9999,7,0)),"",VLOOKUP(C1161,Questions!$A$1:G$9999,7,0))</f>
        <v/>
      </c>
      <c r="B1161" s="17" t="str">
        <f t="shared" si="18"/>
        <v>Problem</v>
      </c>
      <c r="C1161" s="29" t="s">
        <v>789</v>
      </c>
    </row>
    <row r="1162" spans="1:3" x14ac:dyDescent="0.2">
      <c r="A1162">
        <f>IF(ISERROR(VLOOKUP(C1162,Questions!$A$1:G$9999,7,0)),"",VLOOKUP(C1162,Questions!$A$1:G$9999,7,0))</f>
        <v>3</v>
      </c>
      <c r="B1162" s="17" t="str">
        <f t="shared" si="18"/>
        <v>Problem</v>
      </c>
      <c r="C1162" s="30" t="s">
        <v>82</v>
      </c>
    </row>
    <row r="1163" spans="1:3" x14ac:dyDescent="0.2">
      <c r="A1163">
        <f>IF(ISERROR(VLOOKUP(C1163,Questions!$A$1:G$9999,7,0)),"",VLOOKUP(C1163,Questions!$A$1:G$9999,7,0))</f>
        <v>3</v>
      </c>
      <c r="B1163" s="17" t="str">
        <f t="shared" si="18"/>
        <v>Problem</v>
      </c>
      <c r="C1163" s="30" t="s">
        <v>92</v>
      </c>
    </row>
    <row r="1164" spans="1:3" x14ac:dyDescent="0.2">
      <c r="A1164">
        <f>IF(ISERROR(VLOOKUP(C1164,Questions!$A$1:G$9999,7,0)),"",VLOOKUP(C1164,Questions!$A$1:G$9999,7,0))</f>
        <v>4</v>
      </c>
      <c r="B1164" s="17" t="str">
        <f t="shared" si="18"/>
        <v>Problem</v>
      </c>
      <c r="C1164" s="30" t="s">
        <v>1135</v>
      </c>
    </row>
    <row r="1165" spans="1:3" x14ac:dyDescent="0.2">
      <c r="A1165">
        <f>IF(ISERROR(VLOOKUP(C1165,Questions!$A$1:G$9999,7,0)),"",VLOOKUP(C1165,Questions!$A$1:G$9999,7,0))</f>
        <v>1</v>
      </c>
      <c r="B1165" s="17" t="str">
        <f t="shared" si="18"/>
        <v>Problem</v>
      </c>
      <c r="C1165" s="30" t="s">
        <v>1136</v>
      </c>
    </row>
    <row r="1166" spans="1:3" x14ac:dyDescent="0.2">
      <c r="A1166" t="str">
        <f>IF(ISERROR(VLOOKUP(C1166,Questions!$A$1:G$9999,7,0)),"",VLOOKUP(C1166,Questions!$A$1:G$9999,7,0))</f>
        <v/>
      </c>
      <c r="B1166" s="17" t="str">
        <f t="shared" si="18"/>
        <v>Problem</v>
      </c>
      <c r="C1166" s="29" t="s">
        <v>793</v>
      </c>
    </row>
    <row r="1167" spans="1:3" x14ac:dyDescent="0.2">
      <c r="A1167">
        <f>IF(ISERROR(VLOOKUP(C1167,Questions!$A$1:G$9999,7,0)),"",VLOOKUP(C1167,Questions!$A$1:G$9999,7,0))</f>
        <v>2</v>
      </c>
      <c r="B1167" s="17" t="str">
        <f t="shared" si="18"/>
        <v>Problem</v>
      </c>
      <c r="C1167" s="30" t="s">
        <v>118</v>
      </c>
    </row>
    <row r="1168" spans="1:3" x14ac:dyDescent="0.2">
      <c r="A1168">
        <f>IF(ISERROR(VLOOKUP(C1168,Questions!$A$1:G$9999,7,0)),"",VLOOKUP(C1168,Questions!$A$1:G$9999,7,0))</f>
        <v>2</v>
      </c>
      <c r="B1168" s="17" t="str">
        <f t="shared" si="18"/>
        <v>Problem</v>
      </c>
      <c r="C1168" s="30" t="s">
        <v>1137</v>
      </c>
    </row>
    <row r="1169" spans="1:3" x14ac:dyDescent="0.2">
      <c r="A1169" t="str">
        <f>IF(ISERROR(VLOOKUP(C1169,Questions!$A$1:G$9999,7,0)),"",VLOOKUP(C1169,Questions!$A$1:G$9999,7,0))</f>
        <v/>
      </c>
      <c r="B1169" s="17" t="str">
        <f t="shared" si="18"/>
        <v>Problem</v>
      </c>
      <c r="C1169" s="29" t="s">
        <v>795</v>
      </c>
    </row>
    <row r="1170" spans="1:3" x14ac:dyDescent="0.2">
      <c r="A1170">
        <f>IF(ISERROR(VLOOKUP(C1170,Questions!$A$1:G$9999,7,0)),"",VLOOKUP(C1170,Questions!$A$1:G$9999,7,0))</f>
        <v>3</v>
      </c>
      <c r="B1170" s="17" t="str">
        <f t="shared" si="18"/>
        <v>Problem</v>
      </c>
      <c r="C1170" s="30" t="s">
        <v>157</v>
      </c>
    </row>
    <row r="1171" spans="1:3" x14ac:dyDescent="0.2">
      <c r="A1171">
        <f>IF(ISERROR(VLOOKUP(C1171,Questions!$A$1:G$9999,7,0)),"",VLOOKUP(C1171,Questions!$A$1:G$9999,7,0))</f>
        <v>4</v>
      </c>
      <c r="B1171" s="17" t="str">
        <f t="shared" si="18"/>
        <v>Problem</v>
      </c>
      <c r="C1171" s="30" t="s">
        <v>1138</v>
      </c>
    </row>
    <row r="1172" spans="1:3" x14ac:dyDescent="0.2">
      <c r="A1172" t="str">
        <f>IF(ISERROR(VLOOKUP(C1172,Questions!$A$1:G$9999,7,0)),"",VLOOKUP(C1172,Questions!$A$1:G$9999,7,0))</f>
        <v/>
      </c>
      <c r="B1172" s="17" t="str">
        <f t="shared" si="18"/>
        <v>Problem</v>
      </c>
      <c r="C1172" s="29" t="s">
        <v>797</v>
      </c>
    </row>
    <row r="1173" spans="1:3" x14ac:dyDescent="0.2">
      <c r="A1173">
        <f>IF(ISERROR(VLOOKUP(C1173,Questions!$A$1:G$9999,7,0)),"",VLOOKUP(C1173,Questions!$A$1:G$9999,7,0))</f>
        <v>1</v>
      </c>
      <c r="B1173" s="17" t="str">
        <f t="shared" si="18"/>
        <v>Problem</v>
      </c>
      <c r="C1173" s="30" t="s">
        <v>188</v>
      </c>
    </row>
    <row r="1174" spans="1:3" x14ac:dyDescent="0.2">
      <c r="A1174" t="str">
        <f>IF(ISERROR(VLOOKUP(C1174,Questions!$A$1:G$9999,7,0)),"",VLOOKUP(C1174,Questions!$A$1:G$9999,7,0))</f>
        <v/>
      </c>
      <c r="B1174" s="17" t="str">
        <f t="shared" si="18"/>
        <v>Problem</v>
      </c>
      <c r="C1174" s="29" t="s">
        <v>799</v>
      </c>
    </row>
    <row r="1175" spans="1:3" x14ac:dyDescent="0.2">
      <c r="A1175">
        <f>IF(ISERROR(VLOOKUP(C1175,Questions!$A$1:G$9999,7,0)),"",VLOOKUP(C1175,Questions!$A$1:G$9999,7,0))</f>
        <v>2</v>
      </c>
      <c r="B1175" s="17" t="str">
        <f t="shared" si="18"/>
        <v>Problem</v>
      </c>
      <c r="C1175" s="30" t="s">
        <v>1139</v>
      </c>
    </row>
    <row r="1176" spans="1:3" x14ac:dyDescent="0.2">
      <c r="A1176" t="str">
        <f>IF(ISERROR(VLOOKUP(C1176,Questions!$A$1:G$9999,7,0)),"",VLOOKUP(C1176,Questions!$A$1:G$9999,7,0))</f>
        <v/>
      </c>
      <c r="B1176" s="17" t="str">
        <f t="shared" si="18"/>
        <v>Problem</v>
      </c>
      <c r="C1176" s="29" t="s">
        <v>801</v>
      </c>
    </row>
    <row r="1177" spans="1:3" x14ac:dyDescent="0.2">
      <c r="A1177">
        <f>IF(ISERROR(VLOOKUP(C1177,Questions!$A$1:G$9999,7,0)),"",VLOOKUP(C1177,Questions!$A$1:G$9999,7,0))</f>
        <v>3</v>
      </c>
      <c r="B1177" s="17" t="str">
        <f t="shared" si="18"/>
        <v>Problem</v>
      </c>
      <c r="C1177" s="30" t="s">
        <v>259</v>
      </c>
    </row>
    <row r="1178" spans="1:3" x14ac:dyDescent="0.2">
      <c r="A1178">
        <f>IF(ISERROR(VLOOKUP(C1178,Questions!$A$1:G$9999,7,0)),"",VLOOKUP(C1178,Questions!$A$1:G$9999,7,0))</f>
        <v>3</v>
      </c>
      <c r="B1178" s="17" t="str">
        <f t="shared" si="18"/>
        <v>Problem</v>
      </c>
      <c r="C1178" s="30" t="s">
        <v>260</v>
      </c>
    </row>
    <row r="1179" spans="1:3" x14ac:dyDescent="0.2">
      <c r="A1179" t="str">
        <f>IF(ISERROR(VLOOKUP(C1179,Questions!$A$1:G$9999,7,0)),"",VLOOKUP(C1179,Questions!$A$1:G$9999,7,0))</f>
        <v/>
      </c>
      <c r="B1179" s="17" t="str">
        <f t="shared" si="18"/>
        <v>Problem</v>
      </c>
      <c r="C1179" s="29" t="s">
        <v>802</v>
      </c>
    </row>
    <row r="1180" spans="1:3" x14ac:dyDescent="0.2">
      <c r="A1180">
        <f>IF(ISERROR(VLOOKUP(C1180,Questions!$A$1:G$9999,7,0)),"",VLOOKUP(C1180,Questions!$A$1:G$9999,7,0))</f>
        <v>3</v>
      </c>
      <c r="B1180" s="17" t="str">
        <f t="shared" si="18"/>
        <v>Problem</v>
      </c>
      <c r="C1180" s="30" t="s">
        <v>294</v>
      </c>
    </row>
    <row r="1181" spans="1:3" x14ac:dyDescent="0.2">
      <c r="A1181">
        <f>IF(ISERROR(VLOOKUP(C1181,Questions!$A$1:G$9999,7,0)),"",VLOOKUP(C1181,Questions!$A$1:G$9999,7,0))</f>
        <v>3</v>
      </c>
      <c r="B1181" s="17" t="str">
        <f t="shared" si="18"/>
        <v>Problem</v>
      </c>
      <c r="C1181" s="30" t="s">
        <v>295</v>
      </c>
    </row>
    <row r="1182" spans="1:3" x14ac:dyDescent="0.2">
      <c r="A1182">
        <f>IF(ISERROR(VLOOKUP(C1182,Questions!$A$1:G$9999,7,0)),"",VLOOKUP(C1182,Questions!$A$1:G$9999,7,0))</f>
        <v>3</v>
      </c>
      <c r="B1182" s="17" t="str">
        <f t="shared" si="18"/>
        <v>Problem</v>
      </c>
      <c r="C1182" s="30" t="s">
        <v>1140</v>
      </c>
    </row>
    <row r="1183" spans="1:3" x14ac:dyDescent="0.2">
      <c r="A1183" t="str">
        <f>IF(ISERROR(VLOOKUP(C1183,Questions!$A$1:G$9999,7,0)),"",VLOOKUP(C1183,Questions!$A$1:G$9999,7,0))</f>
        <v/>
      </c>
      <c r="B1183" s="17" t="str">
        <f t="shared" si="18"/>
        <v>Problem</v>
      </c>
      <c r="C1183" s="29" t="s">
        <v>803</v>
      </c>
    </row>
    <row r="1184" spans="1:3" x14ac:dyDescent="0.2">
      <c r="A1184">
        <f>IF(ISERROR(VLOOKUP(C1184,Questions!$A$1:G$9999,7,0)),"",VLOOKUP(C1184,Questions!$A$1:G$9999,7,0))</f>
        <v>1</v>
      </c>
      <c r="B1184" s="17" t="str">
        <f t="shared" si="18"/>
        <v>Problem</v>
      </c>
      <c r="C1184" s="30" t="s">
        <v>329</v>
      </c>
    </row>
    <row r="1185" spans="1:3" x14ac:dyDescent="0.2">
      <c r="A1185">
        <f>IF(ISERROR(VLOOKUP(C1185,Questions!$A$1:G$9999,7,0)),"",VLOOKUP(C1185,Questions!$A$1:G$9999,7,0))</f>
        <v>4</v>
      </c>
      <c r="B1185" s="17" t="str">
        <f t="shared" si="18"/>
        <v>Problem</v>
      </c>
      <c r="C1185" s="30" t="s">
        <v>330</v>
      </c>
    </row>
    <row r="1186" spans="1:3" x14ac:dyDescent="0.2">
      <c r="A1186">
        <f>IF(ISERROR(VLOOKUP(C1186,Questions!$A$1:G$9999,7,0)),"",VLOOKUP(C1186,Questions!$A$1:G$9999,7,0))</f>
        <v>3</v>
      </c>
      <c r="B1186" s="17" t="str">
        <f t="shared" si="18"/>
        <v>Problem</v>
      </c>
      <c r="C1186" s="30" t="s">
        <v>332</v>
      </c>
    </row>
    <row r="1187" spans="1:3" x14ac:dyDescent="0.2">
      <c r="A1187" t="str">
        <f>IF(ISERROR(VLOOKUP(C1187,Questions!$A$1:G$9999,7,0)),"",VLOOKUP(C1187,Questions!$A$1:G$9999,7,0))</f>
        <v/>
      </c>
      <c r="B1187" s="17" t="str">
        <f t="shared" si="18"/>
        <v>Problem</v>
      </c>
      <c r="C1187" s="29" t="s">
        <v>805</v>
      </c>
    </row>
    <row r="1188" spans="1:3" x14ac:dyDescent="0.2">
      <c r="A1188">
        <f>IF(ISERROR(VLOOKUP(C1188,Questions!$A$1:G$9999,7,0)),"",VLOOKUP(C1188,Questions!$A$1:G$9999,7,0))</f>
        <v>2</v>
      </c>
      <c r="B1188" s="17" t="str">
        <f t="shared" si="18"/>
        <v>Problem</v>
      </c>
      <c r="C1188" s="30" t="s">
        <v>362</v>
      </c>
    </row>
    <row r="1189" spans="1:3" x14ac:dyDescent="0.2">
      <c r="A1189">
        <f>IF(ISERROR(VLOOKUP(C1189,Questions!$A$1:G$9999,7,0)),"",VLOOKUP(C1189,Questions!$A$1:G$9999,7,0))</f>
        <v>1</v>
      </c>
      <c r="B1189" s="17" t="str">
        <f t="shared" si="18"/>
        <v>Problem</v>
      </c>
      <c r="C1189" s="30" t="s">
        <v>363</v>
      </c>
    </row>
    <row r="1190" spans="1:3" x14ac:dyDescent="0.2">
      <c r="A1190">
        <f>IF(ISERROR(VLOOKUP(C1190,Questions!$A$1:G$9999,7,0)),"",VLOOKUP(C1190,Questions!$A$1:G$9999,7,0))</f>
        <v>3</v>
      </c>
      <c r="B1190" s="17" t="str">
        <f t="shared" si="18"/>
        <v>Problem</v>
      </c>
      <c r="C1190" s="30" t="s">
        <v>1141</v>
      </c>
    </row>
    <row r="1191" spans="1:3" x14ac:dyDescent="0.2">
      <c r="A1191" t="str">
        <f>IF(ISERROR(VLOOKUP(C1191,Questions!$A$1:G$9999,7,0)),"",VLOOKUP(C1191,Questions!$A$1:G$9999,7,0))</f>
        <v/>
      </c>
      <c r="B1191" s="17" t="str">
        <f t="shared" si="18"/>
        <v>Problem</v>
      </c>
      <c r="C1191" s="29" t="s">
        <v>807</v>
      </c>
    </row>
    <row r="1192" spans="1:3" x14ac:dyDescent="0.2">
      <c r="A1192">
        <f>IF(ISERROR(VLOOKUP(C1192,Questions!$A$1:G$9999,7,0)),"",VLOOKUP(C1192,Questions!$A$1:G$9999,7,0))</f>
        <v>1</v>
      </c>
      <c r="B1192" s="17" t="str">
        <f t="shared" si="18"/>
        <v>Problem</v>
      </c>
      <c r="C1192" s="30" t="s">
        <v>397</v>
      </c>
    </row>
    <row r="1193" spans="1:3" x14ac:dyDescent="0.2">
      <c r="A1193">
        <f>IF(ISERROR(VLOOKUP(C1193,Questions!$A$1:G$9999,7,0)),"",VLOOKUP(C1193,Questions!$A$1:G$9999,7,0))</f>
        <v>2</v>
      </c>
      <c r="B1193" s="17" t="str">
        <f t="shared" si="18"/>
        <v>Problem</v>
      </c>
      <c r="C1193" s="30" t="s">
        <v>401</v>
      </c>
    </row>
    <row r="1194" spans="1:3" x14ac:dyDescent="0.2">
      <c r="A1194">
        <f>IF(ISERROR(VLOOKUP(C1194,Questions!$A$1:G$9999,7,0)),"",VLOOKUP(C1194,Questions!$A$1:G$9999,7,0))</f>
        <v>2</v>
      </c>
      <c r="B1194" s="17" t="str">
        <f t="shared" si="18"/>
        <v>Problem</v>
      </c>
      <c r="C1194" s="30" t="s">
        <v>1142</v>
      </c>
    </row>
    <row r="1195" spans="1:3" x14ac:dyDescent="0.2">
      <c r="A1195" t="str">
        <f>IF(ISERROR(VLOOKUP(C1195,Questions!$A$1:G$9999,7,0)),"",VLOOKUP(C1195,Questions!$A$1:G$9999,7,0))</f>
        <v/>
      </c>
      <c r="B1195" s="17" t="str">
        <f t="shared" si="18"/>
        <v>Problem</v>
      </c>
      <c r="C1195" s="29" t="s">
        <v>808</v>
      </c>
    </row>
    <row r="1196" spans="1:3" x14ac:dyDescent="0.2">
      <c r="A1196">
        <f>IF(ISERROR(VLOOKUP(C1196,Questions!$A$1:G$9999,7,0)),"",VLOOKUP(C1196,Questions!$A$1:G$9999,7,0))</f>
        <v>4</v>
      </c>
      <c r="B1196" s="17" t="str">
        <f t="shared" si="18"/>
        <v>Problem</v>
      </c>
      <c r="C1196" s="30" t="s">
        <v>432</v>
      </c>
    </row>
    <row r="1197" spans="1:3" x14ac:dyDescent="0.2">
      <c r="A1197">
        <f>IF(ISERROR(VLOOKUP(C1197,Questions!$A$1:G$9999,7,0)),"",VLOOKUP(C1197,Questions!$A$1:G$9999,7,0))</f>
        <v>2</v>
      </c>
      <c r="B1197" s="17" t="str">
        <f t="shared" si="18"/>
        <v>Problem</v>
      </c>
      <c r="C1197" s="30" t="s">
        <v>435</v>
      </c>
    </row>
    <row r="1198" spans="1:3" x14ac:dyDescent="0.2">
      <c r="A1198">
        <f>IF(ISERROR(VLOOKUP(C1198,Questions!$A$1:G$9999,7,0)),"",VLOOKUP(C1198,Questions!$A$1:G$9999,7,0))</f>
        <v>4</v>
      </c>
      <c r="B1198" s="17" t="str">
        <f t="shared" si="18"/>
        <v>Problem</v>
      </c>
      <c r="C1198" s="30" t="s">
        <v>439</v>
      </c>
    </row>
    <row r="1199" spans="1:3" x14ac:dyDescent="0.2">
      <c r="A1199">
        <f>IF(ISERROR(VLOOKUP(C1199,Questions!$A$1:G$9999,7,0)),"",VLOOKUP(C1199,Questions!$A$1:G$9999,7,0))</f>
        <v>1</v>
      </c>
      <c r="B1199" s="17" t="str">
        <f t="shared" si="18"/>
        <v>Problem</v>
      </c>
      <c r="C1199" s="30" t="s">
        <v>1143</v>
      </c>
    </row>
    <row r="1200" spans="1:3" x14ac:dyDescent="0.2">
      <c r="A1200" t="str">
        <f>IF(ISERROR(VLOOKUP(C1200,Questions!$A$1:G$9999,7,0)),"",VLOOKUP(C1200,Questions!$A$1:G$9999,7,0))</f>
        <v/>
      </c>
      <c r="B1200" s="17" t="str">
        <f t="shared" si="18"/>
        <v>Problem</v>
      </c>
      <c r="C1200" s="29" t="s">
        <v>810</v>
      </c>
    </row>
    <row r="1201" spans="1:3" x14ac:dyDescent="0.2">
      <c r="A1201">
        <f>IF(ISERROR(VLOOKUP(C1201,Questions!$A$1:G$9999,7,0)),"",VLOOKUP(C1201,Questions!$A$1:G$9999,7,0))</f>
        <v>1</v>
      </c>
      <c r="B1201" s="17" t="str">
        <f t="shared" si="18"/>
        <v>Problem</v>
      </c>
      <c r="C1201" s="30" t="s">
        <v>467</v>
      </c>
    </row>
    <row r="1202" spans="1:3" x14ac:dyDescent="0.2">
      <c r="A1202">
        <f>IF(ISERROR(VLOOKUP(C1202,Questions!$A$1:G$9999,7,0)),"",VLOOKUP(C1202,Questions!$A$1:G$9999,7,0))</f>
        <v>2</v>
      </c>
      <c r="B1202" s="17" t="str">
        <f t="shared" si="18"/>
        <v>Problem</v>
      </c>
      <c r="C1202" s="30" t="s">
        <v>477</v>
      </c>
    </row>
    <row r="1203" spans="1:3" x14ac:dyDescent="0.2">
      <c r="A1203">
        <f>IF(ISERROR(VLOOKUP(C1203,Questions!$A$1:G$9999,7,0)),"",VLOOKUP(C1203,Questions!$A$1:G$9999,7,0))</f>
        <v>3</v>
      </c>
      <c r="B1203" s="17" t="str">
        <f t="shared" si="18"/>
        <v>Problem</v>
      </c>
      <c r="C1203" s="30" t="s">
        <v>1144</v>
      </c>
    </row>
    <row r="1204" spans="1:3" x14ac:dyDescent="0.2">
      <c r="A1204" t="str">
        <f>IF(ISERROR(VLOOKUP(C1204,Questions!$A$1:G$9999,7,0)),"",VLOOKUP(C1204,Questions!$A$1:G$9999,7,0))</f>
        <v/>
      </c>
      <c r="B1204" s="17" t="str">
        <f t="shared" si="18"/>
        <v>Problem</v>
      </c>
      <c r="C1204" s="29" t="s">
        <v>777</v>
      </c>
    </row>
    <row r="1205" spans="1:3" x14ac:dyDescent="0.2">
      <c r="A1205">
        <f>IF(ISERROR(VLOOKUP(C1205,Questions!$A$1:G$9999,7,0)),"",VLOOKUP(C1205,Questions!$A$1:G$9999,7,0))</f>
        <v>4</v>
      </c>
      <c r="B1205" s="17" t="str">
        <f t="shared" si="18"/>
        <v>Problem</v>
      </c>
      <c r="C1205" s="30" t="s">
        <v>623</v>
      </c>
    </row>
    <row r="1206" spans="1:3" x14ac:dyDescent="0.2">
      <c r="A1206">
        <f>IF(ISERROR(VLOOKUP(C1206,Questions!$A$1:G$9999,7,0)),"",VLOOKUP(C1206,Questions!$A$1:G$9999,7,0))</f>
        <v>1</v>
      </c>
      <c r="B1206" s="17" t="str">
        <f t="shared" si="18"/>
        <v>Problem</v>
      </c>
      <c r="C1206" s="30" t="s">
        <v>624</v>
      </c>
    </row>
    <row r="1207" spans="1:3" x14ac:dyDescent="0.2">
      <c r="A1207" t="str">
        <f>IF(ISERROR(VLOOKUP(C1207,Questions!$A$1:G$9999,7,0)),"",VLOOKUP(C1207,Questions!$A$1:G$9999,7,0))</f>
        <v/>
      </c>
      <c r="B1207" s="17" t="str">
        <f t="shared" si="18"/>
        <v>Problem</v>
      </c>
      <c r="C1207" s="29" t="s">
        <v>779</v>
      </c>
    </row>
    <row r="1208" spans="1:3" x14ac:dyDescent="0.2">
      <c r="A1208">
        <f>IF(ISERROR(VLOOKUP(C1208,Questions!$A$1:G$9999,7,0)),"",VLOOKUP(C1208,Questions!$A$1:G$9999,7,0))</f>
        <v>1</v>
      </c>
      <c r="B1208" s="17" t="str">
        <f t="shared" si="18"/>
        <v>Problem</v>
      </c>
      <c r="C1208" s="30" t="s">
        <v>1145</v>
      </c>
    </row>
    <row r="1209" spans="1:3" x14ac:dyDescent="0.2">
      <c r="A1209">
        <f>IF(ISERROR(VLOOKUP(C1209,Questions!$A$1:G$9999,7,0)),"",VLOOKUP(C1209,Questions!$A$1:G$9999,7,0))</f>
        <v>3</v>
      </c>
      <c r="B1209" s="17" t="str">
        <f t="shared" si="18"/>
        <v>Problem</v>
      </c>
      <c r="C1209" s="30" t="s">
        <v>1146</v>
      </c>
    </row>
    <row r="1210" spans="1:3" x14ac:dyDescent="0.2">
      <c r="A1210" t="str">
        <f>IF(ISERROR(VLOOKUP(C1210,Questions!$A$1:G$9999,7,0)),"",VLOOKUP(C1210,Questions!$A$1:G$9999,7,0))</f>
        <v/>
      </c>
      <c r="B1210" s="17" t="str">
        <f t="shared" si="18"/>
        <v>Problem</v>
      </c>
      <c r="C1210" s="29" t="s">
        <v>780</v>
      </c>
    </row>
    <row r="1211" spans="1:3" x14ac:dyDescent="0.2">
      <c r="A1211">
        <f>IF(ISERROR(VLOOKUP(C1211,Questions!$A$1:G$9999,7,0)),"",VLOOKUP(C1211,Questions!$A$1:G$9999,7,0))</f>
        <v>2</v>
      </c>
      <c r="B1211" s="17" t="str">
        <f t="shared" si="18"/>
        <v>Problem</v>
      </c>
      <c r="C1211" s="30" t="s">
        <v>1147</v>
      </c>
    </row>
    <row r="1212" spans="1:3" x14ac:dyDescent="0.2">
      <c r="A1212" t="str">
        <f>IF(ISERROR(VLOOKUP(C1212,Questions!$A$1:G$9999,7,0)),"",VLOOKUP(C1212,Questions!$A$1:G$9999,7,0))</f>
        <v/>
      </c>
      <c r="B1212" s="17" t="str">
        <f t="shared" ref="B1212:B1275" si="19">HYPERLINK("http://www.mrhosey.com/RPhys/" &amp; C1212 &amp; ".gif","Problem")</f>
        <v>Problem</v>
      </c>
      <c r="C1212" s="29" t="s">
        <v>781</v>
      </c>
    </row>
    <row r="1213" spans="1:3" x14ac:dyDescent="0.2">
      <c r="A1213">
        <f>IF(ISERROR(VLOOKUP(C1213,Questions!$A$1:G$9999,7,0)),"",VLOOKUP(C1213,Questions!$A$1:G$9999,7,0))</f>
        <v>4</v>
      </c>
      <c r="B1213" s="17" t="str">
        <f t="shared" si="19"/>
        <v>Problem</v>
      </c>
      <c r="C1213" s="30" t="s">
        <v>1148</v>
      </c>
    </row>
    <row r="1214" spans="1:3" x14ac:dyDescent="0.2">
      <c r="A1214">
        <f>IF(ISERROR(VLOOKUP(C1214,Questions!$A$1:G$9999,7,0)),"",VLOOKUP(C1214,Questions!$A$1:G$9999,7,0))</f>
        <v>1</v>
      </c>
      <c r="B1214" s="17" t="str">
        <f t="shared" si="19"/>
        <v>Problem</v>
      </c>
      <c r="C1214" s="30" t="s">
        <v>1149</v>
      </c>
    </row>
    <row r="1215" spans="1:3" x14ac:dyDescent="0.2">
      <c r="A1215" t="str">
        <f>IF(ISERROR(VLOOKUP(C1215,Questions!$A$1:G$9999,7,0)),"",VLOOKUP(C1215,Questions!$A$1:G$9999,7,0))</f>
        <v/>
      </c>
      <c r="B1215" s="17" t="str">
        <f t="shared" si="19"/>
        <v>Problem</v>
      </c>
      <c r="C1215" s="29" t="s">
        <v>826</v>
      </c>
    </row>
    <row r="1216" spans="1:3" x14ac:dyDescent="0.2">
      <c r="A1216">
        <f>IF(ISERROR(VLOOKUP(C1216,Questions!$A$1:G$9999,7,0)),"",VLOOKUP(C1216,Questions!$A$1:G$9999,7,0))</f>
        <v>1</v>
      </c>
      <c r="B1216" s="17" t="str">
        <f t="shared" si="19"/>
        <v>Problem</v>
      </c>
      <c r="C1216" s="30" t="s">
        <v>1150</v>
      </c>
    </row>
    <row r="1217" spans="1:3" x14ac:dyDescent="0.2">
      <c r="A1217">
        <f>IF(ISERROR(VLOOKUP(C1217,Questions!$A$1:G$9999,7,0)),"",VLOOKUP(C1217,Questions!$A$1:G$9999,7,0))</f>
        <v>2</v>
      </c>
      <c r="B1217" s="17" t="str">
        <f t="shared" si="19"/>
        <v>Problem</v>
      </c>
      <c r="C1217" s="30" t="s">
        <v>1151</v>
      </c>
    </row>
    <row r="1218" spans="1:3" x14ac:dyDescent="0.2">
      <c r="A1218" t="str">
        <f>IF(ISERROR(VLOOKUP(C1218,Questions!$A$1:G$9999,7,0)),"",VLOOKUP(C1218,Questions!$A$1:G$9999,7,0))</f>
        <v/>
      </c>
      <c r="B1218" s="17" t="str">
        <f t="shared" si="19"/>
        <v>Problem</v>
      </c>
      <c r="C1218" s="29" t="s">
        <v>1195</v>
      </c>
    </row>
    <row r="1219" spans="1:3" x14ac:dyDescent="0.2">
      <c r="A1219">
        <f>IF(ISERROR(VLOOKUP(C1219,Questions!$A$1:G$9999,7,0)),"",VLOOKUP(C1219,Questions!$A$1:G$9999,7,0))</f>
        <v>1</v>
      </c>
      <c r="B1219" s="17" t="str">
        <f t="shared" si="19"/>
        <v>Problem</v>
      </c>
      <c r="C1219" s="30" t="s">
        <v>1238</v>
      </c>
    </row>
    <row r="1220" spans="1:3" x14ac:dyDescent="0.2">
      <c r="A1220">
        <f>IF(ISERROR(VLOOKUP(C1220,Questions!$A$1:G$9999,7,0)),"",VLOOKUP(C1220,Questions!$A$1:G$9999,7,0))</f>
        <v>3</v>
      </c>
      <c r="B1220" s="17" t="str">
        <f t="shared" si="19"/>
        <v>Problem</v>
      </c>
      <c r="C1220" s="30" t="s">
        <v>1239</v>
      </c>
    </row>
    <row r="1221" spans="1:3" x14ac:dyDescent="0.2">
      <c r="A1221">
        <f>IF(ISERROR(VLOOKUP(C1221,Questions!$A$1:G$9999,7,0)),"",VLOOKUP(C1221,Questions!$A$1:G$9999,7,0))</f>
        <v>1</v>
      </c>
      <c r="B1221" s="17" t="str">
        <f t="shared" si="19"/>
        <v>Problem</v>
      </c>
      <c r="C1221" s="30" t="s">
        <v>1240</v>
      </c>
    </row>
    <row r="1222" spans="1:3" x14ac:dyDescent="0.2">
      <c r="A1222" t="str">
        <f>IF(ISERROR(VLOOKUP(C1222,Questions!$A$1:G$9999,7,0)),"",VLOOKUP(C1222,Questions!$A$1:G$9999,7,0))</f>
        <v/>
      </c>
      <c r="B1222" s="17" t="str">
        <f t="shared" si="19"/>
        <v>Problem</v>
      </c>
      <c r="C1222" s="12" t="s">
        <v>7</v>
      </c>
    </row>
    <row r="1223" spans="1:3" x14ac:dyDescent="0.2">
      <c r="A1223" t="str">
        <f>IF(ISERROR(VLOOKUP(C1223,Questions!$A$1:G$9999,7,0)),"",VLOOKUP(C1223,Questions!$A$1:G$9999,7,0))</f>
        <v/>
      </c>
      <c r="B1223" s="17" t="str">
        <f t="shared" si="19"/>
        <v>Problem</v>
      </c>
      <c r="C1223" s="29" t="s">
        <v>785</v>
      </c>
    </row>
    <row r="1224" spans="1:3" x14ac:dyDescent="0.2">
      <c r="A1224">
        <f>IF(ISERROR(VLOOKUP(C1224,Questions!$A$1:G$9999,7,0)),"",VLOOKUP(C1224,Questions!$A$1:G$9999,7,0))</f>
        <v>2</v>
      </c>
      <c r="B1224" s="17" t="str">
        <f t="shared" si="19"/>
        <v>Problem</v>
      </c>
      <c r="C1224" s="30" t="s">
        <v>25</v>
      </c>
    </row>
    <row r="1225" spans="1:3" x14ac:dyDescent="0.2">
      <c r="A1225">
        <f>IF(ISERROR(VLOOKUP(C1225,Questions!$A$1:G$9999,7,0)),"",VLOOKUP(C1225,Questions!$A$1:G$9999,7,0))</f>
        <v>4</v>
      </c>
      <c r="B1225" s="17" t="str">
        <f t="shared" si="19"/>
        <v>Problem</v>
      </c>
      <c r="C1225" s="30" t="s">
        <v>26</v>
      </c>
    </row>
    <row r="1226" spans="1:3" x14ac:dyDescent="0.2">
      <c r="A1226">
        <f>IF(ISERROR(VLOOKUP(C1226,Questions!$A$1:G$9999,7,0)),"",VLOOKUP(C1226,Questions!$A$1:G$9999,7,0))</f>
        <v>4</v>
      </c>
      <c r="B1226" s="17" t="str">
        <f t="shared" si="19"/>
        <v>Problem</v>
      </c>
      <c r="C1226" s="30" t="s">
        <v>27</v>
      </c>
    </row>
    <row r="1227" spans="1:3" x14ac:dyDescent="0.2">
      <c r="A1227">
        <f>IF(ISERROR(VLOOKUP(C1227,Questions!$A$1:G$9999,7,0)),"",VLOOKUP(C1227,Questions!$A$1:G$9999,7,0))</f>
        <v>1</v>
      </c>
      <c r="B1227" s="17" t="str">
        <f t="shared" si="19"/>
        <v>Problem</v>
      </c>
      <c r="C1227" s="30" t="s">
        <v>31</v>
      </c>
    </row>
    <row r="1228" spans="1:3" x14ac:dyDescent="0.2">
      <c r="A1228">
        <f>IF(ISERROR(VLOOKUP(C1228,Questions!$A$1:G$9999,7,0)),"",VLOOKUP(C1228,Questions!$A$1:G$9999,7,0))</f>
        <v>4</v>
      </c>
      <c r="B1228" s="17" t="str">
        <f t="shared" si="19"/>
        <v>Problem</v>
      </c>
      <c r="C1228" s="30" t="s">
        <v>44</v>
      </c>
    </row>
    <row r="1229" spans="1:3" x14ac:dyDescent="0.2">
      <c r="A1229">
        <f>IF(ISERROR(VLOOKUP(C1229,Questions!$A$1:G$9999,7,0)),"",VLOOKUP(C1229,Questions!$A$1:G$9999,7,0))</f>
        <v>4</v>
      </c>
      <c r="B1229" s="17" t="str">
        <f t="shared" si="19"/>
        <v>Problem</v>
      </c>
      <c r="C1229" s="30" t="s">
        <v>1152</v>
      </c>
    </row>
    <row r="1230" spans="1:3" x14ac:dyDescent="0.2">
      <c r="A1230">
        <f>IF(ISERROR(VLOOKUP(C1230,Questions!$A$1:G$9999,7,0)),"",VLOOKUP(C1230,Questions!$A$1:G$9999,7,0))</f>
        <v>1</v>
      </c>
      <c r="B1230" s="17" t="str">
        <f t="shared" si="19"/>
        <v>Problem</v>
      </c>
      <c r="C1230" s="30" t="s">
        <v>1153</v>
      </c>
    </row>
    <row r="1231" spans="1:3" x14ac:dyDescent="0.2">
      <c r="A1231" t="str">
        <f>IF(ISERROR(VLOOKUP(C1231,Questions!$A$1:G$9999,7,0)),"",VLOOKUP(C1231,Questions!$A$1:G$9999,7,0))</f>
        <v/>
      </c>
      <c r="B1231" s="17" t="str">
        <f t="shared" si="19"/>
        <v>Problem</v>
      </c>
      <c r="C1231" s="29" t="s">
        <v>787</v>
      </c>
    </row>
    <row r="1232" spans="1:3" x14ac:dyDescent="0.2">
      <c r="A1232">
        <f>IF(ISERROR(VLOOKUP(C1232,Questions!$A$1:G$9999,7,0)),"",VLOOKUP(C1232,Questions!$A$1:G$9999,7,0))</f>
        <v>1</v>
      </c>
      <c r="B1232" s="17" t="str">
        <f t="shared" si="19"/>
        <v>Problem</v>
      </c>
      <c r="C1232" s="30" t="s">
        <v>54</v>
      </c>
    </row>
    <row r="1233" spans="1:3" x14ac:dyDescent="0.2">
      <c r="A1233">
        <f>IF(ISERROR(VLOOKUP(C1233,Questions!$A$1:G$9999,7,0)),"",VLOOKUP(C1233,Questions!$A$1:G$9999,7,0))</f>
        <v>1</v>
      </c>
      <c r="B1233" s="17" t="str">
        <f t="shared" si="19"/>
        <v>Problem</v>
      </c>
      <c r="C1233" s="30" t="s">
        <v>55</v>
      </c>
    </row>
    <row r="1234" spans="1:3" x14ac:dyDescent="0.2">
      <c r="A1234">
        <f>IF(ISERROR(VLOOKUP(C1234,Questions!$A$1:G$9999,7,0)),"",VLOOKUP(C1234,Questions!$A$1:G$9999,7,0))</f>
        <v>2</v>
      </c>
      <c r="B1234" s="17" t="str">
        <f t="shared" si="19"/>
        <v>Problem</v>
      </c>
      <c r="C1234" s="30" t="s">
        <v>56</v>
      </c>
    </row>
    <row r="1235" spans="1:3" x14ac:dyDescent="0.2">
      <c r="A1235">
        <f>IF(ISERROR(VLOOKUP(C1235,Questions!$A$1:G$9999,7,0)),"",VLOOKUP(C1235,Questions!$A$1:G$9999,7,0))</f>
        <v>1</v>
      </c>
      <c r="B1235" s="17" t="str">
        <f t="shared" si="19"/>
        <v>Problem</v>
      </c>
      <c r="C1235" s="30" t="s">
        <v>58</v>
      </c>
    </row>
    <row r="1236" spans="1:3" x14ac:dyDescent="0.2">
      <c r="A1236">
        <f>IF(ISERROR(VLOOKUP(C1236,Questions!$A$1:G$9999,7,0)),"",VLOOKUP(C1236,Questions!$A$1:G$9999,7,0))</f>
        <v>1</v>
      </c>
      <c r="B1236" s="17" t="str">
        <f t="shared" si="19"/>
        <v>Problem</v>
      </c>
      <c r="C1236" s="30" t="s">
        <v>75</v>
      </c>
    </row>
    <row r="1237" spans="1:3" x14ac:dyDescent="0.2">
      <c r="A1237" t="str">
        <f>IF(ISERROR(VLOOKUP(C1237,Questions!$A$1:G$9999,7,0)),"",VLOOKUP(C1237,Questions!$A$1:G$9999,7,0))</f>
        <v/>
      </c>
      <c r="B1237" s="17" t="str">
        <f t="shared" si="19"/>
        <v>Problem</v>
      </c>
      <c r="C1237" s="29" t="s">
        <v>789</v>
      </c>
    </row>
    <row r="1238" spans="1:3" x14ac:dyDescent="0.2">
      <c r="A1238">
        <f>IF(ISERROR(VLOOKUP(C1238,Questions!$A$1:G$9999,7,0)),"",VLOOKUP(C1238,Questions!$A$1:G$9999,7,0))</f>
        <v>3</v>
      </c>
      <c r="B1238" s="17" t="str">
        <f t="shared" si="19"/>
        <v>Problem</v>
      </c>
      <c r="C1238" s="30" t="s">
        <v>96</v>
      </c>
    </row>
    <row r="1239" spans="1:3" x14ac:dyDescent="0.2">
      <c r="A1239">
        <f>IF(ISERROR(VLOOKUP(C1239,Questions!$A$1:G$9999,7,0)),"",VLOOKUP(C1239,Questions!$A$1:G$9999,7,0))</f>
        <v>2</v>
      </c>
      <c r="B1239" s="17" t="str">
        <f t="shared" si="19"/>
        <v>Problem</v>
      </c>
      <c r="C1239" s="30" t="s">
        <v>97</v>
      </c>
    </row>
    <row r="1240" spans="1:3" x14ac:dyDescent="0.2">
      <c r="A1240">
        <f>IF(ISERROR(VLOOKUP(C1240,Questions!$A$1:G$9999,7,0)),"",VLOOKUP(C1240,Questions!$A$1:G$9999,7,0))</f>
        <v>3</v>
      </c>
      <c r="B1240" s="17" t="str">
        <f t="shared" si="19"/>
        <v>Problem</v>
      </c>
      <c r="C1240" s="30" t="s">
        <v>99</v>
      </c>
    </row>
    <row r="1241" spans="1:3" x14ac:dyDescent="0.2">
      <c r="A1241">
        <f>IF(ISERROR(VLOOKUP(C1241,Questions!$A$1:G$9999,7,0)),"",VLOOKUP(C1241,Questions!$A$1:G$9999,7,0))</f>
        <v>2</v>
      </c>
      <c r="B1241" s="17" t="str">
        <f t="shared" si="19"/>
        <v>Problem</v>
      </c>
      <c r="C1241" s="30" t="s">
        <v>1154</v>
      </c>
    </row>
    <row r="1242" spans="1:3" x14ac:dyDescent="0.2">
      <c r="A1242">
        <f>IF(ISERROR(VLOOKUP(C1242,Questions!$A$1:G$9999,7,0)),"",VLOOKUP(C1242,Questions!$A$1:G$9999,7,0))</f>
        <v>2</v>
      </c>
      <c r="B1242" s="17" t="str">
        <f t="shared" si="19"/>
        <v>Problem</v>
      </c>
      <c r="C1242" s="30" t="s">
        <v>1155</v>
      </c>
    </row>
    <row r="1243" spans="1:3" x14ac:dyDescent="0.2">
      <c r="A1243" t="str">
        <f>IF(ISERROR(VLOOKUP(C1243,Questions!$A$1:G$9999,7,0)),"",VLOOKUP(C1243,Questions!$A$1:G$9999,7,0))</f>
        <v/>
      </c>
      <c r="B1243" s="17" t="str">
        <f t="shared" si="19"/>
        <v>Problem</v>
      </c>
      <c r="C1243" s="29" t="s">
        <v>793</v>
      </c>
    </row>
    <row r="1244" spans="1:3" x14ac:dyDescent="0.2">
      <c r="A1244">
        <f>IF(ISERROR(VLOOKUP(C1244,Questions!$A$1:G$9999,7,0)),"",VLOOKUP(C1244,Questions!$A$1:G$9999,7,0))</f>
        <v>4</v>
      </c>
      <c r="B1244" s="17" t="str">
        <f t="shared" si="19"/>
        <v>Problem</v>
      </c>
      <c r="C1244" s="30" t="s">
        <v>117</v>
      </c>
    </row>
    <row r="1245" spans="1:3" x14ac:dyDescent="0.2">
      <c r="A1245">
        <f>IF(ISERROR(VLOOKUP(C1245,Questions!$A$1:G$9999,7,0)),"",VLOOKUP(C1245,Questions!$A$1:G$9999,7,0))</f>
        <v>1</v>
      </c>
      <c r="B1245" s="17" t="str">
        <f t="shared" si="19"/>
        <v>Problem</v>
      </c>
      <c r="C1245" s="30" t="s">
        <v>126</v>
      </c>
    </row>
    <row r="1246" spans="1:3" x14ac:dyDescent="0.2">
      <c r="A1246">
        <f>IF(ISERROR(VLOOKUP(C1246,Questions!$A$1:G$9999,7,0)),"",VLOOKUP(C1246,Questions!$A$1:G$9999,7,0))</f>
        <v>3</v>
      </c>
      <c r="B1246" s="17" t="str">
        <f t="shared" si="19"/>
        <v>Problem</v>
      </c>
      <c r="C1246" s="30" t="s">
        <v>134</v>
      </c>
    </row>
    <row r="1247" spans="1:3" x14ac:dyDescent="0.2">
      <c r="A1247">
        <f>IF(ISERROR(VLOOKUP(C1247,Questions!$A$1:G$9999,7,0)),"",VLOOKUP(C1247,Questions!$A$1:G$9999,7,0))</f>
        <v>2</v>
      </c>
      <c r="B1247" s="17" t="str">
        <f t="shared" si="19"/>
        <v>Problem</v>
      </c>
      <c r="C1247" s="30" t="s">
        <v>135</v>
      </c>
    </row>
    <row r="1248" spans="1:3" x14ac:dyDescent="0.2">
      <c r="A1248">
        <f>IF(ISERROR(VLOOKUP(C1248,Questions!$A$1:G$9999,7,0)),"",VLOOKUP(C1248,Questions!$A$1:G$9999,7,0))</f>
        <v>3</v>
      </c>
      <c r="B1248" s="17" t="str">
        <f t="shared" si="19"/>
        <v>Problem</v>
      </c>
      <c r="C1248" s="30" t="s">
        <v>136</v>
      </c>
    </row>
    <row r="1249" spans="1:3" x14ac:dyDescent="0.2">
      <c r="A1249">
        <f>IF(ISERROR(VLOOKUP(C1249,Questions!$A$1:G$9999,7,0)),"",VLOOKUP(C1249,Questions!$A$1:G$9999,7,0))</f>
        <v>3</v>
      </c>
      <c r="B1249" s="17" t="str">
        <f t="shared" si="19"/>
        <v>Problem</v>
      </c>
      <c r="C1249" s="30" t="s">
        <v>1156</v>
      </c>
    </row>
    <row r="1250" spans="1:3" x14ac:dyDescent="0.2">
      <c r="A1250">
        <f>IF(ISERROR(VLOOKUP(C1250,Questions!$A$1:G$9999,7,0)),"",VLOOKUP(C1250,Questions!$A$1:G$9999,7,0))</f>
        <v>4</v>
      </c>
      <c r="B1250" s="17" t="str">
        <f t="shared" si="19"/>
        <v>Problem</v>
      </c>
      <c r="C1250" s="30" t="s">
        <v>1157</v>
      </c>
    </row>
    <row r="1251" spans="1:3" x14ac:dyDescent="0.2">
      <c r="A1251" t="str">
        <f>IF(ISERROR(VLOOKUP(C1251,Questions!$A$1:G$9999,7,0)),"",VLOOKUP(C1251,Questions!$A$1:G$9999,7,0))</f>
        <v/>
      </c>
      <c r="B1251" s="17" t="str">
        <f t="shared" si="19"/>
        <v>Problem</v>
      </c>
      <c r="C1251" s="29" t="s">
        <v>795</v>
      </c>
    </row>
    <row r="1252" spans="1:3" x14ac:dyDescent="0.2">
      <c r="A1252">
        <f>IF(ISERROR(VLOOKUP(C1252,Questions!$A$1:G$9999,7,0)),"",VLOOKUP(C1252,Questions!$A$1:G$9999,7,0))</f>
        <v>1</v>
      </c>
      <c r="B1252" s="17" t="str">
        <f t="shared" si="19"/>
        <v>Problem</v>
      </c>
      <c r="C1252" s="30" t="s">
        <v>165</v>
      </c>
    </row>
    <row r="1253" spans="1:3" x14ac:dyDescent="0.2">
      <c r="A1253">
        <f>IF(ISERROR(VLOOKUP(C1253,Questions!$A$1:G$9999,7,0)),"",VLOOKUP(C1253,Questions!$A$1:G$9999,7,0))</f>
        <v>4</v>
      </c>
      <c r="B1253" s="17" t="str">
        <f t="shared" si="19"/>
        <v>Problem</v>
      </c>
      <c r="C1253" s="30" t="s">
        <v>167</v>
      </c>
    </row>
    <row r="1254" spans="1:3" x14ac:dyDescent="0.2">
      <c r="A1254">
        <f>IF(ISERROR(VLOOKUP(C1254,Questions!$A$1:G$9999,7,0)),"",VLOOKUP(C1254,Questions!$A$1:G$9999,7,0))</f>
        <v>2</v>
      </c>
      <c r="B1254" s="17" t="str">
        <f t="shared" si="19"/>
        <v>Problem</v>
      </c>
      <c r="C1254" s="30" t="s">
        <v>168</v>
      </c>
    </row>
    <row r="1255" spans="1:3" x14ac:dyDescent="0.2">
      <c r="A1255">
        <f>IF(ISERROR(VLOOKUP(C1255,Questions!$A$1:G$9999,7,0)),"",VLOOKUP(C1255,Questions!$A$1:G$9999,7,0))</f>
        <v>3</v>
      </c>
      <c r="B1255" s="17" t="str">
        <f t="shared" si="19"/>
        <v>Problem</v>
      </c>
      <c r="C1255" s="30" t="s">
        <v>169</v>
      </c>
    </row>
    <row r="1256" spans="1:3" x14ac:dyDescent="0.2">
      <c r="A1256">
        <f>IF(ISERROR(VLOOKUP(C1256,Questions!$A$1:G$9999,7,0)),"",VLOOKUP(C1256,Questions!$A$1:G$9999,7,0))</f>
        <v>4</v>
      </c>
      <c r="B1256" s="17" t="str">
        <f t="shared" si="19"/>
        <v>Problem</v>
      </c>
      <c r="C1256" s="30" t="s">
        <v>170</v>
      </c>
    </row>
    <row r="1257" spans="1:3" x14ac:dyDescent="0.2">
      <c r="A1257">
        <f>IF(ISERROR(VLOOKUP(C1257,Questions!$A$1:G$9999,7,0)),"",VLOOKUP(C1257,Questions!$A$1:G$9999,7,0))</f>
        <v>3</v>
      </c>
      <c r="B1257" s="17" t="str">
        <f t="shared" si="19"/>
        <v>Problem</v>
      </c>
      <c r="C1257" s="30" t="s">
        <v>175</v>
      </c>
    </row>
    <row r="1258" spans="1:3" x14ac:dyDescent="0.2">
      <c r="A1258">
        <f>IF(ISERROR(VLOOKUP(C1258,Questions!$A$1:G$9999,7,0)),"",VLOOKUP(C1258,Questions!$A$1:G$9999,7,0))</f>
        <v>4</v>
      </c>
      <c r="B1258" s="17" t="str">
        <f t="shared" si="19"/>
        <v>Problem</v>
      </c>
      <c r="C1258" s="30" t="s">
        <v>1158</v>
      </c>
    </row>
    <row r="1259" spans="1:3" x14ac:dyDescent="0.2">
      <c r="A1259" t="str">
        <f>IF(ISERROR(VLOOKUP(C1259,Questions!$A$1:G$9999,7,0)),"",VLOOKUP(C1259,Questions!$A$1:G$9999,7,0))</f>
        <v/>
      </c>
      <c r="B1259" s="17" t="str">
        <f t="shared" si="19"/>
        <v>Problem</v>
      </c>
      <c r="C1259" s="29" t="s">
        <v>797</v>
      </c>
    </row>
    <row r="1260" spans="1:3" x14ac:dyDescent="0.2">
      <c r="A1260">
        <f>IF(ISERROR(VLOOKUP(C1260,Questions!$A$1:G$9999,7,0)),"",VLOOKUP(C1260,Questions!$A$1:G$9999,7,0))</f>
        <v>2</v>
      </c>
      <c r="B1260" s="17" t="str">
        <f t="shared" si="19"/>
        <v>Problem</v>
      </c>
      <c r="C1260" s="30" t="s">
        <v>198</v>
      </c>
    </row>
    <row r="1261" spans="1:3" x14ac:dyDescent="0.2">
      <c r="A1261">
        <f>IF(ISERROR(VLOOKUP(C1261,Questions!$A$1:G$9999,7,0)),"",VLOOKUP(C1261,Questions!$A$1:G$9999,7,0))</f>
        <v>4</v>
      </c>
      <c r="B1261" s="17" t="str">
        <f t="shared" si="19"/>
        <v>Problem</v>
      </c>
      <c r="C1261" s="30" t="s">
        <v>199</v>
      </c>
    </row>
    <row r="1262" spans="1:3" x14ac:dyDescent="0.2">
      <c r="A1262">
        <f>IF(ISERROR(VLOOKUP(C1262,Questions!$A$1:G$9999,7,0)),"",VLOOKUP(C1262,Questions!$A$1:G$9999,7,0))</f>
        <v>2</v>
      </c>
      <c r="B1262" s="17" t="str">
        <f t="shared" si="19"/>
        <v>Problem</v>
      </c>
      <c r="C1262" s="30" t="s">
        <v>200</v>
      </c>
    </row>
    <row r="1263" spans="1:3" x14ac:dyDescent="0.2">
      <c r="A1263">
        <f>IF(ISERROR(VLOOKUP(C1263,Questions!$A$1:G$9999,7,0)),"",VLOOKUP(C1263,Questions!$A$1:G$9999,7,0))</f>
        <v>2</v>
      </c>
      <c r="B1263" s="17" t="str">
        <f t="shared" si="19"/>
        <v>Problem</v>
      </c>
      <c r="C1263" s="30" t="s">
        <v>201</v>
      </c>
    </row>
    <row r="1264" spans="1:3" x14ac:dyDescent="0.2">
      <c r="A1264">
        <f>IF(ISERROR(VLOOKUP(C1264,Questions!$A$1:G$9999,7,0)),"",VLOOKUP(C1264,Questions!$A$1:G$9999,7,0))</f>
        <v>3</v>
      </c>
      <c r="B1264" s="17" t="str">
        <f t="shared" si="19"/>
        <v>Problem</v>
      </c>
      <c r="C1264" s="30" t="s">
        <v>1159</v>
      </c>
    </row>
    <row r="1265" spans="1:3" x14ac:dyDescent="0.2">
      <c r="A1265" t="str">
        <f>IF(ISERROR(VLOOKUP(C1265,Questions!$A$1:G$9999,7,0)),"",VLOOKUP(C1265,Questions!$A$1:G$9999,7,0))</f>
        <v/>
      </c>
      <c r="B1265" s="17" t="str">
        <f t="shared" si="19"/>
        <v>Problem</v>
      </c>
      <c r="C1265" s="29" t="s">
        <v>799</v>
      </c>
    </row>
    <row r="1266" spans="1:3" x14ac:dyDescent="0.2">
      <c r="A1266">
        <f>IF(ISERROR(VLOOKUP(C1266,Questions!$A$1:G$9999,7,0)),"",VLOOKUP(C1266,Questions!$A$1:G$9999,7,0))</f>
        <v>2</v>
      </c>
      <c r="B1266" s="17" t="str">
        <f t="shared" si="19"/>
        <v>Problem</v>
      </c>
      <c r="C1266" s="30" t="s">
        <v>241</v>
      </c>
    </row>
    <row r="1267" spans="1:3" x14ac:dyDescent="0.2">
      <c r="A1267">
        <f>IF(ISERROR(VLOOKUP(C1267,Questions!$A$1:G$9999,7,0)),"",VLOOKUP(C1267,Questions!$A$1:G$9999,7,0))</f>
        <v>2</v>
      </c>
      <c r="B1267" s="17" t="str">
        <f t="shared" si="19"/>
        <v>Problem</v>
      </c>
      <c r="C1267" s="30" t="s">
        <v>242</v>
      </c>
    </row>
    <row r="1268" spans="1:3" x14ac:dyDescent="0.2">
      <c r="A1268">
        <f>IF(ISERROR(VLOOKUP(C1268,Questions!$A$1:G$9999,7,0)),"",VLOOKUP(C1268,Questions!$A$1:G$9999,7,0))</f>
        <v>1</v>
      </c>
      <c r="B1268" s="17" t="str">
        <f t="shared" si="19"/>
        <v>Problem</v>
      </c>
      <c r="C1268" s="30" t="s">
        <v>243</v>
      </c>
    </row>
    <row r="1269" spans="1:3" x14ac:dyDescent="0.2">
      <c r="A1269">
        <f>IF(ISERROR(VLOOKUP(C1269,Questions!$A$1:G$9999,7,0)),"",VLOOKUP(C1269,Questions!$A$1:G$9999,7,0))</f>
        <v>4</v>
      </c>
      <c r="B1269" s="17" t="str">
        <f t="shared" si="19"/>
        <v>Problem</v>
      </c>
      <c r="C1269" s="30" t="s">
        <v>244</v>
      </c>
    </row>
    <row r="1270" spans="1:3" x14ac:dyDescent="0.2">
      <c r="A1270">
        <f>IF(ISERROR(VLOOKUP(C1270,Questions!$A$1:G$9999,7,0)),"",VLOOKUP(C1270,Questions!$A$1:G$9999,7,0))</f>
        <v>3</v>
      </c>
      <c r="B1270" s="17" t="str">
        <f t="shared" si="19"/>
        <v>Problem</v>
      </c>
      <c r="C1270" s="30" t="s">
        <v>245</v>
      </c>
    </row>
    <row r="1271" spans="1:3" x14ac:dyDescent="0.2">
      <c r="A1271" t="str">
        <f>IF(ISERROR(VLOOKUP(C1271,Questions!$A$1:G$9999,7,0)),"",VLOOKUP(C1271,Questions!$A$1:G$9999,7,0))</f>
        <v/>
      </c>
      <c r="B1271" s="17" t="str">
        <f t="shared" si="19"/>
        <v>Problem</v>
      </c>
      <c r="C1271" s="29" t="s">
        <v>801</v>
      </c>
    </row>
    <row r="1272" spans="1:3" x14ac:dyDescent="0.2">
      <c r="A1272">
        <f>IF(ISERROR(VLOOKUP(C1272,Questions!$A$1:G$9999,7,0)),"",VLOOKUP(C1272,Questions!$A$1:G$9999,7,0))</f>
        <v>2</v>
      </c>
      <c r="B1272" s="17" t="str">
        <f t="shared" si="19"/>
        <v>Problem</v>
      </c>
      <c r="C1272" s="30" t="s">
        <v>272</v>
      </c>
    </row>
    <row r="1273" spans="1:3" x14ac:dyDescent="0.2">
      <c r="A1273">
        <f>IF(ISERROR(VLOOKUP(C1273,Questions!$A$1:G$9999,7,0)),"",VLOOKUP(C1273,Questions!$A$1:G$9999,7,0))</f>
        <v>4</v>
      </c>
      <c r="B1273" s="17" t="str">
        <f t="shared" si="19"/>
        <v>Problem</v>
      </c>
      <c r="C1273" s="30" t="s">
        <v>273</v>
      </c>
    </row>
    <row r="1274" spans="1:3" x14ac:dyDescent="0.2">
      <c r="A1274">
        <f>IF(ISERROR(VLOOKUP(C1274,Questions!$A$1:G$9999,7,0)),"",VLOOKUP(C1274,Questions!$A$1:G$9999,7,0))</f>
        <v>3</v>
      </c>
      <c r="B1274" s="17" t="str">
        <f t="shared" si="19"/>
        <v>Problem</v>
      </c>
      <c r="C1274" s="30" t="s">
        <v>274</v>
      </c>
    </row>
    <row r="1275" spans="1:3" x14ac:dyDescent="0.2">
      <c r="A1275">
        <f>IF(ISERROR(VLOOKUP(C1275,Questions!$A$1:G$9999,7,0)),"",VLOOKUP(C1275,Questions!$A$1:G$9999,7,0))</f>
        <v>1</v>
      </c>
      <c r="B1275" s="17" t="str">
        <f t="shared" si="19"/>
        <v>Problem</v>
      </c>
      <c r="C1275" s="30" t="s">
        <v>1160</v>
      </c>
    </row>
    <row r="1276" spans="1:3" x14ac:dyDescent="0.2">
      <c r="A1276" t="str">
        <f>IF(ISERROR(VLOOKUP(C1276,Questions!$A$1:G$9999,7,0)),"",VLOOKUP(C1276,Questions!$A$1:G$9999,7,0))</f>
        <v/>
      </c>
      <c r="B1276" s="17" t="str">
        <f t="shared" ref="B1276:B1339" si="20">HYPERLINK("http://www.mrhosey.com/RPhys/" &amp; C1276 &amp; ".gif","Problem")</f>
        <v>Problem</v>
      </c>
      <c r="C1276" s="29" t="s">
        <v>802</v>
      </c>
    </row>
    <row r="1277" spans="1:3" x14ac:dyDescent="0.2">
      <c r="A1277">
        <f>IF(ISERROR(VLOOKUP(C1277,Questions!$A$1:G$9999,7,0)),"",VLOOKUP(C1277,Questions!$A$1:G$9999,7,0))</f>
        <v>3</v>
      </c>
      <c r="B1277" s="17" t="str">
        <f t="shared" si="20"/>
        <v>Problem</v>
      </c>
      <c r="C1277" s="30" t="s">
        <v>306</v>
      </c>
    </row>
    <row r="1278" spans="1:3" x14ac:dyDescent="0.2">
      <c r="A1278">
        <f>IF(ISERROR(VLOOKUP(C1278,Questions!$A$1:G$9999,7,0)),"",VLOOKUP(C1278,Questions!$A$1:G$9999,7,0))</f>
        <v>2</v>
      </c>
      <c r="B1278" s="17" t="str">
        <f t="shared" si="20"/>
        <v>Problem</v>
      </c>
      <c r="C1278" s="30" t="s">
        <v>307</v>
      </c>
    </row>
    <row r="1279" spans="1:3" x14ac:dyDescent="0.2">
      <c r="A1279">
        <f>IF(ISERROR(VLOOKUP(C1279,Questions!$A$1:G$9999,7,0)),"",VLOOKUP(C1279,Questions!$A$1:G$9999,7,0))</f>
        <v>1</v>
      </c>
      <c r="B1279" s="17" t="str">
        <f t="shared" si="20"/>
        <v>Problem</v>
      </c>
      <c r="C1279" s="30" t="s">
        <v>308</v>
      </c>
    </row>
    <row r="1280" spans="1:3" x14ac:dyDescent="0.2">
      <c r="A1280">
        <f>IF(ISERROR(VLOOKUP(C1280,Questions!$A$1:G$9999,7,0)),"",VLOOKUP(C1280,Questions!$A$1:G$9999,7,0))</f>
        <v>3</v>
      </c>
      <c r="B1280" s="17" t="str">
        <f t="shared" si="20"/>
        <v>Problem</v>
      </c>
      <c r="C1280" s="30" t="s">
        <v>309</v>
      </c>
    </row>
    <row r="1281" spans="1:3" x14ac:dyDescent="0.2">
      <c r="A1281">
        <f>IF(ISERROR(VLOOKUP(C1281,Questions!$A$1:G$9999,7,0)),"",VLOOKUP(C1281,Questions!$A$1:G$9999,7,0))</f>
        <v>4</v>
      </c>
      <c r="B1281" s="17" t="str">
        <f t="shared" si="20"/>
        <v>Problem</v>
      </c>
      <c r="C1281" s="30" t="s">
        <v>310</v>
      </c>
    </row>
    <row r="1282" spans="1:3" x14ac:dyDescent="0.2">
      <c r="A1282">
        <f>IF(ISERROR(VLOOKUP(C1282,Questions!$A$1:G$9999,7,0)),"",VLOOKUP(C1282,Questions!$A$1:G$9999,7,0))</f>
        <v>1</v>
      </c>
      <c r="B1282" s="17" t="str">
        <f t="shared" si="20"/>
        <v>Problem</v>
      </c>
      <c r="C1282" s="30" t="s">
        <v>312</v>
      </c>
    </row>
    <row r="1283" spans="1:3" x14ac:dyDescent="0.2">
      <c r="A1283">
        <f>IF(ISERROR(VLOOKUP(C1283,Questions!$A$1:G$9999,7,0)),"",VLOOKUP(C1283,Questions!$A$1:G$9999,7,0))</f>
        <v>2</v>
      </c>
      <c r="B1283" s="17" t="str">
        <f t="shared" si="20"/>
        <v>Problem</v>
      </c>
      <c r="C1283" s="30" t="s">
        <v>1161</v>
      </c>
    </row>
    <row r="1284" spans="1:3" x14ac:dyDescent="0.2">
      <c r="A1284">
        <f>IF(ISERROR(VLOOKUP(C1284,Questions!$A$1:G$9999,7,0)),"",VLOOKUP(C1284,Questions!$A$1:G$9999,7,0))</f>
        <v>4</v>
      </c>
      <c r="B1284" s="17" t="str">
        <f t="shared" si="20"/>
        <v>Problem</v>
      </c>
      <c r="C1284" s="30" t="s">
        <v>1162</v>
      </c>
    </row>
    <row r="1285" spans="1:3" x14ac:dyDescent="0.2">
      <c r="A1285" t="str">
        <f>IF(ISERROR(VLOOKUP(C1285,Questions!$A$1:G$9999,7,0)),"",VLOOKUP(C1285,Questions!$A$1:G$9999,7,0))</f>
        <v/>
      </c>
      <c r="B1285" s="17" t="str">
        <f t="shared" si="20"/>
        <v>Problem</v>
      </c>
      <c r="C1285" s="29" t="s">
        <v>803</v>
      </c>
    </row>
    <row r="1286" spans="1:3" x14ac:dyDescent="0.2">
      <c r="A1286">
        <f>IF(ISERROR(VLOOKUP(C1286,Questions!$A$1:G$9999,7,0)),"",VLOOKUP(C1286,Questions!$A$1:G$9999,7,0))</f>
        <v>2</v>
      </c>
      <c r="B1286" s="17" t="str">
        <f t="shared" si="20"/>
        <v>Problem</v>
      </c>
      <c r="C1286" s="30" t="s">
        <v>338</v>
      </c>
    </row>
    <row r="1287" spans="1:3" x14ac:dyDescent="0.2">
      <c r="A1287">
        <f>IF(ISERROR(VLOOKUP(C1287,Questions!$A$1:G$9999,7,0)),"",VLOOKUP(C1287,Questions!$A$1:G$9999,7,0))</f>
        <v>4</v>
      </c>
      <c r="B1287" s="17" t="str">
        <f t="shared" si="20"/>
        <v>Problem</v>
      </c>
      <c r="C1287" s="30" t="s">
        <v>339</v>
      </c>
    </row>
    <row r="1288" spans="1:3" x14ac:dyDescent="0.2">
      <c r="A1288">
        <f>IF(ISERROR(VLOOKUP(C1288,Questions!$A$1:G$9999,7,0)),"",VLOOKUP(C1288,Questions!$A$1:G$9999,7,0))</f>
        <v>1</v>
      </c>
      <c r="B1288" s="17" t="str">
        <f t="shared" si="20"/>
        <v>Problem</v>
      </c>
      <c r="C1288" s="30" t="s">
        <v>340</v>
      </c>
    </row>
    <row r="1289" spans="1:3" x14ac:dyDescent="0.2">
      <c r="A1289">
        <f>IF(ISERROR(VLOOKUP(C1289,Questions!$A$1:G$9999,7,0)),"",VLOOKUP(C1289,Questions!$A$1:G$9999,7,0))</f>
        <v>3</v>
      </c>
      <c r="B1289" s="17" t="str">
        <f t="shared" si="20"/>
        <v>Problem</v>
      </c>
      <c r="C1289" s="30" t="s">
        <v>341</v>
      </c>
    </row>
    <row r="1290" spans="1:3" x14ac:dyDescent="0.2">
      <c r="A1290">
        <f>IF(ISERROR(VLOOKUP(C1290,Questions!$A$1:G$9999,7,0)),"",VLOOKUP(C1290,Questions!$A$1:G$9999,7,0))</f>
        <v>3</v>
      </c>
      <c r="B1290" s="17" t="str">
        <f t="shared" si="20"/>
        <v>Problem</v>
      </c>
      <c r="C1290" s="30" t="s">
        <v>342</v>
      </c>
    </row>
    <row r="1291" spans="1:3" x14ac:dyDescent="0.2">
      <c r="A1291">
        <f>IF(ISERROR(VLOOKUP(C1291,Questions!$A$1:G$9999,7,0)),"",VLOOKUP(C1291,Questions!$A$1:G$9999,7,0))</f>
        <v>3</v>
      </c>
      <c r="B1291" s="17" t="str">
        <f t="shared" si="20"/>
        <v>Problem</v>
      </c>
      <c r="C1291" s="30" t="s">
        <v>1163</v>
      </c>
    </row>
    <row r="1292" spans="1:3" x14ac:dyDescent="0.2">
      <c r="A1292" t="str">
        <f>IF(ISERROR(VLOOKUP(C1292,Questions!$A$1:G$9999,7,0)),"",VLOOKUP(C1292,Questions!$A$1:G$9999,7,0))</f>
        <v/>
      </c>
      <c r="B1292" s="17" t="str">
        <f t="shared" si="20"/>
        <v>Problem</v>
      </c>
      <c r="C1292" s="29" t="s">
        <v>805</v>
      </c>
    </row>
    <row r="1293" spans="1:3" x14ac:dyDescent="0.2">
      <c r="A1293">
        <f>IF(ISERROR(VLOOKUP(C1293,Questions!$A$1:G$9999,7,0)),"",VLOOKUP(C1293,Questions!$A$1:G$9999,7,0))</f>
        <v>1</v>
      </c>
      <c r="B1293" s="17" t="str">
        <f t="shared" si="20"/>
        <v>Problem</v>
      </c>
      <c r="C1293" s="30" t="s">
        <v>373</v>
      </c>
    </row>
    <row r="1294" spans="1:3" x14ac:dyDescent="0.2">
      <c r="A1294">
        <f>IF(ISERROR(VLOOKUP(C1294,Questions!$A$1:G$9999,7,0)),"",VLOOKUP(C1294,Questions!$A$1:G$9999,7,0))</f>
        <v>4</v>
      </c>
      <c r="B1294" s="17" t="str">
        <f t="shared" si="20"/>
        <v>Problem</v>
      </c>
      <c r="C1294" s="30" t="s">
        <v>374</v>
      </c>
    </row>
    <row r="1295" spans="1:3" x14ac:dyDescent="0.2">
      <c r="A1295">
        <f>IF(ISERROR(VLOOKUP(C1295,Questions!$A$1:G$9999,7,0)),"",VLOOKUP(C1295,Questions!$A$1:G$9999,7,0))</f>
        <v>1</v>
      </c>
      <c r="B1295" s="17" t="str">
        <f t="shared" si="20"/>
        <v>Problem</v>
      </c>
      <c r="C1295" s="30" t="s">
        <v>375</v>
      </c>
    </row>
    <row r="1296" spans="1:3" x14ac:dyDescent="0.2">
      <c r="A1296">
        <f>IF(ISERROR(VLOOKUP(C1296,Questions!$A$1:G$9999,7,0)),"",VLOOKUP(C1296,Questions!$A$1:G$9999,7,0))</f>
        <v>1</v>
      </c>
      <c r="B1296" s="17" t="str">
        <f t="shared" si="20"/>
        <v>Problem</v>
      </c>
      <c r="C1296" s="30" t="s">
        <v>1164</v>
      </c>
    </row>
    <row r="1297" spans="1:3" x14ac:dyDescent="0.2">
      <c r="A1297">
        <f>IF(ISERROR(VLOOKUP(C1297,Questions!$A$1:G$9999,7,0)),"",VLOOKUP(C1297,Questions!$A$1:G$9999,7,0))</f>
        <v>3</v>
      </c>
      <c r="B1297" s="17" t="str">
        <f t="shared" si="20"/>
        <v>Problem</v>
      </c>
      <c r="C1297" s="30" t="s">
        <v>1165</v>
      </c>
    </row>
    <row r="1298" spans="1:3" x14ac:dyDescent="0.2">
      <c r="A1298">
        <f>IF(ISERROR(VLOOKUP(C1298,Questions!$A$1:G$9999,7,0)),"",VLOOKUP(C1298,Questions!$A$1:G$9999,7,0))</f>
        <v>1</v>
      </c>
      <c r="B1298" s="17" t="str">
        <f t="shared" si="20"/>
        <v>Problem</v>
      </c>
      <c r="C1298" s="30" t="s">
        <v>1166</v>
      </c>
    </row>
    <row r="1299" spans="1:3" x14ac:dyDescent="0.2">
      <c r="A1299" t="str">
        <f>IF(ISERROR(VLOOKUP(C1299,Questions!$A$1:G$9999,7,0)),"",VLOOKUP(C1299,Questions!$A$1:G$9999,7,0))</f>
        <v/>
      </c>
      <c r="B1299" s="17" t="str">
        <f t="shared" si="20"/>
        <v>Problem</v>
      </c>
      <c r="C1299" s="29" t="s">
        <v>807</v>
      </c>
    </row>
    <row r="1300" spans="1:3" x14ac:dyDescent="0.2">
      <c r="A1300">
        <f>IF(ISERROR(VLOOKUP(C1300,Questions!$A$1:G$9999,7,0)),"",VLOOKUP(C1300,Questions!$A$1:G$9999,7,0))</f>
        <v>1</v>
      </c>
      <c r="B1300" s="17" t="str">
        <f t="shared" si="20"/>
        <v>Problem</v>
      </c>
      <c r="C1300" s="30" t="s">
        <v>406</v>
      </c>
    </row>
    <row r="1301" spans="1:3" x14ac:dyDescent="0.2">
      <c r="A1301">
        <f>IF(ISERROR(VLOOKUP(C1301,Questions!$A$1:G$9999,7,0)),"",VLOOKUP(C1301,Questions!$A$1:G$9999,7,0))</f>
        <v>4</v>
      </c>
      <c r="B1301" s="17" t="str">
        <f t="shared" si="20"/>
        <v>Problem</v>
      </c>
      <c r="C1301" s="30" t="s">
        <v>407</v>
      </c>
    </row>
    <row r="1302" spans="1:3" x14ac:dyDescent="0.2">
      <c r="A1302">
        <f>IF(ISERROR(VLOOKUP(C1302,Questions!$A$1:G$9999,7,0)),"",VLOOKUP(C1302,Questions!$A$1:G$9999,7,0))</f>
        <v>3</v>
      </c>
      <c r="B1302" s="17" t="str">
        <f t="shared" si="20"/>
        <v>Problem</v>
      </c>
      <c r="C1302" s="30" t="s">
        <v>408</v>
      </c>
    </row>
    <row r="1303" spans="1:3" x14ac:dyDescent="0.2">
      <c r="A1303">
        <f>IF(ISERROR(VLOOKUP(C1303,Questions!$A$1:G$9999,7,0)),"",VLOOKUP(C1303,Questions!$A$1:G$9999,7,0))</f>
        <v>2</v>
      </c>
      <c r="B1303" s="17" t="str">
        <f t="shared" si="20"/>
        <v>Problem</v>
      </c>
      <c r="C1303" s="30" t="s">
        <v>409</v>
      </c>
    </row>
    <row r="1304" spans="1:3" x14ac:dyDescent="0.2">
      <c r="A1304">
        <f>IF(ISERROR(VLOOKUP(C1304,Questions!$A$1:G$9999,7,0)),"",VLOOKUP(C1304,Questions!$A$1:G$9999,7,0))</f>
        <v>4</v>
      </c>
      <c r="B1304" s="17" t="str">
        <f t="shared" si="20"/>
        <v>Problem</v>
      </c>
      <c r="C1304" s="30" t="s">
        <v>1167</v>
      </c>
    </row>
    <row r="1305" spans="1:3" x14ac:dyDescent="0.2">
      <c r="A1305">
        <f>IF(ISERROR(VLOOKUP(C1305,Questions!$A$1:G$9999,7,0)),"",VLOOKUP(C1305,Questions!$A$1:G$9999,7,0))</f>
        <v>1</v>
      </c>
      <c r="B1305" s="17" t="str">
        <f t="shared" si="20"/>
        <v>Problem</v>
      </c>
      <c r="C1305" s="30" t="s">
        <v>1168</v>
      </c>
    </row>
    <row r="1306" spans="1:3" x14ac:dyDescent="0.2">
      <c r="A1306" t="str">
        <f>IF(ISERROR(VLOOKUP(C1306,Questions!$A$1:G$9999,7,0)),"",VLOOKUP(C1306,Questions!$A$1:G$9999,7,0))</f>
        <v/>
      </c>
      <c r="B1306" s="17" t="str">
        <f t="shared" si="20"/>
        <v>Problem</v>
      </c>
      <c r="C1306" s="29" t="s">
        <v>808</v>
      </c>
    </row>
    <row r="1307" spans="1:3" x14ac:dyDescent="0.2">
      <c r="A1307">
        <f>IF(ISERROR(VLOOKUP(C1307,Questions!$A$1:G$9999,7,0)),"",VLOOKUP(C1307,Questions!$A$1:G$9999,7,0))</f>
        <v>4</v>
      </c>
      <c r="B1307" s="17" t="str">
        <f t="shared" si="20"/>
        <v>Problem</v>
      </c>
      <c r="C1307" s="30" t="s">
        <v>446</v>
      </c>
    </row>
    <row r="1308" spans="1:3" x14ac:dyDescent="0.2">
      <c r="A1308">
        <f>IF(ISERROR(VLOOKUP(C1308,Questions!$A$1:G$9999,7,0)),"",VLOOKUP(C1308,Questions!$A$1:G$9999,7,0))</f>
        <v>2</v>
      </c>
      <c r="B1308" s="17" t="str">
        <f t="shared" si="20"/>
        <v>Problem</v>
      </c>
      <c r="C1308" s="30" t="s">
        <v>447</v>
      </c>
    </row>
    <row r="1309" spans="1:3" x14ac:dyDescent="0.2">
      <c r="A1309">
        <f>IF(ISERROR(VLOOKUP(C1309,Questions!$A$1:G$9999,7,0)),"",VLOOKUP(C1309,Questions!$A$1:G$9999,7,0))</f>
        <v>2</v>
      </c>
      <c r="B1309" s="17" t="str">
        <f t="shared" si="20"/>
        <v>Problem</v>
      </c>
      <c r="C1309" s="30" t="s">
        <v>449</v>
      </c>
    </row>
    <row r="1310" spans="1:3" x14ac:dyDescent="0.2">
      <c r="A1310">
        <f>IF(ISERROR(VLOOKUP(C1310,Questions!$A$1:G$9999,7,0)),"",VLOOKUP(C1310,Questions!$A$1:G$9999,7,0))</f>
        <v>2</v>
      </c>
      <c r="B1310" s="17" t="str">
        <f t="shared" si="20"/>
        <v>Problem</v>
      </c>
      <c r="C1310" s="30" t="s">
        <v>1169</v>
      </c>
    </row>
    <row r="1311" spans="1:3" x14ac:dyDescent="0.2">
      <c r="A1311" t="str">
        <f>IF(ISERROR(VLOOKUP(C1311,Questions!$A$1:G$9999,7,0)),"",VLOOKUP(C1311,Questions!$A$1:G$9999,7,0))</f>
        <v/>
      </c>
      <c r="B1311" s="17" t="str">
        <f t="shared" si="20"/>
        <v>Problem</v>
      </c>
      <c r="C1311" s="29" t="s">
        <v>810</v>
      </c>
    </row>
    <row r="1312" spans="1:3" x14ac:dyDescent="0.2">
      <c r="A1312">
        <f>IF(ISERROR(VLOOKUP(C1312,Questions!$A$1:G$9999,7,0)),"",VLOOKUP(C1312,Questions!$A$1:G$9999,7,0))</f>
        <v>1</v>
      </c>
      <c r="B1312" s="17" t="str">
        <f t="shared" si="20"/>
        <v>Problem</v>
      </c>
      <c r="C1312" s="30" t="s">
        <v>483</v>
      </c>
    </row>
    <row r="1313" spans="1:3" x14ac:dyDescent="0.2">
      <c r="A1313">
        <f>IF(ISERROR(VLOOKUP(C1313,Questions!$A$1:G$9999,7,0)),"",VLOOKUP(C1313,Questions!$A$1:G$9999,7,0))</f>
        <v>2</v>
      </c>
      <c r="B1313" s="17" t="str">
        <f t="shared" si="20"/>
        <v>Problem</v>
      </c>
      <c r="C1313" s="30" t="s">
        <v>484</v>
      </c>
    </row>
    <row r="1314" spans="1:3" x14ac:dyDescent="0.2">
      <c r="A1314">
        <f>IF(ISERROR(VLOOKUP(C1314,Questions!$A$1:G$9999,7,0)),"",VLOOKUP(C1314,Questions!$A$1:G$9999,7,0))</f>
        <v>4</v>
      </c>
      <c r="B1314" s="17" t="str">
        <f t="shared" si="20"/>
        <v>Problem</v>
      </c>
      <c r="C1314" s="30" t="s">
        <v>485</v>
      </c>
    </row>
    <row r="1315" spans="1:3" x14ac:dyDescent="0.2">
      <c r="A1315">
        <f>IF(ISERROR(VLOOKUP(C1315,Questions!$A$1:G$9999,7,0)),"",VLOOKUP(C1315,Questions!$A$1:G$9999,7,0))</f>
        <v>1</v>
      </c>
      <c r="B1315" s="17" t="str">
        <f t="shared" si="20"/>
        <v>Problem</v>
      </c>
      <c r="C1315" s="30" t="s">
        <v>1170</v>
      </c>
    </row>
    <row r="1316" spans="1:3" x14ac:dyDescent="0.2">
      <c r="A1316" t="str">
        <f>IF(ISERROR(VLOOKUP(C1316,Questions!$A$1:G$9999,7,0)),"",VLOOKUP(C1316,Questions!$A$1:G$9999,7,0))</f>
        <v/>
      </c>
      <c r="B1316" s="17" t="str">
        <f t="shared" si="20"/>
        <v>Problem</v>
      </c>
      <c r="C1316" s="29" t="s">
        <v>811</v>
      </c>
    </row>
    <row r="1317" spans="1:3" x14ac:dyDescent="0.2">
      <c r="A1317">
        <f>IF(ISERROR(VLOOKUP(C1317,Questions!$A$1:G$9999,7,0)),"",VLOOKUP(C1317,Questions!$A$1:G$9999,7,0))</f>
        <v>2</v>
      </c>
      <c r="B1317" s="17" t="str">
        <f t="shared" si="20"/>
        <v>Problem</v>
      </c>
      <c r="C1317" s="30" t="s">
        <v>510</v>
      </c>
    </row>
    <row r="1318" spans="1:3" x14ac:dyDescent="0.2">
      <c r="A1318">
        <f>IF(ISERROR(VLOOKUP(C1318,Questions!$A$1:G$9999,7,0)),"",VLOOKUP(C1318,Questions!$A$1:G$9999,7,0))</f>
        <v>4</v>
      </c>
      <c r="B1318" s="17" t="str">
        <f t="shared" si="20"/>
        <v>Problem</v>
      </c>
      <c r="C1318" s="30" t="s">
        <v>511</v>
      </c>
    </row>
    <row r="1319" spans="1:3" x14ac:dyDescent="0.2">
      <c r="A1319">
        <f>IF(ISERROR(VLOOKUP(C1319,Questions!$A$1:G$9999,7,0)),"",VLOOKUP(C1319,Questions!$A$1:G$9999,7,0))</f>
        <v>1</v>
      </c>
      <c r="B1319" s="17" t="str">
        <f t="shared" si="20"/>
        <v>Problem</v>
      </c>
      <c r="C1319" s="30" t="s">
        <v>513</v>
      </c>
    </row>
    <row r="1320" spans="1:3" x14ac:dyDescent="0.2">
      <c r="A1320">
        <f>IF(ISERROR(VLOOKUP(C1320,Questions!$A$1:G$9999,7,0)),"",VLOOKUP(C1320,Questions!$A$1:G$9999,7,0))</f>
        <v>3</v>
      </c>
      <c r="B1320" s="17" t="str">
        <f t="shared" si="20"/>
        <v>Problem</v>
      </c>
      <c r="C1320" s="30" t="s">
        <v>514</v>
      </c>
    </row>
    <row r="1321" spans="1:3" x14ac:dyDescent="0.2">
      <c r="A1321">
        <f>IF(ISERROR(VLOOKUP(C1321,Questions!$A$1:G$9999,7,0)),"",VLOOKUP(C1321,Questions!$A$1:G$9999,7,0))</f>
        <v>4</v>
      </c>
      <c r="B1321" s="17" t="str">
        <f t="shared" si="20"/>
        <v>Problem</v>
      </c>
      <c r="C1321" s="30" t="s">
        <v>515</v>
      </c>
    </row>
    <row r="1322" spans="1:3" x14ac:dyDescent="0.2">
      <c r="A1322">
        <f>IF(ISERROR(VLOOKUP(C1322,Questions!$A$1:G$9999,7,0)),"",VLOOKUP(C1322,Questions!$A$1:G$9999,7,0))</f>
        <v>1</v>
      </c>
      <c r="B1322" s="17" t="str">
        <f t="shared" si="20"/>
        <v>Problem</v>
      </c>
      <c r="C1322" s="30" t="s">
        <v>1171</v>
      </c>
    </row>
    <row r="1323" spans="1:3" x14ac:dyDescent="0.2">
      <c r="A1323">
        <f>IF(ISERROR(VLOOKUP(C1323,Questions!$A$1:G$9999,7,0)),"",VLOOKUP(C1323,Questions!$A$1:G$9999,7,0))</f>
        <v>2</v>
      </c>
      <c r="B1323" s="17" t="str">
        <f t="shared" si="20"/>
        <v>Problem</v>
      </c>
      <c r="C1323" s="30" t="s">
        <v>1172</v>
      </c>
    </row>
    <row r="1324" spans="1:3" x14ac:dyDescent="0.2">
      <c r="A1324">
        <f>IF(ISERROR(VLOOKUP(C1324,Questions!$A$1:G$9999,7,0)),"",VLOOKUP(C1324,Questions!$A$1:G$9999,7,0))</f>
        <v>1</v>
      </c>
      <c r="B1324" s="17" t="str">
        <f t="shared" si="20"/>
        <v>Problem</v>
      </c>
      <c r="C1324" s="30" t="s">
        <v>765</v>
      </c>
    </row>
    <row r="1325" spans="1:3" x14ac:dyDescent="0.2">
      <c r="A1325" t="str">
        <f>IF(ISERROR(VLOOKUP(C1325,Questions!$A$1:G$9999,7,0)),"",VLOOKUP(C1325,Questions!$A$1:G$9999,7,0))</f>
        <v/>
      </c>
      <c r="B1325" s="17" t="str">
        <f t="shared" si="20"/>
        <v>Problem</v>
      </c>
      <c r="C1325" s="29" t="s">
        <v>777</v>
      </c>
    </row>
    <row r="1326" spans="1:3" x14ac:dyDescent="0.2">
      <c r="A1326">
        <f>IF(ISERROR(VLOOKUP(C1326,Questions!$A$1:G$9999,7,0)),"",VLOOKUP(C1326,Questions!$A$1:G$9999,7,0))</f>
        <v>2</v>
      </c>
      <c r="B1326" s="17" t="str">
        <f t="shared" si="20"/>
        <v>Problem</v>
      </c>
      <c r="C1326" s="30" t="s">
        <v>634</v>
      </c>
    </row>
    <row r="1327" spans="1:3" x14ac:dyDescent="0.2">
      <c r="A1327">
        <f>IF(ISERROR(VLOOKUP(C1327,Questions!$A$1:G$9999,7,0)),"",VLOOKUP(C1327,Questions!$A$1:G$9999,7,0))</f>
        <v>3</v>
      </c>
      <c r="B1327" s="17" t="str">
        <f t="shared" si="20"/>
        <v>Problem</v>
      </c>
      <c r="C1327" s="30" t="s">
        <v>635</v>
      </c>
    </row>
    <row r="1328" spans="1:3" x14ac:dyDescent="0.2">
      <c r="A1328">
        <f>IF(ISERROR(VLOOKUP(C1328,Questions!$A$1:G$9999,7,0)),"",VLOOKUP(C1328,Questions!$A$1:G$9999,7,0))</f>
        <v>3</v>
      </c>
      <c r="B1328" s="17" t="str">
        <f t="shared" si="20"/>
        <v>Problem</v>
      </c>
      <c r="C1328" s="30" t="s">
        <v>636</v>
      </c>
    </row>
    <row r="1329" spans="1:3" x14ac:dyDescent="0.2">
      <c r="A1329">
        <f>IF(ISERROR(VLOOKUP(C1329,Questions!$A$1:G$9999,7,0)),"",VLOOKUP(C1329,Questions!$A$1:G$9999,7,0))</f>
        <v>1</v>
      </c>
      <c r="B1329" s="17" t="str">
        <f t="shared" si="20"/>
        <v>Problem</v>
      </c>
      <c r="C1329" s="30" t="s">
        <v>637</v>
      </c>
    </row>
    <row r="1330" spans="1:3" x14ac:dyDescent="0.2">
      <c r="A1330">
        <f>IF(ISERROR(VLOOKUP(C1330,Questions!$A$1:G$9999,7,0)),"",VLOOKUP(C1330,Questions!$A$1:G$9999,7,0))</f>
        <v>3</v>
      </c>
      <c r="B1330" s="17" t="str">
        <f t="shared" si="20"/>
        <v>Problem</v>
      </c>
      <c r="C1330" s="30" t="s">
        <v>1173</v>
      </c>
    </row>
    <row r="1331" spans="1:3" x14ac:dyDescent="0.2">
      <c r="A1331">
        <f>IF(ISERROR(VLOOKUP(C1331,Questions!$A$1:G$9999,7,0)),"",VLOOKUP(C1331,Questions!$A$1:G$9999,7,0))</f>
        <v>3</v>
      </c>
      <c r="B1331" s="17" t="str">
        <f t="shared" si="20"/>
        <v>Problem</v>
      </c>
      <c r="C1331" s="30" t="s">
        <v>1174</v>
      </c>
    </row>
    <row r="1332" spans="1:3" x14ac:dyDescent="0.2">
      <c r="A1332" t="str">
        <f>IF(ISERROR(VLOOKUP(C1332,Questions!$A$1:G$9999,7,0)),"",VLOOKUP(C1332,Questions!$A$1:G$9999,7,0))</f>
        <v/>
      </c>
      <c r="B1332" s="17" t="str">
        <f t="shared" si="20"/>
        <v>Problem</v>
      </c>
      <c r="C1332" s="29" t="s">
        <v>778</v>
      </c>
    </row>
    <row r="1333" spans="1:3" x14ac:dyDescent="0.2">
      <c r="A1333">
        <f>IF(ISERROR(VLOOKUP(C1333,Questions!$A$1:G$9999,7,0)),"",VLOOKUP(C1333,Questions!$A$1:G$9999,7,0))</f>
        <v>3</v>
      </c>
      <c r="B1333" s="17" t="str">
        <f t="shared" si="20"/>
        <v>Problem</v>
      </c>
      <c r="C1333" s="30" t="s">
        <v>703</v>
      </c>
    </row>
    <row r="1334" spans="1:3" x14ac:dyDescent="0.2">
      <c r="A1334">
        <f>IF(ISERROR(VLOOKUP(C1334,Questions!$A$1:G$9999,7,0)),"",VLOOKUP(C1334,Questions!$A$1:G$9999,7,0))</f>
        <v>3</v>
      </c>
      <c r="B1334" s="17" t="str">
        <f t="shared" si="20"/>
        <v>Problem</v>
      </c>
      <c r="C1334" s="30" t="s">
        <v>704</v>
      </c>
    </row>
    <row r="1335" spans="1:3" x14ac:dyDescent="0.2">
      <c r="A1335">
        <f>IF(ISERROR(VLOOKUP(C1335,Questions!$A$1:G$9999,7,0)),"",VLOOKUP(C1335,Questions!$A$1:G$9999,7,0))</f>
        <v>2</v>
      </c>
      <c r="B1335" s="17" t="str">
        <f t="shared" si="20"/>
        <v>Problem</v>
      </c>
      <c r="C1335" s="30" t="s">
        <v>705</v>
      </c>
    </row>
    <row r="1336" spans="1:3" x14ac:dyDescent="0.2">
      <c r="A1336">
        <f>IF(ISERROR(VLOOKUP(C1336,Questions!$A$1:G$9999,7,0)),"",VLOOKUP(C1336,Questions!$A$1:G$9999,7,0))</f>
        <v>2</v>
      </c>
      <c r="B1336" s="17" t="str">
        <f t="shared" si="20"/>
        <v>Problem</v>
      </c>
      <c r="C1336" s="30" t="s">
        <v>726</v>
      </c>
    </row>
    <row r="1337" spans="1:3" x14ac:dyDescent="0.2">
      <c r="A1337">
        <f>IF(ISERROR(VLOOKUP(C1337,Questions!$A$1:G$9999,7,0)),"",VLOOKUP(C1337,Questions!$A$1:G$9999,7,0))</f>
        <v>3</v>
      </c>
      <c r="B1337" s="17" t="str">
        <f t="shared" si="20"/>
        <v>Problem</v>
      </c>
      <c r="C1337" s="30" t="s">
        <v>728</v>
      </c>
    </row>
    <row r="1338" spans="1:3" x14ac:dyDescent="0.2">
      <c r="A1338">
        <f>IF(ISERROR(VLOOKUP(C1338,Questions!$A$1:G$9999,7,0)),"",VLOOKUP(C1338,Questions!$A$1:G$9999,7,0))</f>
        <v>3</v>
      </c>
      <c r="B1338" s="17" t="str">
        <f t="shared" si="20"/>
        <v>Problem</v>
      </c>
      <c r="C1338" s="30" t="s">
        <v>732</v>
      </c>
    </row>
    <row r="1339" spans="1:3" x14ac:dyDescent="0.2">
      <c r="A1339" t="str">
        <f>IF(ISERROR(VLOOKUP(C1339,Questions!$A$1:G$9999,7,0)),"",VLOOKUP(C1339,Questions!$A$1:G$9999,7,0))</f>
        <v/>
      </c>
      <c r="B1339" s="17" t="str">
        <f t="shared" si="20"/>
        <v>Problem</v>
      </c>
      <c r="C1339" s="29" t="s">
        <v>779</v>
      </c>
    </row>
    <row r="1340" spans="1:3" x14ac:dyDescent="0.2">
      <c r="A1340">
        <f>IF(ISERROR(VLOOKUP(C1340,Questions!$A$1:G$9999,7,0)),"",VLOOKUP(C1340,Questions!$A$1:G$9999,7,0))</f>
        <v>3</v>
      </c>
      <c r="B1340" s="17" t="str">
        <f t="shared" ref="B1340:B1403" si="21">HYPERLINK("http://www.mrhosey.com/RPhys/" &amp; C1340 &amp; ".gif","Problem")</f>
        <v>Problem</v>
      </c>
      <c r="C1340" s="30" t="s">
        <v>1175</v>
      </c>
    </row>
    <row r="1341" spans="1:3" x14ac:dyDescent="0.2">
      <c r="A1341">
        <f>IF(ISERROR(VLOOKUP(C1341,Questions!$A$1:G$9999,7,0)),"",VLOOKUP(C1341,Questions!$A$1:G$9999,7,0))</f>
        <v>4</v>
      </c>
      <c r="B1341" s="17" t="str">
        <f t="shared" si="21"/>
        <v>Problem</v>
      </c>
      <c r="C1341" s="30" t="s">
        <v>1176</v>
      </c>
    </row>
    <row r="1342" spans="1:3" x14ac:dyDescent="0.2">
      <c r="A1342">
        <f>IF(ISERROR(VLOOKUP(C1342,Questions!$A$1:G$9999,7,0)),"",VLOOKUP(C1342,Questions!$A$1:G$9999,7,0))</f>
        <v>3</v>
      </c>
      <c r="B1342" s="17" t="str">
        <f t="shared" si="21"/>
        <v>Problem</v>
      </c>
      <c r="C1342" s="30" t="s">
        <v>1177</v>
      </c>
    </row>
    <row r="1343" spans="1:3" x14ac:dyDescent="0.2">
      <c r="A1343">
        <f>IF(ISERROR(VLOOKUP(C1343,Questions!$A$1:G$9999,7,0)),"",VLOOKUP(C1343,Questions!$A$1:G$9999,7,0))</f>
        <v>2</v>
      </c>
      <c r="B1343" s="17" t="str">
        <f t="shared" si="21"/>
        <v>Problem</v>
      </c>
      <c r="C1343" s="30" t="s">
        <v>1178</v>
      </c>
    </row>
    <row r="1344" spans="1:3" x14ac:dyDescent="0.2">
      <c r="A1344" t="str">
        <f>IF(ISERROR(VLOOKUP(C1344,Questions!$A$1:G$9999,7,0)),"",VLOOKUP(C1344,Questions!$A$1:G$9999,7,0))</f>
        <v/>
      </c>
      <c r="B1344" s="17" t="str">
        <f t="shared" si="21"/>
        <v>Problem</v>
      </c>
      <c r="C1344" s="29" t="s">
        <v>780</v>
      </c>
    </row>
    <row r="1345" spans="1:3" x14ac:dyDescent="0.2">
      <c r="A1345">
        <f>IF(ISERROR(VLOOKUP(C1345,Questions!$A$1:G$9999,7,0)),"",VLOOKUP(C1345,Questions!$A$1:G$9999,7,0))</f>
        <v>4</v>
      </c>
      <c r="B1345" s="17" t="str">
        <f t="shared" si="21"/>
        <v>Problem</v>
      </c>
      <c r="C1345" s="30" t="s">
        <v>1179</v>
      </c>
    </row>
    <row r="1346" spans="1:3" x14ac:dyDescent="0.2">
      <c r="A1346">
        <f>IF(ISERROR(VLOOKUP(C1346,Questions!$A$1:G$9999,7,0)),"",VLOOKUP(C1346,Questions!$A$1:G$9999,7,0))</f>
        <v>3</v>
      </c>
      <c r="B1346" s="17" t="str">
        <f t="shared" si="21"/>
        <v>Problem</v>
      </c>
      <c r="C1346" s="30" t="s">
        <v>1180</v>
      </c>
    </row>
    <row r="1347" spans="1:3" x14ac:dyDescent="0.2">
      <c r="A1347">
        <f>IF(ISERROR(VLOOKUP(C1347,Questions!$A$1:G$9999,7,0)),"",VLOOKUP(C1347,Questions!$A$1:G$9999,7,0))</f>
        <v>4</v>
      </c>
      <c r="B1347" s="17" t="str">
        <f t="shared" si="21"/>
        <v>Problem</v>
      </c>
      <c r="C1347" s="30" t="s">
        <v>1181</v>
      </c>
    </row>
    <row r="1348" spans="1:3" x14ac:dyDescent="0.2">
      <c r="A1348">
        <f>IF(ISERROR(VLOOKUP(C1348,Questions!$A$1:G$9999,7,0)),"",VLOOKUP(C1348,Questions!$A$1:G$9999,7,0))</f>
        <v>3</v>
      </c>
      <c r="B1348" s="17" t="str">
        <f t="shared" si="21"/>
        <v>Problem</v>
      </c>
      <c r="C1348" s="30" t="s">
        <v>1182</v>
      </c>
    </row>
    <row r="1349" spans="1:3" x14ac:dyDescent="0.2">
      <c r="A1349">
        <f>IF(ISERROR(VLOOKUP(C1349,Questions!$A$1:G$9999,7,0)),"",VLOOKUP(C1349,Questions!$A$1:G$9999,7,0))</f>
        <v>4</v>
      </c>
      <c r="B1349" s="17" t="str">
        <f t="shared" si="21"/>
        <v>Problem</v>
      </c>
      <c r="C1349" s="30" t="s">
        <v>1183</v>
      </c>
    </row>
    <row r="1350" spans="1:3" x14ac:dyDescent="0.2">
      <c r="A1350">
        <f>IF(ISERROR(VLOOKUP(C1350,Questions!$A$1:G$9999,7,0)),"",VLOOKUP(C1350,Questions!$A$1:G$9999,7,0))</f>
        <v>3</v>
      </c>
      <c r="B1350" s="17" t="str">
        <f t="shared" si="21"/>
        <v>Problem</v>
      </c>
      <c r="C1350" s="30" t="s">
        <v>1184</v>
      </c>
    </row>
    <row r="1351" spans="1:3" x14ac:dyDescent="0.2">
      <c r="A1351" t="str">
        <f>IF(ISERROR(VLOOKUP(C1351,Questions!$A$1:G$9999,7,0)),"",VLOOKUP(C1351,Questions!$A$1:G$9999,7,0))</f>
        <v/>
      </c>
      <c r="B1351" s="17" t="str">
        <f t="shared" si="21"/>
        <v>Problem</v>
      </c>
      <c r="C1351" s="29" t="s">
        <v>781</v>
      </c>
    </row>
    <row r="1352" spans="1:3" x14ac:dyDescent="0.2">
      <c r="A1352">
        <f>IF(ISERROR(VLOOKUP(C1352,Questions!$A$1:G$9999,7,0)),"",VLOOKUP(C1352,Questions!$A$1:G$9999,7,0))</f>
        <v>4</v>
      </c>
      <c r="B1352" s="17" t="str">
        <f t="shared" si="21"/>
        <v>Problem</v>
      </c>
      <c r="C1352" s="30" t="s">
        <v>1185</v>
      </c>
    </row>
    <row r="1353" spans="1:3" x14ac:dyDescent="0.2">
      <c r="A1353">
        <f>IF(ISERROR(VLOOKUP(C1353,Questions!$A$1:G$9999,7,0)),"",VLOOKUP(C1353,Questions!$A$1:G$9999,7,0))</f>
        <v>3</v>
      </c>
      <c r="B1353" s="17" t="str">
        <f t="shared" si="21"/>
        <v>Problem</v>
      </c>
      <c r="C1353" s="30" t="s">
        <v>1186</v>
      </c>
    </row>
    <row r="1354" spans="1:3" x14ac:dyDescent="0.2">
      <c r="A1354">
        <f>IF(ISERROR(VLOOKUP(C1354,Questions!$A$1:G$9999,7,0)),"",VLOOKUP(C1354,Questions!$A$1:G$9999,7,0))</f>
        <v>4</v>
      </c>
      <c r="B1354" s="17" t="str">
        <f t="shared" si="21"/>
        <v>Problem</v>
      </c>
      <c r="C1354" s="30" t="s">
        <v>1187</v>
      </c>
    </row>
    <row r="1355" spans="1:3" x14ac:dyDescent="0.2">
      <c r="A1355">
        <f>IF(ISERROR(VLOOKUP(C1355,Questions!$A$1:G$9999,7,0)),"",VLOOKUP(C1355,Questions!$A$1:G$9999,7,0))</f>
        <v>3</v>
      </c>
      <c r="B1355" s="17" t="str">
        <f t="shared" si="21"/>
        <v>Problem</v>
      </c>
      <c r="C1355" s="30" t="s">
        <v>1188</v>
      </c>
    </row>
    <row r="1356" spans="1:3" x14ac:dyDescent="0.2">
      <c r="A1356" t="str">
        <f>IF(ISERROR(VLOOKUP(C1356,Questions!$A$1:G$9999,7,0)),"",VLOOKUP(C1356,Questions!$A$1:G$9999,7,0))</f>
        <v/>
      </c>
      <c r="B1356" s="17" t="str">
        <f t="shared" si="21"/>
        <v>Problem</v>
      </c>
      <c r="C1356" s="29" t="s">
        <v>826</v>
      </c>
    </row>
    <row r="1357" spans="1:3" x14ac:dyDescent="0.2">
      <c r="A1357">
        <f>IF(ISERROR(VLOOKUP(C1357,Questions!$A$1:G$9999,7,0)),"",VLOOKUP(C1357,Questions!$A$1:G$9999,7,0))</f>
        <v>3</v>
      </c>
      <c r="B1357" s="17" t="str">
        <f t="shared" si="21"/>
        <v>Problem</v>
      </c>
      <c r="C1357" s="30" t="s">
        <v>1189</v>
      </c>
    </row>
    <row r="1358" spans="1:3" x14ac:dyDescent="0.2">
      <c r="A1358">
        <f>IF(ISERROR(VLOOKUP(C1358,Questions!$A$1:G$9999,7,0)),"",VLOOKUP(C1358,Questions!$A$1:G$9999,7,0))</f>
        <v>4</v>
      </c>
      <c r="B1358" s="17" t="str">
        <f t="shared" si="21"/>
        <v>Problem</v>
      </c>
      <c r="C1358" s="30" t="s">
        <v>1190</v>
      </c>
    </row>
    <row r="1359" spans="1:3" x14ac:dyDescent="0.2">
      <c r="A1359">
        <f>IF(ISERROR(VLOOKUP(C1359,Questions!$A$1:G$9999,7,0)),"",VLOOKUP(C1359,Questions!$A$1:G$9999,7,0))</f>
        <v>3</v>
      </c>
      <c r="B1359" s="17" t="str">
        <f t="shared" si="21"/>
        <v>Problem</v>
      </c>
      <c r="C1359" s="30" t="s">
        <v>1191</v>
      </c>
    </row>
    <row r="1360" spans="1:3" x14ac:dyDescent="0.2">
      <c r="A1360">
        <f>IF(ISERROR(VLOOKUP(C1360,Questions!$A$1:G$9999,7,0)),"",VLOOKUP(C1360,Questions!$A$1:G$9999,7,0))</f>
        <v>1</v>
      </c>
      <c r="B1360" s="17" t="str">
        <f t="shared" si="21"/>
        <v>Problem</v>
      </c>
      <c r="C1360" s="30" t="s">
        <v>1192</v>
      </c>
    </row>
    <row r="1361" spans="1:3" x14ac:dyDescent="0.2">
      <c r="A1361">
        <f>IF(ISERROR(VLOOKUP(C1361,Questions!$A$1:G$9999,7,0)),"",VLOOKUP(C1361,Questions!$A$1:G$9999,7,0))</f>
        <v>1</v>
      </c>
      <c r="B1361" s="17" t="str">
        <f t="shared" si="21"/>
        <v>Problem</v>
      </c>
      <c r="C1361" s="30" t="s">
        <v>1193</v>
      </c>
    </row>
    <row r="1362" spans="1:3" x14ac:dyDescent="0.2">
      <c r="A1362">
        <f>IF(ISERROR(VLOOKUP(C1362,Questions!$A$1:G$9999,7,0)),"",VLOOKUP(C1362,Questions!$A$1:G$9999,7,0))</f>
        <v>2</v>
      </c>
      <c r="B1362" s="17" t="str">
        <f t="shared" si="21"/>
        <v>Problem</v>
      </c>
      <c r="C1362" s="30" t="s">
        <v>776</v>
      </c>
    </row>
    <row r="1363" spans="1:3" x14ac:dyDescent="0.2">
      <c r="A1363" t="str">
        <f>IF(ISERROR(VLOOKUP(C1363,Questions!$A$1:G$9999,7,0)),"",VLOOKUP(C1363,Questions!$A$1:G$9999,7,0))</f>
        <v/>
      </c>
      <c r="B1363" s="17" t="str">
        <f t="shared" si="21"/>
        <v>Problem</v>
      </c>
      <c r="C1363" s="29" t="s">
        <v>1195</v>
      </c>
    </row>
    <row r="1364" spans="1:3" x14ac:dyDescent="0.2">
      <c r="A1364">
        <f>IF(ISERROR(VLOOKUP(C1364,Questions!$A$1:G$9999,7,0)),"",VLOOKUP(C1364,Questions!$A$1:G$9999,7,0))</f>
        <v>1</v>
      </c>
      <c r="B1364" s="17" t="str">
        <f t="shared" si="21"/>
        <v>Problem</v>
      </c>
      <c r="C1364" s="30" t="s">
        <v>1241</v>
      </c>
    </row>
    <row r="1365" spans="1:3" x14ac:dyDescent="0.2">
      <c r="A1365">
        <f>IF(ISERROR(VLOOKUP(C1365,Questions!$A$1:G$9999,7,0)),"",VLOOKUP(C1365,Questions!$A$1:G$9999,7,0))</f>
        <v>4</v>
      </c>
      <c r="B1365" s="17" t="str">
        <f t="shared" si="21"/>
        <v>Problem</v>
      </c>
      <c r="C1365" s="30" t="s">
        <v>1242</v>
      </c>
    </row>
    <row r="1366" spans="1:3" x14ac:dyDescent="0.2">
      <c r="A1366">
        <f>IF(ISERROR(VLOOKUP(C1366,Questions!$A$1:G$9999,7,0)),"",VLOOKUP(C1366,Questions!$A$1:G$9999,7,0))</f>
        <v>1</v>
      </c>
      <c r="B1366" s="17" t="str">
        <f t="shared" si="21"/>
        <v>Problem</v>
      </c>
      <c r="C1366" s="30" t="s">
        <v>1243</v>
      </c>
    </row>
    <row r="1367" spans="1:3" x14ac:dyDescent="0.2">
      <c r="A1367">
        <f>IF(ISERROR(VLOOKUP(C1367,Questions!$A$1:G$9999,7,0)),"",VLOOKUP(C1367,Questions!$A$1:G$9999,7,0))</f>
        <v>2</v>
      </c>
      <c r="B1367" s="17" t="str">
        <f t="shared" si="21"/>
        <v>Problem</v>
      </c>
      <c r="C1367" s="30" t="s">
        <v>1244</v>
      </c>
    </row>
    <row r="1368" spans="1:3" x14ac:dyDescent="0.2">
      <c r="A1368">
        <f>IF(ISERROR(VLOOKUP(C1368,Questions!$A$1:G$9999,7,0)),"",VLOOKUP(C1368,Questions!$A$1:G$9999,7,0))</f>
        <v>3</v>
      </c>
      <c r="B1368" s="17" t="str">
        <f t="shared" si="21"/>
        <v>Problem</v>
      </c>
      <c r="C1368" s="30" t="s">
        <v>1245</v>
      </c>
    </row>
    <row r="1369" spans="1:3" x14ac:dyDescent="0.2">
      <c r="A1369" t="str">
        <f>IF(ISERROR(VLOOKUP(C1369,Questions!$A$1:G$9999,7,0)),"",VLOOKUP(C1369,Questions!$A$1:G$9999,7,0))</f>
        <v/>
      </c>
      <c r="B1369" s="17" t="str">
        <f t="shared" si="21"/>
        <v>Problem</v>
      </c>
      <c r="C1369" s="12" t="s">
        <v>1194</v>
      </c>
    </row>
    <row r="1370" spans="1:3" x14ac:dyDescent="0.2">
      <c r="A1370" t="str">
        <f>IF(ISERROR(VLOOKUP(C1370,Questions!$A$1:G$9999,7,0)),"",VLOOKUP(C1370,Questions!$A$1:G$9999,7,0))</f>
        <v/>
      </c>
      <c r="B1370" s="17" t="str">
        <f t="shared" si="21"/>
        <v>Problem</v>
      </c>
      <c r="C1370" s="29" t="s">
        <v>1194</v>
      </c>
    </row>
    <row r="1371" spans="1:3" x14ac:dyDescent="0.2">
      <c r="A1371" t="str">
        <f>IF(ISERROR(VLOOKUP(C1371,Questions!$A$1:G$9999,7,0)),"",VLOOKUP(C1371,Questions!$A$1:G$9999,7,0))</f>
        <v/>
      </c>
      <c r="B1371" s="17" t="str">
        <f t="shared" si="21"/>
        <v>Problem</v>
      </c>
      <c r="C1371" s="30" t="s">
        <v>1194</v>
      </c>
    </row>
    <row r="1372" spans="1:3" x14ac:dyDescent="0.2">
      <c r="A1372" t="str">
        <f>IF(ISERROR(VLOOKUP(C1372,Questions!$A$1:G$9999,7,0)),"",VLOOKUP(C1372,Questions!$A$1:G$9999,7,0))</f>
        <v/>
      </c>
      <c r="B1372" s="17" t="str">
        <f t="shared" si="21"/>
        <v>Problem</v>
      </c>
      <c r="C1372" s="12" t="s">
        <v>763</v>
      </c>
    </row>
    <row r="1373" spans="1:3" x14ac:dyDescent="0.2">
      <c r="A1373" t="str">
        <f>IF(ISERROR(VLOOKUP(C1373,Questions!$A$1:G$9999,7,0)),"",VLOOKUP(C1373,Questions!$A$1:G$9999,7,0))</f>
        <v/>
      </c>
      <c r="B1373" s="17" t="str">
        <f t="shared" si="21"/>
        <v>Problem</v>
      </c>
    </row>
    <row r="1374" spans="1:3" x14ac:dyDescent="0.2">
      <c r="A1374" t="str">
        <f>IF(ISERROR(VLOOKUP(C1374,Questions!$A$1:G$9999,7,0)),"",VLOOKUP(C1374,Questions!$A$1:G$9999,7,0))</f>
        <v/>
      </c>
      <c r="B1374" s="17" t="str">
        <f t="shared" si="21"/>
        <v>Problem</v>
      </c>
    </row>
    <row r="1375" spans="1:3" x14ac:dyDescent="0.2">
      <c r="A1375" t="str">
        <f>IF(ISERROR(VLOOKUP(C1375,Questions!$A$1:G$9999,7,0)),"",VLOOKUP(C1375,Questions!$A$1:G$9999,7,0))</f>
        <v/>
      </c>
      <c r="B1375" s="17" t="str">
        <f t="shared" si="21"/>
        <v>Problem</v>
      </c>
    </row>
    <row r="1376" spans="1:3" x14ac:dyDescent="0.2">
      <c r="A1376" t="str">
        <f>IF(ISERROR(VLOOKUP(C1376,Questions!$A$1:G$9999,7,0)),"",VLOOKUP(C1376,Questions!$A$1:G$9999,7,0))</f>
        <v/>
      </c>
      <c r="B1376" s="17" t="str">
        <f t="shared" si="21"/>
        <v>Problem</v>
      </c>
    </row>
    <row r="1377" spans="1:2" x14ac:dyDescent="0.2">
      <c r="A1377" t="str">
        <f>IF(ISERROR(VLOOKUP(C1377,Questions!$A$1:G$9999,7,0)),"",VLOOKUP(C1377,Questions!$A$1:G$9999,7,0))</f>
        <v/>
      </c>
      <c r="B1377" s="17" t="str">
        <f t="shared" si="21"/>
        <v>Problem</v>
      </c>
    </row>
    <row r="1378" spans="1:2" x14ac:dyDescent="0.2">
      <c r="A1378" t="str">
        <f>IF(ISERROR(VLOOKUP(C1378,Questions!$A$1:G$9999,7,0)),"",VLOOKUP(C1378,Questions!$A$1:G$9999,7,0))</f>
        <v/>
      </c>
      <c r="B1378" s="17" t="str">
        <f t="shared" si="21"/>
        <v>Problem</v>
      </c>
    </row>
    <row r="1379" spans="1:2" x14ac:dyDescent="0.2">
      <c r="A1379" t="str">
        <f>IF(ISERROR(VLOOKUP(C1379,Questions!$A$1:G$9999,7,0)),"",VLOOKUP(C1379,Questions!$A$1:G$9999,7,0))</f>
        <v/>
      </c>
      <c r="B1379" s="17" t="str">
        <f t="shared" si="21"/>
        <v>Problem</v>
      </c>
    </row>
    <row r="1380" spans="1:2" x14ac:dyDescent="0.2">
      <c r="A1380" t="str">
        <f>IF(ISERROR(VLOOKUP(C1380,Questions!$A$1:G$9999,7,0)),"",VLOOKUP(C1380,Questions!$A$1:G$9999,7,0))</f>
        <v/>
      </c>
      <c r="B1380" s="17" t="str">
        <f t="shared" si="21"/>
        <v>Problem</v>
      </c>
    </row>
    <row r="1381" spans="1:2" x14ac:dyDescent="0.2">
      <c r="A1381" t="str">
        <f>IF(ISERROR(VLOOKUP(C1381,Questions!$A$1:G$9999,7,0)),"",VLOOKUP(C1381,Questions!$A$1:G$9999,7,0))</f>
        <v/>
      </c>
      <c r="B1381" s="17" t="str">
        <f t="shared" si="21"/>
        <v>Problem</v>
      </c>
    </row>
    <row r="1382" spans="1:2" x14ac:dyDescent="0.2">
      <c r="A1382" t="str">
        <f>IF(ISERROR(VLOOKUP(C1382,Questions!$A$1:G$9999,7,0)),"",VLOOKUP(C1382,Questions!$A$1:G$9999,7,0))</f>
        <v/>
      </c>
      <c r="B1382" s="17" t="str">
        <f t="shared" si="21"/>
        <v>Problem</v>
      </c>
    </row>
    <row r="1383" spans="1:2" x14ac:dyDescent="0.2">
      <c r="A1383" t="str">
        <f>IF(ISERROR(VLOOKUP(C1383,Questions!$A$1:G$9999,7,0)),"",VLOOKUP(C1383,Questions!$A$1:G$9999,7,0))</f>
        <v/>
      </c>
      <c r="B1383" s="17" t="str">
        <f t="shared" si="21"/>
        <v>Problem</v>
      </c>
    </row>
    <row r="1384" spans="1:2" x14ac:dyDescent="0.2">
      <c r="A1384" t="str">
        <f>IF(ISERROR(VLOOKUP(C1384,Questions!$A$1:G$9999,7,0)),"",VLOOKUP(C1384,Questions!$A$1:G$9999,7,0))</f>
        <v/>
      </c>
      <c r="B1384" s="17" t="str">
        <f t="shared" si="21"/>
        <v>Problem</v>
      </c>
    </row>
    <row r="1385" spans="1:2" x14ac:dyDescent="0.2">
      <c r="A1385" t="str">
        <f>IF(ISERROR(VLOOKUP(C1385,Questions!$A$1:G$9999,7,0)),"",VLOOKUP(C1385,Questions!$A$1:G$9999,7,0))</f>
        <v/>
      </c>
      <c r="B1385" s="17" t="str">
        <f t="shared" si="21"/>
        <v>Problem</v>
      </c>
    </row>
    <row r="1386" spans="1:2" x14ac:dyDescent="0.2">
      <c r="A1386" t="str">
        <f>IF(ISERROR(VLOOKUP(C1386,Questions!$A$1:G$9999,7,0)),"",VLOOKUP(C1386,Questions!$A$1:G$9999,7,0))</f>
        <v/>
      </c>
      <c r="B1386" s="17" t="str">
        <f t="shared" si="21"/>
        <v>Problem</v>
      </c>
    </row>
    <row r="1387" spans="1:2" x14ac:dyDescent="0.2">
      <c r="A1387" t="str">
        <f>IF(ISERROR(VLOOKUP(C1387,Questions!$A$1:G$9999,7,0)),"",VLOOKUP(C1387,Questions!$A$1:G$9999,7,0))</f>
        <v/>
      </c>
      <c r="B1387" s="17" t="str">
        <f t="shared" si="21"/>
        <v>Problem</v>
      </c>
    </row>
    <row r="1388" spans="1:2" x14ac:dyDescent="0.2">
      <c r="A1388" t="str">
        <f>IF(ISERROR(VLOOKUP(C1388,Questions!$A$1:G$9999,7,0)),"",VLOOKUP(C1388,Questions!$A$1:G$9999,7,0))</f>
        <v/>
      </c>
      <c r="B1388" s="17" t="str">
        <f t="shared" si="21"/>
        <v>Problem</v>
      </c>
    </row>
    <row r="1389" spans="1:2" x14ac:dyDescent="0.2">
      <c r="A1389" t="str">
        <f>IF(ISERROR(VLOOKUP(C1389,Questions!$A$1:G$9999,7,0)),"",VLOOKUP(C1389,Questions!$A$1:G$9999,7,0))</f>
        <v/>
      </c>
      <c r="B1389" s="17" t="str">
        <f t="shared" si="21"/>
        <v>Problem</v>
      </c>
    </row>
    <row r="1390" spans="1:2" x14ac:dyDescent="0.2">
      <c r="A1390" t="str">
        <f>IF(ISERROR(VLOOKUP(C1390,Questions!$A$1:G$9999,7,0)),"",VLOOKUP(C1390,Questions!$A$1:G$9999,7,0))</f>
        <v/>
      </c>
      <c r="B1390" s="17" t="str">
        <f t="shared" si="21"/>
        <v>Problem</v>
      </c>
    </row>
    <row r="1391" spans="1:2" x14ac:dyDescent="0.2">
      <c r="A1391" t="str">
        <f>IF(ISERROR(VLOOKUP(C1391,Questions!$A$1:G$9999,7,0)),"",VLOOKUP(C1391,Questions!$A$1:G$9999,7,0))</f>
        <v/>
      </c>
      <c r="B1391" s="17" t="str">
        <f t="shared" si="21"/>
        <v>Problem</v>
      </c>
    </row>
    <row r="1392" spans="1:2" x14ac:dyDescent="0.2">
      <c r="A1392" t="str">
        <f>IF(ISERROR(VLOOKUP(C1392,Questions!$A$1:G$9999,7,0)),"",VLOOKUP(C1392,Questions!$A$1:G$9999,7,0))</f>
        <v/>
      </c>
      <c r="B1392" s="17" t="str">
        <f t="shared" si="21"/>
        <v>Problem</v>
      </c>
    </row>
    <row r="1393" spans="1:2" x14ac:dyDescent="0.2">
      <c r="A1393" t="str">
        <f>IF(ISERROR(VLOOKUP(C1393,Questions!$A$1:G$9999,7,0)),"",VLOOKUP(C1393,Questions!$A$1:G$9999,7,0))</f>
        <v/>
      </c>
      <c r="B1393" s="17" t="str">
        <f t="shared" si="21"/>
        <v>Problem</v>
      </c>
    </row>
    <row r="1394" spans="1:2" x14ac:dyDescent="0.2">
      <c r="A1394" t="str">
        <f>IF(ISERROR(VLOOKUP(C1394,Questions!$A$1:G$9999,7,0)),"",VLOOKUP(C1394,Questions!$A$1:G$9999,7,0))</f>
        <v/>
      </c>
      <c r="B1394" s="17" t="str">
        <f t="shared" si="21"/>
        <v>Problem</v>
      </c>
    </row>
    <row r="1395" spans="1:2" x14ac:dyDescent="0.2">
      <c r="A1395" t="str">
        <f>IF(ISERROR(VLOOKUP(C1395,Questions!$A$1:G$9999,7,0)),"",VLOOKUP(C1395,Questions!$A$1:G$9999,7,0))</f>
        <v/>
      </c>
      <c r="B1395" s="17" t="str">
        <f t="shared" si="21"/>
        <v>Problem</v>
      </c>
    </row>
    <row r="1396" spans="1:2" x14ac:dyDescent="0.2">
      <c r="A1396" t="str">
        <f>IF(ISERROR(VLOOKUP(C1396,Questions!$A$1:G$9999,7,0)),"",VLOOKUP(C1396,Questions!$A$1:G$9999,7,0))</f>
        <v/>
      </c>
      <c r="B1396" s="17" t="str">
        <f t="shared" si="21"/>
        <v>Problem</v>
      </c>
    </row>
    <row r="1397" spans="1:2" x14ac:dyDescent="0.2">
      <c r="A1397" t="str">
        <f>IF(ISERROR(VLOOKUP(C1397,Questions!$A$1:G$9999,7,0)),"",VLOOKUP(C1397,Questions!$A$1:G$9999,7,0))</f>
        <v/>
      </c>
      <c r="B1397" s="17" t="str">
        <f t="shared" si="21"/>
        <v>Problem</v>
      </c>
    </row>
    <row r="1398" spans="1:2" x14ac:dyDescent="0.2">
      <c r="A1398" t="str">
        <f>IF(ISERROR(VLOOKUP(C1398,Questions!$A$1:G$9999,7,0)),"",VLOOKUP(C1398,Questions!$A$1:G$9999,7,0))</f>
        <v/>
      </c>
      <c r="B1398" s="17" t="str">
        <f t="shared" si="21"/>
        <v>Problem</v>
      </c>
    </row>
    <row r="1399" spans="1:2" x14ac:dyDescent="0.2">
      <c r="A1399" t="str">
        <f>IF(ISERROR(VLOOKUP(C1399,Questions!$A$1:G$9999,7,0)),"",VLOOKUP(C1399,Questions!$A$1:G$9999,7,0))</f>
        <v/>
      </c>
      <c r="B1399" s="17" t="str">
        <f t="shared" si="21"/>
        <v>Problem</v>
      </c>
    </row>
    <row r="1400" spans="1:2" x14ac:dyDescent="0.2">
      <c r="A1400" t="str">
        <f>IF(ISERROR(VLOOKUP(C1400,Questions!$A$1:G$9999,7,0)),"",VLOOKUP(C1400,Questions!$A$1:G$9999,7,0))</f>
        <v/>
      </c>
      <c r="B1400" s="17" t="str">
        <f t="shared" si="21"/>
        <v>Problem</v>
      </c>
    </row>
    <row r="1401" spans="1:2" x14ac:dyDescent="0.2">
      <c r="A1401" t="str">
        <f>IF(ISERROR(VLOOKUP(C1401,Questions!$A$1:G$9999,7,0)),"",VLOOKUP(C1401,Questions!$A$1:G$9999,7,0))</f>
        <v/>
      </c>
      <c r="B1401" s="17" t="str">
        <f t="shared" si="21"/>
        <v>Problem</v>
      </c>
    </row>
    <row r="1402" spans="1:2" x14ac:dyDescent="0.2">
      <c r="A1402" t="str">
        <f>IF(ISERROR(VLOOKUP(C1402,Questions!$A$1:G$9999,7,0)),"",VLOOKUP(C1402,Questions!$A$1:G$9999,7,0))</f>
        <v/>
      </c>
      <c r="B1402" s="17" t="str">
        <f t="shared" si="21"/>
        <v>Problem</v>
      </c>
    </row>
    <row r="1403" spans="1:2" x14ac:dyDescent="0.2">
      <c r="A1403" t="str">
        <f>IF(ISERROR(VLOOKUP(C1403,Questions!$A$1:G$9999,7,0)),"",VLOOKUP(C1403,Questions!$A$1:G$9999,7,0))</f>
        <v/>
      </c>
      <c r="B1403" s="17" t="str">
        <f t="shared" si="21"/>
        <v>Problem</v>
      </c>
    </row>
    <row r="1404" spans="1:2" x14ac:dyDescent="0.2">
      <c r="A1404" t="str">
        <f>IF(ISERROR(VLOOKUP(C1404,Questions!$A$1:G$9999,7,0)),"",VLOOKUP(C1404,Questions!$A$1:G$9999,7,0))</f>
        <v/>
      </c>
      <c r="B1404" s="17" t="str">
        <f t="shared" ref="B1404:B1467" si="22">HYPERLINK("http://www.mrhosey.com/RPhys/" &amp; C1404 &amp; ".gif","Problem")</f>
        <v>Problem</v>
      </c>
    </row>
    <row r="1405" spans="1:2" x14ac:dyDescent="0.2">
      <c r="A1405" t="str">
        <f>IF(ISERROR(VLOOKUP(C1405,Questions!$A$1:G$9999,7,0)),"",VLOOKUP(C1405,Questions!$A$1:G$9999,7,0))</f>
        <v/>
      </c>
      <c r="B1405" s="17" t="str">
        <f t="shared" si="22"/>
        <v>Problem</v>
      </c>
    </row>
    <row r="1406" spans="1:2" x14ac:dyDescent="0.2">
      <c r="A1406" t="str">
        <f>IF(ISERROR(VLOOKUP(C1406,Questions!$A$1:G$9999,7,0)),"",VLOOKUP(C1406,Questions!$A$1:G$9999,7,0))</f>
        <v/>
      </c>
      <c r="B1406" s="17" t="str">
        <f t="shared" si="22"/>
        <v>Problem</v>
      </c>
    </row>
    <row r="1407" spans="1:2" x14ac:dyDescent="0.2">
      <c r="A1407" t="str">
        <f>IF(ISERROR(VLOOKUP(C1407,Questions!$A$1:G$9999,7,0)),"",VLOOKUP(C1407,Questions!$A$1:G$9999,7,0))</f>
        <v/>
      </c>
      <c r="B1407" s="17" t="str">
        <f t="shared" si="22"/>
        <v>Problem</v>
      </c>
    </row>
    <row r="1408" spans="1:2" x14ac:dyDescent="0.2">
      <c r="A1408" t="str">
        <f>IF(ISERROR(VLOOKUP(C1408,Questions!$A$1:G$9999,7,0)),"",VLOOKUP(C1408,Questions!$A$1:G$9999,7,0))</f>
        <v/>
      </c>
      <c r="B1408" s="17" t="str">
        <f t="shared" si="22"/>
        <v>Problem</v>
      </c>
    </row>
    <row r="1409" spans="1:2" x14ac:dyDescent="0.2">
      <c r="A1409" t="str">
        <f>IF(ISERROR(VLOOKUP(C1409,Questions!$A$1:G$9999,7,0)),"",VLOOKUP(C1409,Questions!$A$1:G$9999,7,0))</f>
        <v/>
      </c>
      <c r="B1409" s="17" t="str">
        <f t="shared" si="22"/>
        <v>Problem</v>
      </c>
    </row>
    <row r="1410" spans="1:2" x14ac:dyDescent="0.2">
      <c r="A1410" t="str">
        <f>IF(ISERROR(VLOOKUP(C1410,Questions!$A$1:G$9999,7,0)),"",VLOOKUP(C1410,Questions!$A$1:G$9999,7,0))</f>
        <v/>
      </c>
      <c r="B1410" s="17" t="str">
        <f t="shared" si="22"/>
        <v>Problem</v>
      </c>
    </row>
    <row r="1411" spans="1:2" x14ac:dyDescent="0.2">
      <c r="A1411" t="str">
        <f>IF(ISERROR(VLOOKUP(C1411,Questions!$A$1:G$9999,7,0)),"",VLOOKUP(C1411,Questions!$A$1:G$9999,7,0))</f>
        <v/>
      </c>
      <c r="B1411" s="17" t="str">
        <f t="shared" si="22"/>
        <v>Problem</v>
      </c>
    </row>
    <row r="1412" spans="1:2" x14ac:dyDescent="0.2">
      <c r="A1412" t="str">
        <f>IF(ISERROR(VLOOKUP(C1412,Questions!$A$1:G$9999,7,0)),"",VLOOKUP(C1412,Questions!$A$1:G$9999,7,0))</f>
        <v/>
      </c>
      <c r="B1412" s="17" t="str">
        <f t="shared" si="22"/>
        <v>Problem</v>
      </c>
    </row>
    <row r="1413" spans="1:2" x14ac:dyDescent="0.2">
      <c r="A1413" t="str">
        <f>IF(ISERROR(VLOOKUP(C1413,Questions!$A$1:G$9999,7,0)),"",VLOOKUP(C1413,Questions!$A$1:G$9999,7,0))</f>
        <v/>
      </c>
      <c r="B1413" s="17" t="str">
        <f t="shared" si="22"/>
        <v>Problem</v>
      </c>
    </row>
    <row r="1414" spans="1:2" x14ac:dyDescent="0.2">
      <c r="A1414" t="str">
        <f>IF(ISERROR(VLOOKUP(C1414,Questions!$A$1:G$9999,7,0)),"",VLOOKUP(C1414,Questions!$A$1:G$9999,7,0))</f>
        <v/>
      </c>
      <c r="B1414" s="17" t="str">
        <f t="shared" si="22"/>
        <v>Problem</v>
      </c>
    </row>
    <row r="1415" spans="1:2" x14ac:dyDescent="0.2">
      <c r="A1415" t="str">
        <f>IF(ISERROR(VLOOKUP(C1415,Questions!$A$1:G$9999,7,0)),"",VLOOKUP(C1415,Questions!$A$1:G$9999,7,0))</f>
        <v/>
      </c>
      <c r="B1415" s="17" t="str">
        <f t="shared" si="22"/>
        <v>Problem</v>
      </c>
    </row>
    <row r="1416" spans="1:2" x14ac:dyDescent="0.2">
      <c r="A1416" t="str">
        <f>IF(ISERROR(VLOOKUP(C1416,Questions!$A$1:G$9999,7,0)),"",VLOOKUP(C1416,Questions!$A$1:G$9999,7,0))</f>
        <v/>
      </c>
      <c r="B1416" s="17" t="str">
        <f t="shared" si="22"/>
        <v>Problem</v>
      </c>
    </row>
    <row r="1417" spans="1:2" x14ac:dyDescent="0.2">
      <c r="A1417" t="str">
        <f>IF(ISERROR(VLOOKUP(C1417,Questions!$A$1:G$9999,7,0)),"",VLOOKUP(C1417,Questions!$A$1:G$9999,7,0))</f>
        <v/>
      </c>
      <c r="B1417" s="17" t="str">
        <f t="shared" si="22"/>
        <v>Problem</v>
      </c>
    </row>
    <row r="1418" spans="1:2" x14ac:dyDescent="0.2">
      <c r="A1418" t="str">
        <f>IF(ISERROR(VLOOKUP(C1418,Questions!$A$1:G$9999,7,0)),"",VLOOKUP(C1418,Questions!$A$1:G$9999,7,0))</f>
        <v/>
      </c>
      <c r="B1418" s="17" t="str">
        <f t="shared" si="22"/>
        <v>Problem</v>
      </c>
    </row>
    <row r="1419" spans="1:2" x14ac:dyDescent="0.2">
      <c r="A1419" t="str">
        <f>IF(ISERROR(VLOOKUP(C1419,Questions!$A$1:G$9999,7,0)),"",VLOOKUP(C1419,Questions!$A$1:G$9999,7,0))</f>
        <v/>
      </c>
      <c r="B1419" s="17" t="str">
        <f t="shared" si="22"/>
        <v>Problem</v>
      </c>
    </row>
    <row r="1420" spans="1:2" x14ac:dyDescent="0.2">
      <c r="A1420" t="str">
        <f>IF(ISERROR(VLOOKUP(C1420,Questions!$A$1:G$9999,7,0)),"",VLOOKUP(C1420,Questions!$A$1:G$9999,7,0))</f>
        <v/>
      </c>
      <c r="B1420" s="17" t="str">
        <f t="shared" si="22"/>
        <v>Problem</v>
      </c>
    </row>
    <row r="1421" spans="1:2" x14ac:dyDescent="0.2">
      <c r="A1421" t="str">
        <f>IF(ISERROR(VLOOKUP(C1421,Questions!$A$1:G$9999,7,0)),"",VLOOKUP(C1421,Questions!$A$1:G$9999,7,0))</f>
        <v/>
      </c>
      <c r="B1421" s="17" t="str">
        <f t="shared" si="22"/>
        <v>Problem</v>
      </c>
    </row>
    <row r="1422" spans="1:2" x14ac:dyDescent="0.2">
      <c r="A1422" t="str">
        <f>IF(ISERROR(VLOOKUP(C1422,Questions!$A$1:G$9999,7,0)),"",VLOOKUP(C1422,Questions!$A$1:G$9999,7,0))</f>
        <v/>
      </c>
      <c r="B1422" s="17" t="str">
        <f t="shared" si="22"/>
        <v>Problem</v>
      </c>
    </row>
    <row r="1423" spans="1:2" x14ac:dyDescent="0.2">
      <c r="A1423" t="str">
        <f>IF(ISERROR(VLOOKUP(C1423,Questions!$A$1:G$9999,7,0)),"",VLOOKUP(C1423,Questions!$A$1:G$9999,7,0))</f>
        <v/>
      </c>
      <c r="B1423" s="17" t="str">
        <f t="shared" si="22"/>
        <v>Problem</v>
      </c>
    </row>
    <row r="1424" spans="1:2" x14ac:dyDescent="0.2">
      <c r="A1424" t="str">
        <f>IF(ISERROR(VLOOKUP(C1424,Questions!$A$1:G$9999,7,0)),"",VLOOKUP(C1424,Questions!$A$1:G$9999,7,0))</f>
        <v/>
      </c>
      <c r="B1424" s="17" t="str">
        <f t="shared" si="22"/>
        <v>Problem</v>
      </c>
    </row>
    <row r="1425" spans="1:2" x14ac:dyDescent="0.2">
      <c r="A1425" t="str">
        <f>IF(ISERROR(VLOOKUP(C1425,Questions!$A$1:G$9999,7,0)),"",VLOOKUP(C1425,Questions!$A$1:G$9999,7,0))</f>
        <v/>
      </c>
      <c r="B1425" s="17" t="str">
        <f t="shared" si="22"/>
        <v>Problem</v>
      </c>
    </row>
    <row r="1426" spans="1:2" x14ac:dyDescent="0.2">
      <c r="A1426" t="str">
        <f>IF(ISERROR(VLOOKUP(C1426,Questions!$A$1:G$9999,7,0)),"",VLOOKUP(C1426,Questions!$A$1:G$9999,7,0))</f>
        <v/>
      </c>
      <c r="B1426" s="17" t="str">
        <f t="shared" si="22"/>
        <v>Problem</v>
      </c>
    </row>
    <row r="1427" spans="1:2" x14ac:dyDescent="0.2">
      <c r="A1427" t="str">
        <f>IF(ISERROR(VLOOKUP(C1427,Questions!$A$1:G$9999,7,0)),"",VLOOKUP(C1427,Questions!$A$1:G$9999,7,0))</f>
        <v/>
      </c>
      <c r="B1427" s="17" t="str">
        <f t="shared" si="22"/>
        <v>Problem</v>
      </c>
    </row>
    <row r="1428" spans="1:2" x14ac:dyDescent="0.2">
      <c r="A1428" t="str">
        <f>IF(ISERROR(VLOOKUP(C1428,Questions!$A$1:G$9999,7,0)),"",VLOOKUP(C1428,Questions!$A$1:G$9999,7,0))</f>
        <v/>
      </c>
      <c r="B1428" s="17" t="str">
        <f t="shared" si="22"/>
        <v>Problem</v>
      </c>
    </row>
    <row r="1429" spans="1:2" x14ac:dyDescent="0.2">
      <c r="A1429" t="str">
        <f>IF(ISERROR(VLOOKUP(C1429,Questions!$A$1:G$9999,7,0)),"",VLOOKUP(C1429,Questions!$A$1:G$9999,7,0))</f>
        <v/>
      </c>
      <c r="B1429" s="17" t="str">
        <f t="shared" si="22"/>
        <v>Problem</v>
      </c>
    </row>
    <row r="1430" spans="1:2" x14ac:dyDescent="0.2">
      <c r="A1430" t="str">
        <f>IF(ISERROR(VLOOKUP(C1430,Questions!$A$1:G$9999,7,0)),"",VLOOKUP(C1430,Questions!$A$1:G$9999,7,0))</f>
        <v/>
      </c>
      <c r="B1430" s="17" t="str">
        <f t="shared" si="22"/>
        <v>Problem</v>
      </c>
    </row>
    <row r="1431" spans="1:2" x14ac:dyDescent="0.2">
      <c r="A1431" t="str">
        <f>IF(ISERROR(VLOOKUP(C1431,Questions!$A$1:G$9999,7,0)),"",VLOOKUP(C1431,Questions!$A$1:G$9999,7,0))</f>
        <v/>
      </c>
      <c r="B1431" s="17" t="str">
        <f t="shared" si="22"/>
        <v>Problem</v>
      </c>
    </row>
    <row r="1432" spans="1:2" x14ac:dyDescent="0.2">
      <c r="A1432" t="str">
        <f>IF(ISERROR(VLOOKUP(C1432,Questions!$A$1:G$9999,7,0)),"",VLOOKUP(C1432,Questions!$A$1:G$9999,7,0))</f>
        <v/>
      </c>
      <c r="B1432" s="17" t="str">
        <f t="shared" si="22"/>
        <v>Problem</v>
      </c>
    </row>
    <row r="1433" spans="1:2" x14ac:dyDescent="0.2">
      <c r="A1433" t="str">
        <f>IF(ISERROR(VLOOKUP(C1433,Questions!$A$1:G$9999,7,0)),"",VLOOKUP(C1433,Questions!$A$1:G$9999,7,0))</f>
        <v/>
      </c>
      <c r="B1433" s="17" t="str">
        <f t="shared" si="22"/>
        <v>Problem</v>
      </c>
    </row>
    <row r="1434" spans="1:2" x14ac:dyDescent="0.2">
      <c r="A1434" t="str">
        <f>IF(ISERROR(VLOOKUP(C1434,Questions!$A$1:G$9999,7,0)),"",VLOOKUP(C1434,Questions!$A$1:G$9999,7,0))</f>
        <v/>
      </c>
      <c r="B1434" s="17" t="str">
        <f t="shared" si="22"/>
        <v>Problem</v>
      </c>
    </row>
    <row r="1435" spans="1:2" x14ac:dyDescent="0.2">
      <c r="A1435" t="str">
        <f>IF(ISERROR(VLOOKUP(C1435,Questions!$A$1:G$9999,7,0)),"",VLOOKUP(C1435,Questions!$A$1:G$9999,7,0))</f>
        <v/>
      </c>
      <c r="B1435" s="17" t="str">
        <f t="shared" si="22"/>
        <v>Problem</v>
      </c>
    </row>
    <row r="1436" spans="1:2" x14ac:dyDescent="0.2">
      <c r="A1436" t="str">
        <f>IF(ISERROR(VLOOKUP(C1436,Questions!$A$1:G$9999,7,0)),"",VLOOKUP(C1436,Questions!$A$1:G$9999,7,0))</f>
        <v/>
      </c>
      <c r="B1436" s="17" t="str">
        <f t="shared" si="22"/>
        <v>Problem</v>
      </c>
    </row>
    <row r="1437" spans="1:2" x14ac:dyDescent="0.2">
      <c r="A1437" t="str">
        <f>IF(ISERROR(VLOOKUP(C1437,Questions!$A$1:G$9999,7,0)),"",VLOOKUP(C1437,Questions!$A$1:G$9999,7,0))</f>
        <v/>
      </c>
      <c r="B1437" s="17" t="str">
        <f t="shared" si="22"/>
        <v>Problem</v>
      </c>
    </row>
    <row r="1438" spans="1:2" x14ac:dyDescent="0.2">
      <c r="A1438" t="str">
        <f>IF(ISERROR(VLOOKUP(C1438,Questions!$A$1:G$9999,7,0)),"",VLOOKUP(C1438,Questions!$A$1:G$9999,7,0))</f>
        <v/>
      </c>
      <c r="B1438" s="17" t="str">
        <f t="shared" si="22"/>
        <v>Problem</v>
      </c>
    </row>
    <row r="1439" spans="1:2" x14ac:dyDescent="0.2">
      <c r="A1439" t="str">
        <f>IF(ISERROR(VLOOKUP(C1439,Questions!$A$1:G$9999,7,0)),"",VLOOKUP(C1439,Questions!$A$1:G$9999,7,0))</f>
        <v/>
      </c>
      <c r="B1439" s="17" t="str">
        <f t="shared" si="22"/>
        <v>Problem</v>
      </c>
    </row>
    <row r="1440" spans="1:2" x14ac:dyDescent="0.2">
      <c r="A1440" t="str">
        <f>IF(ISERROR(VLOOKUP(C1440,Questions!$A$1:G$9999,7,0)),"",VLOOKUP(C1440,Questions!$A$1:G$9999,7,0))</f>
        <v/>
      </c>
      <c r="B1440" s="17" t="str">
        <f t="shared" si="22"/>
        <v>Problem</v>
      </c>
    </row>
    <row r="1441" spans="1:2" x14ac:dyDescent="0.2">
      <c r="A1441" t="str">
        <f>IF(ISERROR(VLOOKUP(C1441,Questions!$A$1:G$9999,7,0)),"",VLOOKUP(C1441,Questions!$A$1:G$9999,7,0))</f>
        <v/>
      </c>
      <c r="B1441" s="17" t="str">
        <f t="shared" si="22"/>
        <v>Problem</v>
      </c>
    </row>
    <row r="1442" spans="1:2" x14ac:dyDescent="0.2">
      <c r="A1442" t="str">
        <f>IF(ISERROR(VLOOKUP(C1442,Questions!$A$1:G$9999,7,0)),"",VLOOKUP(C1442,Questions!$A$1:G$9999,7,0))</f>
        <v/>
      </c>
      <c r="B1442" s="17" t="str">
        <f t="shared" si="22"/>
        <v>Problem</v>
      </c>
    </row>
    <row r="1443" spans="1:2" x14ac:dyDescent="0.2">
      <c r="A1443" t="str">
        <f>IF(ISERROR(VLOOKUP(C1443,Questions!$A$1:G$9999,7,0)),"",VLOOKUP(C1443,Questions!$A$1:G$9999,7,0))</f>
        <v/>
      </c>
      <c r="B1443" s="17" t="str">
        <f t="shared" si="22"/>
        <v>Problem</v>
      </c>
    </row>
    <row r="1444" spans="1:2" x14ac:dyDescent="0.2">
      <c r="A1444" t="str">
        <f>IF(ISERROR(VLOOKUP(C1444,Questions!$A$1:G$9999,7,0)),"",VLOOKUP(C1444,Questions!$A$1:G$9999,7,0))</f>
        <v/>
      </c>
      <c r="B1444" s="17" t="str">
        <f t="shared" si="22"/>
        <v>Problem</v>
      </c>
    </row>
    <row r="1445" spans="1:2" x14ac:dyDescent="0.2">
      <c r="A1445" t="str">
        <f>IF(ISERROR(VLOOKUP(C1445,Questions!$A$1:G$9999,7,0)),"",VLOOKUP(C1445,Questions!$A$1:G$9999,7,0))</f>
        <v/>
      </c>
      <c r="B1445" s="17" t="str">
        <f t="shared" si="22"/>
        <v>Problem</v>
      </c>
    </row>
    <row r="1446" spans="1:2" x14ac:dyDescent="0.2">
      <c r="A1446" t="str">
        <f>IF(ISERROR(VLOOKUP(C1446,Questions!$A$1:G$9999,7,0)),"",VLOOKUP(C1446,Questions!$A$1:G$9999,7,0))</f>
        <v/>
      </c>
      <c r="B1446" s="17" t="str">
        <f t="shared" si="22"/>
        <v>Problem</v>
      </c>
    </row>
    <row r="1447" spans="1:2" x14ac:dyDescent="0.2">
      <c r="A1447" t="str">
        <f>IF(ISERROR(VLOOKUP(C1447,Questions!$A$1:G$9999,7,0)),"",VLOOKUP(C1447,Questions!$A$1:G$9999,7,0))</f>
        <v/>
      </c>
      <c r="B1447" s="17" t="str">
        <f t="shared" si="22"/>
        <v>Problem</v>
      </c>
    </row>
    <row r="1448" spans="1:2" x14ac:dyDescent="0.2">
      <c r="A1448" t="str">
        <f>IF(ISERROR(VLOOKUP(C1448,Questions!$A$1:G$9999,7,0)),"",VLOOKUP(C1448,Questions!$A$1:G$9999,7,0))</f>
        <v/>
      </c>
      <c r="B1448" s="17" t="str">
        <f t="shared" si="22"/>
        <v>Problem</v>
      </c>
    </row>
    <row r="1449" spans="1:2" x14ac:dyDescent="0.2">
      <c r="A1449" t="str">
        <f>IF(ISERROR(VLOOKUP(C1449,Questions!$A$1:G$9999,7,0)),"",VLOOKUP(C1449,Questions!$A$1:G$9999,7,0))</f>
        <v/>
      </c>
      <c r="B1449" s="17" t="str">
        <f t="shared" si="22"/>
        <v>Problem</v>
      </c>
    </row>
    <row r="1450" spans="1:2" x14ac:dyDescent="0.2">
      <c r="A1450" t="str">
        <f>IF(ISERROR(VLOOKUP(C1450,Questions!$A$1:G$9999,7,0)),"",VLOOKUP(C1450,Questions!$A$1:G$9999,7,0))</f>
        <v/>
      </c>
      <c r="B1450" s="17" t="str">
        <f t="shared" si="22"/>
        <v>Problem</v>
      </c>
    </row>
    <row r="1451" spans="1:2" x14ac:dyDescent="0.2">
      <c r="A1451" t="str">
        <f>IF(ISERROR(VLOOKUP(C1451,Questions!$A$1:G$9999,7,0)),"",VLOOKUP(C1451,Questions!$A$1:G$9999,7,0))</f>
        <v/>
      </c>
      <c r="B1451" s="17" t="str">
        <f t="shared" si="22"/>
        <v>Problem</v>
      </c>
    </row>
    <row r="1452" spans="1:2" x14ac:dyDescent="0.2">
      <c r="A1452" t="str">
        <f>IF(ISERROR(VLOOKUP(C1452,Questions!$A$1:G$9999,7,0)),"",VLOOKUP(C1452,Questions!$A$1:G$9999,7,0))</f>
        <v/>
      </c>
      <c r="B1452" s="17" t="str">
        <f t="shared" si="22"/>
        <v>Problem</v>
      </c>
    </row>
    <row r="1453" spans="1:2" x14ac:dyDescent="0.2">
      <c r="A1453" t="str">
        <f>IF(ISERROR(VLOOKUP(C1453,Questions!$A$1:G$9999,7,0)),"",VLOOKUP(C1453,Questions!$A$1:G$9999,7,0))</f>
        <v/>
      </c>
      <c r="B1453" s="17" t="str">
        <f t="shared" si="22"/>
        <v>Problem</v>
      </c>
    </row>
    <row r="1454" spans="1:2" x14ac:dyDescent="0.2">
      <c r="A1454" t="str">
        <f>IF(ISERROR(VLOOKUP(C1454,Questions!$A$1:G$9999,7,0)),"",VLOOKUP(C1454,Questions!$A$1:G$9999,7,0))</f>
        <v/>
      </c>
      <c r="B1454" s="17" t="str">
        <f t="shared" si="22"/>
        <v>Problem</v>
      </c>
    </row>
    <row r="1455" spans="1:2" x14ac:dyDescent="0.2">
      <c r="A1455" t="str">
        <f>IF(ISERROR(VLOOKUP(C1455,Questions!$A$1:G$9999,7,0)),"",VLOOKUP(C1455,Questions!$A$1:G$9999,7,0))</f>
        <v/>
      </c>
      <c r="B1455" s="17" t="str">
        <f t="shared" si="22"/>
        <v>Problem</v>
      </c>
    </row>
    <row r="1456" spans="1:2" x14ac:dyDescent="0.2">
      <c r="A1456" t="str">
        <f>IF(ISERROR(VLOOKUP(C1456,Questions!$A$1:G$9999,7,0)),"",VLOOKUP(C1456,Questions!$A$1:G$9999,7,0))</f>
        <v/>
      </c>
      <c r="B1456" s="17" t="str">
        <f t="shared" si="22"/>
        <v>Problem</v>
      </c>
    </row>
    <row r="1457" spans="1:2" x14ac:dyDescent="0.2">
      <c r="A1457" t="str">
        <f>IF(ISERROR(VLOOKUP(C1457,Questions!$A$1:G$9999,7,0)),"",VLOOKUP(C1457,Questions!$A$1:G$9999,7,0))</f>
        <v/>
      </c>
      <c r="B1457" s="17" t="str">
        <f t="shared" si="22"/>
        <v>Problem</v>
      </c>
    </row>
    <row r="1458" spans="1:2" x14ac:dyDescent="0.2">
      <c r="A1458" t="str">
        <f>IF(ISERROR(VLOOKUP(C1458,Questions!$A$1:G$9999,7,0)),"",VLOOKUP(C1458,Questions!$A$1:G$9999,7,0))</f>
        <v/>
      </c>
      <c r="B1458" s="17" t="str">
        <f t="shared" si="22"/>
        <v>Problem</v>
      </c>
    </row>
    <row r="1459" spans="1:2" x14ac:dyDescent="0.2">
      <c r="A1459" t="str">
        <f>IF(ISERROR(VLOOKUP(C1459,Questions!$A$1:G$9999,7,0)),"",VLOOKUP(C1459,Questions!$A$1:G$9999,7,0))</f>
        <v/>
      </c>
      <c r="B1459" s="17" t="str">
        <f t="shared" si="22"/>
        <v>Problem</v>
      </c>
    </row>
    <row r="1460" spans="1:2" x14ac:dyDescent="0.2">
      <c r="A1460" t="str">
        <f>IF(ISERROR(VLOOKUP(C1460,Questions!$A$1:G$9999,7,0)),"",VLOOKUP(C1460,Questions!$A$1:G$9999,7,0))</f>
        <v/>
      </c>
      <c r="B1460" s="17" t="str">
        <f t="shared" si="22"/>
        <v>Problem</v>
      </c>
    </row>
    <row r="1461" spans="1:2" x14ac:dyDescent="0.2">
      <c r="A1461" t="str">
        <f>IF(ISERROR(VLOOKUP(C1461,Questions!$A$1:G$9999,7,0)),"",VLOOKUP(C1461,Questions!$A$1:G$9999,7,0))</f>
        <v/>
      </c>
      <c r="B1461" s="17" t="str">
        <f t="shared" si="22"/>
        <v>Problem</v>
      </c>
    </row>
    <row r="1462" spans="1:2" x14ac:dyDescent="0.2">
      <c r="A1462" t="str">
        <f>IF(ISERROR(VLOOKUP(C1462,Questions!$A$1:G$9999,7,0)),"",VLOOKUP(C1462,Questions!$A$1:G$9999,7,0))</f>
        <v/>
      </c>
      <c r="B1462" s="17" t="str">
        <f t="shared" si="22"/>
        <v>Problem</v>
      </c>
    </row>
    <row r="1463" spans="1:2" x14ac:dyDescent="0.2">
      <c r="A1463" t="str">
        <f>IF(ISERROR(VLOOKUP(C1463,Questions!$A$1:G$9999,7,0)),"",VLOOKUP(C1463,Questions!$A$1:G$9999,7,0))</f>
        <v/>
      </c>
      <c r="B1463" s="17" t="str">
        <f t="shared" si="22"/>
        <v>Problem</v>
      </c>
    </row>
    <row r="1464" spans="1:2" x14ac:dyDescent="0.2">
      <c r="A1464" t="str">
        <f>IF(ISERROR(VLOOKUP(C1464,Questions!$A$1:G$9999,7,0)),"",VLOOKUP(C1464,Questions!$A$1:G$9999,7,0))</f>
        <v/>
      </c>
      <c r="B1464" s="17" t="str">
        <f t="shared" si="22"/>
        <v>Problem</v>
      </c>
    </row>
    <row r="1465" spans="1:2" x14ac:dyDescent="0.2">
      <c r="A1465" t="str">
        <f>IF(ISERROR(VLOOKUP(C1465,Questions!$A$1:G$9999,7,0)),"",VLOOKUP(C1465,Questions!$A$1:G$9999,7,0))</f>
        <v/>
      </c>
      <c r="B1465" s="17" t="str">
        <f t="shared" si="22"/>
        <v>Problem</v>
      </c>
    </row>
    <row r="1466" spans="1:2" x14ac:dyDescent="0.2">
      <c r="A1466" t="str">
        <f>IF(ISERROR(VLOOKUP(C1466,Questions!$A$1:G$9999,7,0)),"",VLOOKUP(C1466,Questions!$A$1:G$9999,7,0))</f>
        <v/>
      </c>
      <c r="B1466" s="17" t="str">
        <f t="shared" si="22"/>
        <v>Problem</v>
      </c>
    </row>
    <row r="1467" spans="1:2" x14ac:dyDescent="0.2">
      <c r="A1467" t="str">
        <f>IF(ISERROR(VLOOKUP(C1467,Questions!$A$1:G$9999,7,0)),"",VLOOKUP(C1467,Questions!$A$1:G$9999,7,0))</f>
        <v/>
      </c>
      <c r="B1467" s="17" t="str">
        <f t="shared" si="22"/>
        <v>Problem</v>
      </c>
    </row>
    <row r="1468" spans="1:2" x14ac:dyDescent="0.2">
      <c r="A1468" t="str">
        <f>IF(ISERROR(VLOOKUP(C1468,Questions!$A$1:G$9999,7,0)),"",VLOOKUP(C1468,Questions!$A$1:G$9999,7,0))</f>
        <v/>
      </c>
      <c r="B1468" s="17" t="str">
        <f t="shared" ref="B1468:B1531" si="23">HYPERLINK("http://www.mrhosey.com/RPhys/" &amp; C1468 &amp; ".gif","Problem")</f>
        <v>Problem</v>
      </c>
    </row>
    <row r="1469" spans="1:2" x14ac:dyDescent="0.2">
      <c r="A1469" t="str">
        <f>IF(ISERROR(VLOOKUP(C1469,Questions!$A$1:G$9999,7,0)),"",VLOOKUP(C1469,Questions!$A$1:G$9999,7,0))</f>
        <v/>
      </c>
      <c r="B1469" s="17" t="str">
        <f t="shared" si="23"/>
        <v>Problem</v>
      </c>
    </row>
    <row r="1470" spans="1:2" x14ac:dyDescent="0.2">
      <c r="A1470" t="str">
        <f>IF(ISERROR(VLOOKUP(C1470,Questions!$A$1:G$9999,7,0)),"",VLOOKUP(C1470,Questions!$A$1:G$9999,7,0))</f>
        <v/>
      </c>
      <c r="B1470" s="17" t="str">
        <f t="shared" si="23"/>
        <v>Problem</v>
      </c>
    </row>
    <row r="1471" spans="1:2" x14ac:dyDescent="0.2">
      <c r="A1471" t="str">
        <f>IF(ISERROR(VLOOKUP(C1471,Questions!$A$1:G$9999,7,0)),"",VLOOKUP(C1471,Questions!$A$1:G$9999,7,0))</f>
        <v/>
      </c>
      <c r="B1471" s="17" t="str">
        <f t="shared" si="23"/>
        <v>Problem</v>
      </c>
    </row>
    <row r="1472" spans="1:2" x14ac:dyDescent="0.2">
      <c r="A1472" t="str">
        <f>IF(ISERROR(VLOOKUP(C1472,Questions!$A$1:G$9999,7,0)),"",VLOOKUP(C1472,Questions!$A$1:G$9999,7,0))</f>
        <v/>
      </c>
      <c r="B1472" s="17" t="str">
        <f t="shared" si="23"/>
        <v>Problem</v>
      </c>
    </row>
    <row r="1473" spans="1:2" x14ac:dyDescent="0.2">
      <c r="A1473" t="str">
        <f>IF(ISERROR(VLOOKUP(C1473,Questions!$A$1:G$9999,7,0)),"",VLOOKUP(C1473,Questions!$A$1:G$9999,7,0))</f>
        <v/>
      </c>
      <c r="B1473" s="17" t="str">
        <f t="shared" si="23"/>
        <v>Problem</v>
      </c>
    </row>
    <row r="1474" spans="1:2" x14ac:dyDescent="0.2">
      <c r="A1474" t="str">
        <f>IF(ISERROR(VLOOKUP(C1474,Questions!$A$1:G$9999,7,0)),"",VLOOKUP(C1474,Questions!$A$1:G$9999,7,0))</f>
        <v/>
      </c>
      <c r="B1474" s="17" t="str">
        <f t="shared" si="23"/>
        <v>Problem</v>
      </c>
    </row>
    <row r="1475" spans="1:2" x14ac:dyDescent="0.2">
      <c r="A1475" t="str">
        <f>IF(ISERROR(VLOOKUP(C1475,Questions!$A$1:G$9999,7,0)),"",VLOOKUP(C1475,Questions!$A$1:G$9999,7,0))</f>
        <v/>
      </c>
      <c r="B1475" s="17" t="str">
        <f t="shared" si="23"/>
        <v>Problem</v>
      </c>
    </row>
    <row r="1476" spans="1:2" x14ac:dyDescent="0.2">
      <c r="A1476" t="str">
        <f>IF(ISERROR(VLOOKUP(C1476,Questions!$A$1:G$9999,7,0)),"",VLOOKUP(C1476,Questions!$A$1:G$9999,7,0))</f>
        <v/>
      </c>
      <c r="B1476" s="17" t="str">
        <f t="shared" si="23"/>
        <v>Problem</v>
      </c>
    </row>
    <row r="1477" spans="1:2" x14ac:dyDescent="0.2">
      <c r="A1477" t="str">
        <f>IF(ISERROR(VLOOKUP(C1477,Questions!$A$1:G$9999,7,0)),"",VLOOKUP(C1477,Questions!$A$1:G$9999,7,0))</f>
        <v/>
      </c>
      <c r="B1477" s="17" t="str">
        <f t="shared" si="23"/>
        <v>Problem</v>
      </c>
    </row>
    <row r="1478" spans="1:2" x14ac:dyDescent="0.2">
      <c r="A1478" t="str">
        <f>IF(ISERROR(VLOOKUP(C1478,Questions!$A$1:G$9999,7,0)),"",VLOOKUP(C1478,Questions!$A$1:G$9999,7,0))</f>
        <v/>
      </c>
      <c r="B1478" s="17" t="str">
        <f t="shared" si="23"/>
        <v>Problem</v>
      </c>
    </row>
    <row r="1479" spans="1:2" x14ac:dyDescent="0.2">
      <c r="A1479" t="str">
        <f>IF(ISERROR(VLOOKUP(C1479,Questions!$A$1:G$9999,7,0)),"",VLOOKUP(C1479,Questions!$A$1:G$9999,7,0))</f>
        <v/>
      </c>
      <c r="B1479" s="17" t="str">
        <f t="shared" si="23"/>
        <v>Problem</v>
      </c>
    </row>
    <row r="1480" spans="1:2" x14ac:dyDescent="0.2">
      <c r="A1480" t="str">
        <f>IF(ISERROR(VLOOKUP(C1480,Questions!$A$1:G$9999,7,0)),"",VLOOKUP(C1480,Questions!$A$1:G$9999,7,0))</f>
        <v/>
      </c>
      <c r="B1480" s="17" t="str">
        <f t="shared" si="23"/>
        <v>Problem</v>
      </c>
    </row>
    <row r="1481" spans="1:2" x14ac:dyDescent="0.2">
      <c r="A1481" t="str">
        <f>IF(ISERROR(VLOOKUP(C1481,Questions!$A$1:G$9999,7,0)),"",VLOOKUP(C1481,Questions!$A$1:G$9999,7,0))</f>
        <v/>
      </c>
      <c r="B1481" s="17" t="str">
        <f t="shared" si="23"/>
        <v>Problem</v>
      </c>
    </row>
    <row r="1482" spans="1:2" x14ac:dyDescent="0.2">
      <c r="A1482" t="str">
        <f>IF(ISERROR(VLOOKUP(C1482,Questions!$A$1:G$9999,7,0)),"",VLOOKUP(C1482,Questions!$A$1:G$9999,7,0))</f>
        <v/>
      </c>
      <c r="B1482" s="17" t="str">
        <f t="shared" si="23"/>
        <v>Problem</v>
      </c>
    </row>
    <row r="1483" spans="1:2" x14ac:dyDescent="0.2">
      <c r="A1483" t="str">
        <f>IF(ISERROR(VLOOKUP(C1483,Questions!$A$1:G$9999,7,0)),"",VLOOKUP(C1483,Questions!$A$1:G$9999,7,0))</f>
        <v/>
      </c>
      <c r="B1483" s="17" t="str">
        <f t="shared" si="23"/>
        <v>Problem</v>
      </c>
    </row>
    <row r="1484" spans="1:2" x14ac:dyDescent="0.2">
      <c r="A1484" t="str">
        <f>IF(ISERROR(VLOOKUP(C1484,Questions!$A$1:G$9999,7,0)),"",VLOOKUP(C1484,Questions!$A$1:G$9999,7,0))</f>
        <v/>
      </c>
      <c r="B1484" s="17" t="str">
        <f t="shared" si="23"/>
        <v>Problem</v>
      </c>
    </row>
    <row r="1485" spans="1:2" x14ac:dyDescent="0.2">
      <c r="A1485" t="str">
        <f>IF(ISERROR(VLOOKUP(C1485,Questions!$A$1:G$9999,7,0)),"",VLOOKUP(C1485,Questions!$A$1:G$9999,7,0))</f>
        <v/>
      </c>
      <c r="B1485" s="17" t="str">
        <f t="shared" si="23"/>
        <v>Problem</v>
      </c>
    </row>
    <row r="1486" spans="1:2" x14ac:dyDescent="0.2">
      <c r="A1486" t="str">
        <f>IF(ISERROR(VLOOKUP(C1486,Questions!$A$1:G$9999,7,0)),"",VLOOKUP(C1486,Questions!$A$1:G$9999,7,0))</f>
        <v/>
      </c>
      <c r="B1486" s="17" t="str">
        <f t="shared" si="23"/>
        <v>Problem</v>
      </c>
    </row>
    <row r="1487" spans="1:2" x14ac:dyDescent="0.2">
      <c r="A1487" t="str">
        <f>IF(ISERROR(VLOOKUP(C1487,Questions!$A$1:G$9999,7,0)),"",VLOOKUP(C1487,Questions!$A$1:G$9999,7,0))</f>
        <v/>
      </c>
      <c r="B1487" s="17" t="str">
        <f t="shared" si="23"/>
        <v>Problem</v>
      </c>
    </row>
    <row r="1488" spans="1:2" x14ac:dyDescent="0.2">
      <c r="A1488" t="str">
        <f>IF(ISERROR(VLOOKUP(C1488,Questions!$A$1:G$9999,7,0)),"",VLOOKUP(C1488,Questions!$A$1:G$9999,7,0))</f>
        <v/>
      </c>
      <c r="B1488" s="17" t="str">
        <f t="shared" si="23"/>
        <v>Problem</v>
      </c>
    </row>
    <row r="1489" spans="1:2" x14ac:dyDescent="0.2">
      <c r="A1489" t="str">
        <f>IF(ISERROR(VLOOKUP(C1489,Questions!$A$1:G$9999,7,0)),"",VLOOKUP(C1489,Questions!$A$1:G$9999,7,0))</f>
        <v/>
      </c>
      <c r="B1489" s="17" t="str">
        <f t="shared" si="23"/>
        <v>Problem</v>
      </c>
    </row>
    <row r="1490" spans="1:2" x14ac:dyDescent="0.2">
      <c r="A1490" t="str">
        <f>IF(ISERROR(VLOOKUP(C1490,Questions!$A$1:G$9999,7,0)),"",VLOOKUP(C1490,Questions!$A$1:G$9999,7,0))</f>
        <v/>
      </c>
      <c r="B1490" s="17" t="str">
        <f t="shared" si="23"/>
        <v>Problem</v>
      </c>
    </row>
    <row r="1491" spans="1:2" x14ac:dyDescent="0.2">
      <c r="A1491" t="str">
        <f>IF(ISERROR(VLOOKUP(C1491,Questions!$A$1:G$9999,7,0)),"",VLOOKUP(C1491,Questions!$A$1:G$9999,7,0))</f>
        <v/>
      </c>
      <c r="B1491" s="17" t="str">
        <f t="shared" si="23"/>
        <v>Problem</v>
      </c>
    </row>
    <row r="1492" spans="1:2" x14ac:dyDescent="0.2">
      <c r="A1492" t="str">
        <f>IF(ISERROR(VLOOKUP(C1492,Questions!$A$1:G$9999,7,0)),"",VLOOKUP(C1492,Questions!$A$1:G$9999,7,0))</f>
        <v/>
      </c>
      <c r="B1492" s="17" t="str">
        <f t="shared" si="23"/>
        <v>Problem</v>
      </c>
    </row>
    <row r="1493" spans="1:2" x14ac:dyDescent="0.2">
      <c r="A1493" t="str">
        <f>IF(ISERROR(VLOOKUP(C1493,Questions!$A$1:G$9999,7,0)),"",VLOOKUP(C1493,Questions!$A$1:G$9999,7,0))</f>
        <v/>
      </c>
      <c r="B1493" s="17" t="str">
        <f t="shared" si="23"/>
        <v>Problem</v>
      </c>
    </row>
    <row r="1494" spans="1:2" x14ac:dyDescent="0.2">
      <c r="A1494" t="str">
        <f>IF(ISERROR(VLOOKUP(C1494,Questions!$A$1:G$9999,7,0)),"",VLOOKUP(C1494,Questions!$A$1:G$9999,7,0))</f>
        <v/>
      </c>
      <c r="B1494" s="17" t="str">
        <f t="shared" si="23"/>
        <v>Problem</v>
      </c>
    </row>
    <row r="1495" spans="1:2" x14ac:dyDescent="0.2">
      <c r="A1495" t="str">
        <f>IF(ISERROR(VLOOKUP(C1495,Questions!$A$1:G$9999,7,0)),"",VLOOKUP(C1495,Questions!$A$1:G$9999,7,0))</f>
        <v/>
      </c>
      <c r="B1495" s="17" t="str">
        <f t="shared" si="23"/>
        <v>Problem</v>
      </c>
    </row>
    <row r="1496" spans="1:2" x14ac:dyDescent="0.2">
      <c r="A1496" t="str">
        <f>IF(ISERROR(VLOOKUP(C1496,Questions!$A$1:G$9999,7,0)),"",VLOOKUP(C1496,Questions!$A$1:G$9999,7,0))</f>
        <v/>
      </c>
      <c r="B1496" s="17" t="str">
        <f t="shared" si="23"/>
        <v>Problem</v>
      </c>
    </row>
    <row r="1497" spans="1:2" x14ac:dyDescent="0.2">
      <c r="A1497" t="str">
        <f>IF(ISERROR(VLOOKUP(C1497,Questions!$A$1:G$9999,7,0)),"",VLOOKUP(C1497,Questions!$A$1:G$9999,7,0))</f>
        <v/>
      </c>
      <c r="B1497" s="17" t="str">
        <f t="shared" si="23"/>
        <v>Problem</v>
      </c>
    </row>
    <row r="1498" spans="1:2" x14ac:dyDescent="0.2">
      <c r="A1498" t="str">
        <f>IF(ISERROR(VLOOKUP(C1498,Questions!$A$1:G$9999,7,0)),"",VLOOKUP(C1498,Questions!$A$1:G$9999,7,0))</f>
        <v/>
      </c>
      <c r="B1498" s="17" t="str">
        <f t="shared" si="23"/>
        <v>Problem</v>
      </c>
    </row>
    <row r="1499" spans="1:2" x14ac:dyDescent="0.2">
      <c r="A1499" t="str">
        <f>IF(ISERROR(VLOOKUP(C1499,Questions!$A$1:G$9999,7,0)),"",VLOOKUP(C1499,Questions!$A$1:G$9999,7,0))</f>
        <v/>
      </c>
      <c r="B1499" s="17" t="str">
        <f t="shared" si="23"/>
        <v>Problem</v>
      </c>
    </row>
    <row r="1500" spans="1:2" x14ac:dyDescent="0.2">
      <c r="A1500" t="str">
        <f>IF(ISERROR(VLOOKUP(C1500,Questions!$A$1:G$9999,7,0)),"",VLOOKUP(C1500,Questions!$A$1:G$9999,7,0))</f>
        <v/>
      </c>
      <c r="B1500" s="17" t="str">
        <f t="shared" si="23"/>
        <v>Problem</v>
      </c>
    </row>
    <row r="1501" spans="1:2" x14ac:dyDescent="0.2">
      <c r="A1501" t="str">
        <f>IF(ISERROR(VLOOKUP(C1501,Questions!$A$1:G$9999,7,0)),"",VLOOKUP(C1501,Questions!$A$1:G$9999,7,0))</f>
        <v/>
      </c>
      <c r="B1501" s="17" t="str">
        <f t="shared" si="23"/>
        <v>Problem</v>
      </c>
    </row>
    <row r="1502" spans="1:2" x14ac:dyDescent="0.2">
      <c r="A1502" t="str">
        <f>IF(ISERROR(VLOOKUP(C1502,Questions!$A$1:G$9999,7,0)),"",VLOOKUP(C1502,Questions!$A$1:G$9999,7,0))</f>
        <v/>
      </c>
      <c r="B1502" s="17" t="str">
        <f t="shared" si="23"/>
        <v>Problem</v>
      </c>
    </row>
    <row r="1503" spans="1:2" x14ac:dyDescent="0.2">
      <c r="A1503" t="str">
        <f>IF(ISERROR(VLOOKUP(C1503,Questions!$A$1:G$9999,7,0)),"",VLOOKUP(C1503,Questions!$A$1:G$9999,7,0))</f>
        <v/>
      </c>
      <c r="B1503" s="17" t="str">
        <f t="shared" si="23"/>
        <v>Problem</v>
      </c>
    </row>
    <row r="1504" spans="1:2" x14ac:dyDescent="0.2">
      <c r="A1504" t="str">
        <f>IF(ISERROR(VLOOKUP(C1504,Questions!$A$1:G$9999,7,0)),"",VLOOKUP(C1504,Questions!$A$1:G$9999,7,0))</f>
        <v/>
      </c>
      <c r="B1504" s="17" t="str">
        <f t="shared" si="23"/>
        <v>Problem</v>
      </c>
    </row>
    <row r="1505" spans="1:2" x14ac:dyDescent="0.2">
      <c r="A1505" t="str">
        <f>IF(ISERROR(VLOOKUP(C1505,Questions!$A$1:G$9999,7,0)),"",VLOOKUP(C1505,Questions!$A$1:G$9999,7,0))</f>
        <v/>
      </c>
      <c r="B1505" s="17" t="str">
        <f t="shared" si="23"/>
        <v>Problem</v>
      </c>
    </row>
    <row r="1506" spans="1:2" x14ac:dyDescent="0.2">
      <c r="A1506" t="str">
        <f>IF(ISERROR(VLOOKUP(C1506,Questions!$A$1:G$9999,7,0)),"",VLOOKUP(C1506,Questions!$A$1:G$9999,7,0))</f>
        <v/>
      </c>
      <c r="B1506" s="17" t="str">
        <f t="shared" si="23"/>
        <v>Problem</v>
      </c>
    </row>
    <row r="1507" spans="1:2" x14ac:dyDescent="0.2">
      <c r="A1507" t="str">
        <f>IF(ISERROR(VLOOKUP(C1507,Questions!$A$1:G$9999,7,0)),"",VLOOKUP(C1507,Questions!$A$1:G$9999,7,0))</f>
        <v/>
      </c>
      <c r="B1507" s="17" t="str">
        <f t="shared" si="23"/>
        <v>Problem</v>
      </c>
    </row>
    <row r="1508" spans="1:2" x14ac:dyDescent="0.2">
      <c r="A1508" t="str">
        <f>IF(ISERROR(VLOOKUP(C1508,Questions!$A$1:G$9999,7,0)),"",VLOOKUP(C1508,Questions!$A$1:G$9999,7,0))</f>
        <v/>
      </c>
      <c r="B1508" s="17" t="str">
        <f t="shared" si="23"/>
        <v>Problem</v>
      </c>
    </row>
    <row r="1509" spans="1:2" x14ac:dyDescent="0.2">
      <c r="A1509" t="str">
        <f>IF(ISERROR(VLOOKUP(C1509,Questions!$A$1:G$9999,7,0)),"",VLOOKUP(C1509,Questions!$A$1:G$9999,7,0))</f>
        <v/>
      </c>
      <c r="B1509" s="17" t="str">
        <f t="shared" si="23"/>
        <v>Problem</v>
      </c>
    </row>
    <row r="1510" spans="1:2" x14ac:dyDescent="0.2">
      <c r="A1510" t="str">
        <f>IF(ISERROR(VLOOKUP(C1510,Questions!$A$1:G$9999,7,0)),"",VLOOKUP(C1510,Questions!$A$1:G$9999,7,0))</f>
        <v/>
      </c>
      <c r="B1510" s="17" t="str">
        <f t="shared" si="23"/>
        <v>Problem</v>
      </c>
    </row>
    <row r="1511" spans="1:2" x14ac:dyDescent="0.2">
      <c r="A1511" t="str">
        <f>IF(ISERROR(VLOOKUP(C1511,Questions!$A$1:G$9999,7,0)),"",VLOOKUP(C1511,Questions!$A$1:G$9999,7,0))</f>
        <v/>
      </c>
      <c r="B1511" s="17" t="str">
        <f t="shared" si="23"/>
        <v>Problem</v>
      </c>
    </row>
    <row r="1512" spans="1:2" x14ac:dyDescent="0.2">
      <c r="A1512" t="str">
        <f>IF(ISERROR(VLOOKUP(C1512,Questions!$A$1:G$9999,7,0)),"",VLOOKUP(C1512,Questions!$A$1:G$9999,7,0))</f>
        <v/>
      </c>
      <c r="B1512" s="17" t="str">
        <f t="shared" si="23"/>
        <v>Problem</v>
      </c>
    </row>
    <row r="1513" spans="1:2" x14ac:dyDescent="0.2">
      <c r="A1513" t="str">
        <f>IF(ISERROR(VLOOKUP(C1513,Questions!$A$1:G$9999,7,0)),"",VLOOKUP(C1513,Questions!$A$1:G$9999,7,0))</f>
        <v/>
      </c>
      <c r="B1513" s="17" t="str">
        <f t="shared" si="23"/>
        <v>Problem</v>
      </c>
    </row>
    <row r="1514" spans="1:2" x14ac:dyDescent="0.2">
      <c r="A1514" t="str">
        <f>IF(ISERROR(VLOOKUP(C1514,Questions!$A$1:G$9999,7,0)),"",VLOOKUP(C1514,Questions!$A$1:G$9999,7,0))</f>
        <v/>
      </c>
      <c r="B1514" s="17" t="str">
        <f t="shared" si="23"/>
        <v>Problem</v>
      </c>
    </row>
    <row r="1515" spans="1:2" x14ac:dyDescent="0.2">
      <c r="A1515" t="str">
        <f>IF(ISERROR(VLOOKUP(C1515,Questions!$A$1:G$9999,7,0)),"",VLOOKUP(C1515,Questions!$A$1:G$9999,7,0))</f>
        <v/>
      </c>
      <c r="B1515" s="17" t="str">
        <f t="shared" si="23"/>
        <v>Problem</v>
      </c>
    </row>
    <row r="1516" spans="1:2" x14ac:dyDescent="0.2">
      <c r="A1516" t="str">
        <f>IF(ISERROR(VLOOKUP(C1516,Questions!$A$1:G$9999,7,0)),"",VLOOKUP(C1516,Questions!$A$1:G$9999,7,0))</f>
        <v/>
      </c>
      <c r="B1516" s="17" t="str">
        <f t="shared" si="23"/>
        <v>Problem</v>
      </c>
    </row>
    <row r="1517" spans="1:2" x14ac:dyDescent="0.2">
      <c r="A1517" t="str">
        <f>IF(ISERROR(VLOOKUP(C1517,Questions!$A$1:G$9999,7,0)),"",VLOOKUP(C1517,Questions!$A$1:G$9999,7,0))</f>
        <v/>
      </c>
      <c r="B1517" s="17" t="str">
        <f t="shared" si="23"/>
        <v>Problem</v>
      </c>
    </row>
    <row r="1518" spans="1:2" x14ac:dyDescent="0.2">
      <c r="A1518" t="str">
        <f>IF(ISERROR(VLOOKUP(C1518,Questions!$A$1:G$9999,7,0)),"",VLOOKUP(C1518,Questions!$A$1:G$9999,7,0))</f>
        <v/>
      </c>
      <c r="B1518" s="17" t="str">
        <f t="shared" si="23"/>
        <v>Problem</v>
      </c>
    </row>
    <row r="1519" spans="1:2" x14ac:dyDescent="0.2">
      <c r="A1519" t="str">
        <f>IF(ISERROR(VLOOKUP(C1519,Questions!$A$1:G$9999,7,0)),"",VLOOKUP(C1519,Questions!$A$1:G$9999,7,0))</f>
        <v/>
      </c>
      <c r="B1519" s="17" t="str">
        <f t="shared" si="23"/>
        <v>Problem</v>
      </c>
    </row>
    <row r="1520" spans="1:2" x14ac:dyDescent="0.2">
      <c r="A1520" t="str">
        <f>IF(ISERROR(VLOOKUP(C1520,Questions!$A$1:G$9999,7,0)),"",VLOOKUP(C1520,Questions!$A$1:G$9999,7,0))</f>
        <v/>
      </c>
      <c r="B1520" s="17" t="str">
        <f t="shared" si="23"/>
        <v>Problem</v>
      </c>
    </row>
    <row r="1521" spans="1:2" x14ac:dyDescent="0.2">
      <c r="A1521" t="str">
        <f>IF(ISERROR(VLOOKUP(C1521,Questions!$A$1:G$9999,7,0)),"",VLOOKUP(C1521,Questions!$A$1:G$9999,7,0))</f>
        <v/>
      </c>
      <c r="B1521" s="17" t="str">
        <f t="shared" si="23"/>
        <v>Problem</v>
      </c>
    </row>
    <row r="1522" spans="1:2" x14ac:dyDescent="0.2">
      <c r="A1522" t="str">
        <f>IF(ISERROR(VLOOKUP(C1522,Questions!$A$1:G$9999,7,0)),"",VLOOKUP(C1522,Questions!$A$1:G$9999,7,0))</f>
        <v/>
      </c>
      <c r="B1522" s="17" t="str">
        <f t="shared" si="23"/>
        <v>Problem</v>
      </c>
    </row>
    <row r="1523" spans="1:2" x14ac:dyDescent="0.2">
      <c r="A1523" t="str">
        <f>IF(ISERROR(VLOOKUP(C1523,Questions!$A$1:G$9999,7,0)),"",VLOOKUP(C1523,Questions!$A$1:G$9999,7,0))</f>
        <v/>
      </c>
      <c r="B1523" s="17" t="str">
        <f t="shared" si="23"/>
        <v>Problem</v>
      </c>
    </row>
    <row r="1524" spans="1:2" x14ac:dyDescent="0.2">
      <c r="A1524" t="str">
        <f>IF(ISERROR(VLOOKUP(C1524,Questions!$A$1:G$9999,7,0)),"",VLOOKUP(C1524,Questions!$A$1:G$9999,7,0))</f>
        <v/>
      </c>
      <c r="B1524" s="17" t="str">
        <f t="shared" si="23"/>
        <v>Problem</v>
      </c>
    </row>
    <row r="1525" spans="1:2" x14ac:dyDescent="0.2">
      <c r="A1525" t="str">
        <f>IF(ISERROR(VLOOKUP(C1525,Questions!$A$1:G$9999,7,0)),"",VLOOKUP(C1525,Questions!$A$1:G$9999,7,0))</f>
        <v/>
      </c>
      <c r="B1525" s="17" t="str">
        <f t="shared" si="23"/>
        <v>Problem</v>
      </c>
    </row>
    <row r="1526" spans="1:2" x14ac:dyDescent="0.2">
      <c r="A1526" t="str">
        <f>IF(ISERROR(VLOOKUP(C1526,Questions!$A$1:G$9999,7,0)),"",VLOOKUP(C1526,Questions!$A$1:G$9999,7,0))</f>
        <v/>
      </c>
      <c r="B1526" s="17" t="str">
        <f t="shared" si="23"/>
        <v>Problem</v>
      </c>
    </row>
    <row r="1527" spans="1:2" x14ac:dyDescent="0.2">
      <c r="A1527" t="str">
        <f>IF(ISERROR(VLOOKUP(C1527,Questions!$A$1:G$9999,7,0)),"",VLOOKUP(C1527,Questions!$A$1:G$9999,7,0))</f>
        <v/>
      </c>
      <c r="B1527" s="17" t="str">
        <f t="shared" si="23"/>
        <v>Problem</v>
      </c>
    </row>
    <row r="1528" spans="1:2" x14ac:dyDescent="0.2">
      <c r="A1528" t="str">
        <f>IF(ISERROR(VLOOKUP(C1528,Questions!$A$1:G$9999,7,0)),"",VLOOKUP(C1528,Questions!$A$1:G$9999,7,0))</f>
        <v/>
      </c>
      <c r="B1528" s="17" t="str">
        <f t="shared" si="23"/>
        <v>Problem</v>
      </c>
    </row>
    <row r="1529" spans="1:2" x14ac:dyDescent="0.2">
      <c r="A1529" t="str">
        <f>IF(ISERROR(VLOOKUP(C1529,Questions!$A$1:G$9999,7,0)),"",VLOOKUP(C1529,Questions!$A$1:G$9999,7,0))</f>
        <v/>
      </c>
      <c r="B1529" s="17" t="str">
        <f t="shared" si="23"/>
        <v>Problem</v>
      </c>
    </row>
    <row r="1530" spans="1:2" x14ac:dyDescent="0.2">
      <c r="A1530" t="str">
        <f>IF(ISERROR(VLOOKUP(C1530,Questions!$A$1:G$9999,7,0)),"",VLOOKUP(C1530,Questions!$A$1:G$9999,7,0))</f>
        <v/>
      </c>
      <c r="B1530" s="17" t="str">
        <f t="shared" si="23"/>
        <v>Problem</v>
      </c>
    </row>
    <row r="1531" spans="1:2" x14ac:dyDescent="0.2">
      <c r="A1531" t="str">
        <f>IF(ISERROR(VLOOKUP(C1531,Questions!$A$1:G$9999,7,0)),"",VLOOKUP(C1531,Questions!$A$1:G$9999,7,0))</f>
        <v/>
      </c>
      <c r="B1531" s="17" t="str">
        <f t="shared" si="23"/>
        <v>Problem</v>
      </c>
    </row>
    <row r="1532" spans="1:2" x14ac:dyDescent="0.2">
      <c r="A1532" t="str">
        <f>IF(ISERROR(VLOOKUP(C1532,Questions!$A$1:G$9999,7,0)),"",VLOOKUP(C1532,Questions!$A$1:G$9999,7,0))</f>
        <v/>
      </c>
      <c r="B1532" s="17" t="str">
        <f t="shared" ref="B1532:B1595" si="24">HYPERLINK("http://www.mrhosey.com/RPhys/" &amp; C1532 &amp; ".gif","Problem")</f>
        <v>Problem</v>
      </c>
    </row>
    <row r="1533" spans="1:2" x14ac:dyDescent="0.2">
      <c r="A1533" t="str">
        <f>IF(ISERROR(VLOOKUP(C1533,Questions!$A$1:G$9999,7,0)),"",VLOOKUP(C1533,Questions!$A$1:G$9999,7,0))</f>
        <v/>
      </c>
      <c r="B1533" s="17" t="str">
        <f t="shared" si="24"/>
        <v>Problem</v>
      </c>
    </row>
    <row r="1534" spans="1:2" x14ac:dyDescent="0.2">
      <c r="A1534" t="str">
        <f>IF(ISERROR(VLOOKUP(C1534,Questions!$A$1:G$9999,7,0)),"",VLOOKUP(C1534,Questions!$A$1:G$9999,7,0))</f>
        <v/>
      </c>
      <c r="B1534" s="17" t="str">
        <f t="shared" si="24"/>
        <v>Problem</v>
      </c>
    </row>
    <row r="1535" spans="1:2" x14ac:dyDescent="0.2">
      <c r="A1535" t="str">
        <f>IF(ISERROR(VLOOKUP(C1535,Questions!$A$1:G$9999,7,0)),"",VLOOKUP(C1535,Questions!$A$1:G$9999,7,0))</f>
        <v/>
      </c>
      <c r="B1535" s="17" t="str">
        <f t="shared" si="24"/>
        <v>Problem</v>
      </c>
    </row>
    <row r="1536" spans="1:2" x14ac:dyDescent="0.2">
      <c r="A1536" t="str">
        <f>IF(ISERROR(VLOOKUP(C1536,Questions!$A$1:G$9999,7,0)),"",VLOOKUP(C1536,Questions!$A$1:G$9999,7,0))</f>
        <v/>
      </c>
      <c r="B1536" s="17" t="str">
        <f t="shared" si="24"/>
        <v>Problem</v>
      </c>
    </row>
    <row r="1537" spans="1:2" x14ac:dyDescent="0.2">
      <c r="A1537" t="str">
        <f>IF(ISERROR(VLOOKUP(C1537,Questions!$A$1:G$9999,7,0)),"",VLOOKUP(C1537,Questions!$A$1:G$9999,7,0))</f>
        <v/>
      </c>
      <c r="B1537" s="17" t="str">
        <f t="shared" si="24"/>
        <v>Problem</v>
      </c>
    </row>
    <row r="1538" spans="1:2" x14ac:dyDescent="0.2">
      <c r="A1538" t="str">
        <f>IF(ISERROR(VLOOKUP(C1538,Questions!$A$1:G$9999,7,0)),"",VLOOKUP(C1538,Questions!$A$1:G$9999,7,0))</f>
        <v/>
      </c>
      <c r="B1538" s="17" t="str">
        <f t="shared" si="24"/>
        <v>Problem</v>
      </c>
    </row>
    <row r="1539" spans="1:2" x14ac:dyDescent="0.2">
      <c r="A1539" t="str">
        <f>IF(ISERROR(VLOOKUP(C1539,Questions!$A$1:G$9999,7,0)),"",VLOOKUP(C1539,Questions!$A$1:G$9999,7,0))</f>
        <v/>
      </c>
      <c r="B1539" s="17" t="str">
        <f t="shared" si="24"/>
        <v>Problem</v>
      </c>
    </row>
    <row r="1540" spans="1:2" x14ac:dyDescent="0.2">
      <c r="A1540" t="str">
        <f>IF(ISERROR(VLOOKUP(C1540,Questions!$A$1:G$9999,7,0)),"",VLOOKUP(C1540,Questions!$A$1:G$9999,7,0))</f>
        <v/>
      </c>
      <c r="B1540" s="17" t="str">
        <f t="shared" si="24"/>
        <v>Problem</v>
      </c>
    </row>
    <row r="1541" spans="1:2" x14ac:dyDescent="0.2">
      <c r="A1541" t="str">
        <f>IF(ISERROR(VLOOKUP(C1541,Questions!$A$1:G$9999,7,0)),"",VLOOKUP(C1541,Questions!$A$1:G$9999,7,0))</f>
        <v/>
      </c>
      <c r="B1541" s="17" t="str">
        <f t="shared" si="24"/>
        <v>Problem</v>
      </c>
    </row>
    <row r="1542" spans="1:2" x14ac:dyDescent="0.2">
      <c r="A1542" t="str">
        <f>IF(ISERROR(VLOOKUP(C1542,Questions!$A$1:G$9999,7,0)),"",VLOOKUP(C1542,Questions!$A$1:G$9999,7,0))</f>
        <v/>
      </c>
      <c r="B1542" s="17" t="str">
        <f t="shared" si="24"/>
        <v>Problem</v>
      </c>
    </row>
    <row r="1543" spans="1:2" x14ac:dyDescent="0.2">
      <c r="A1543" t="str">
        <f>IF(ISERROR(VLOOKUP(C1543,Questions!$A$1:G$9999,7,0)),"",VLOOKUP(C1543,Questions!$A$1:G$9999,7,0))</f>
        <v/>
      </c>
      <c r="B1543" s="17" t="str">
        <f t="shared" si="24"/>
        <v>Problem</v>
      </c>
    </row>
    <row r="1544" spans="1:2" x14ac:dyDescent="0.2">
      <c r="A1544" t="str">
        <f>IF(ISERROR(VLOOKUP(C1544,Questions!$A$1:G$9999,7,0)),"",VLOOKUP(C1544,Questions!$A$1:G$9999,7,0))</f>
        <v/>
      </c>
      <c r="B1544" s="17" t="str">
        <f t="shared" si="24"/>
        <v>Problem</v>
      </c>
    </row>
    <row r="1545" spans="1:2" x14ac:dyDescent="0.2">
      <c r="A1545" t="str">
        <f>IF(ISERROR(VLOOKUP(C1545,Questions!$A$1:G$9999,7,0)),"",VLOOKUP(C1545,Questions!$A$1:G$9999,7,0))</f>
        <v/>
      </c>
      <c r="B1545" s="17" t="str">
        <f t="shared" si="24"/>
        <v>Problem</v>
      </c>
    </row>
    <row r="1546" spans="1:2" x14ac:dyDescent="0.2">
      <c r="A1546" t="str">
        <f>IF(ISERROR(VLOOKUP(C1546,Questions!$A$1:G$9999,7,0)),"",VLOOKUP(C1546,Questions!$A$1:G$9999,7,0))</f>
        <v/>
      </c>
      <c r="B1546" s="17" t="str">
        <f t="shared" si="24"/>
        <v>Problem</v>
      </c>
    </row>
    <row r="1547" spans="1:2" x14ac:dyDescent="0.2">
      <c r="A1547" t="str">
        <f>IF(ISERROR(VLOOKUP(C1547,Questions!$A$1:G$9999,7,0)),"",VLOOKUP(C1547,Questions!$A$1:G$9999,7,0))</f>
        <v/>
      </c>
      <c r="B1547" s="17" t="str">
        <f t="shared" si="24"/>
        <v>Problem</v>
      </c>
    </row>
    <row r="1548" spans="1:2" x14ac:dyDescent="0.2">
      <c r="A1548" t="str">
        <f>IF(ISERROR(VLOOKUP(C1548,Questions!$A$1:G$9999,7,0)),"",VLOOKUP(C1548,Questions!$A$1:G$9999,7,0))</f>
        <v/>
      </c>
      <c r="B1548" s="17" t="str">
        <f t="shared" si="24"/>
        <v>Problem</v>
      </c>
    </row>
    <row r="1549" spans="1:2" x14ac:dyDescent="0.2">
      <c r="A1549" t="str">
        <f>IF(ISERROR(VLOOKUP(C1549,Questions!$A$1:G$9999,7,0)),"",VLOOKUP(C1549,Questions!$A$1:G$9999,7,0))</f>
        <v/>
      </c>
      <c r="B1549" s="17" t="str">
        <f t="shared" si="24"/>
        <v>Problem</v>
      </c>
    </row>
    <row r="1550" spans="1:2" x14ac:dyDescent="0.2">
      <c r="A1550" t="str">
        <f>IF(ISERROR(VLOOKUP(C1550,Questions!$A$1:G$9999,7,0)),"",VLOOKUP(C1550,Questions!$A$1:G$9999,7,0))</f>
        <v/>
      </c>
      <c r="B1550" s="17" t="str">
        <f t="shared" si="24"/>
        <v>Problem</v>
      </c>
    </row>
    <row r="1551" spans="1:2" x14ac:dyDescent="0.2">
      <c r="A1551" t="str">
        <f>IF(ISERROR(VLOOKUP(C1551,Questions!$A$1:G$9999,7,0)),"",VLOOKUP(C1551,Questions!$A$1:G$9999,7,0))</f>
        <v/>
      </c>
      <c r="B1551" s="17" t="str">
        <f t="shared" si="24"/>
        <v>Problem</v>
      </c>
    </row>
    <row r="1552" spans="1:2" x14ac:dyDescent="0.2">
      <c r="A1552" t="str">
        <f>IF(ISERROR(VLOOKUP(C1552,Questions!$A$1:G$9999,7,0)),"",VLOOKUP(C1552,Questions!$A$1:G$9999,7,0))</f>
        <v/>
      </c>
      <c r="B1552" s="17" t="str">
        <f t="shared" si="24"/>
        <v>Problem</v>
      </c>
    </row>
    <row r="1553" spans="1:2" x14ac:dyDescent="0.2">
      <c r="A1553" t="str">
        <f>IF(ISERROR(VLOOKUP(C1553,Questions!$A$1:G$9999,7,0)),"",VLOOKUP(C1553,Questions!$A$1:G$9999,7,0))</f>
        <v/>
      </c>
      <c r="B1553" s="17" t="str">
        <f t="shared" si="24"/>
        <v>Problem</v>
      </c>
    </row>
    <row r="1554" spans="1:2" x14ac:dyDescent="0.2">
      <c r="A1554" t="str">
        <f>IF(ISERROR(VLOOKUP(C1554,Questions!$A$1:G$9999,7,0)),"",VLOOKUP(C1554,Questions!$A$1:G$9999,7,0))</f>
        <v/>
      </c>
      <c r="B1554" s="17" t="str">
        <f t="shared" si="24"/>
        <v>Problem</v>
      </c>
    </row>
    <row r="1555" spans="1:2" x14ac:dyDescent="0.2">
      <c r="A1555" t="str">
        <f>IF(ISERROR(VLOOKUP(C1555,Questions!$A$1:G$9999,7,0)),"",VLOOKUP(C1555,Questions!$A$1:G$9999,7,0))</f>
        <v/>
      </c>
      <c r="B1555" s="17" t="str">
        <f t="shared" si="24"/>
        <v>Problem</v>
      </c>
    </row>
    <row r="1556" spans="1:2" x14ac:dyDescent="0.2">
      <c r="A1556" t="str">
        <f>IF(ISERROR(VLOOKUP(C1556,Questions!$A$1:G$9999,7,0)),"",VLOOKUP(C1556,Questions!$A$1:G$9999,7,0))</f>
        <v/>
      </c>
      <c r="B1556" s="17" t="str">
        <f t="shared" si="24"/>
        <v>Problem</v>
      </c>
    </row>
    <row r="1557" spans="1:2" x14ac:dyDescent="0.2">
      <c r="A1557" t="str">
        <f>IF(ISERROR(VLOOKUP(C1557,Questions!$A$1:G$9999,7,0)),"",VLOOKUP(C1557,Questions!$A$1:G$9999,7,0))</f>
        <v/>
      </c>
      <c r="B1557" s="17" t="str">
        <f t="shared" si="24"/>
        <v>Problem</v>
      </c>
    </row>
    <row r="1558" spans="1:2" x14ac:dyDescent="0.2">
      <c r="A1558" t="str">
        <f>IF(ISERROR(VLOOKUP(C1558,Questions!$A$1:G$9999,7,0)),"",VLOOKUP(C1558,Questions!$A$1:G$9999,7,0))</f>
        <v/>
      </c>
      <c r="B1558" s="17" t="str">
        <f t="shared" si="24"/>
        <v>Problem</v>
      </c>
    </row>
    <row r="1559" spans="1:2" x14ac:dyDescent="0.2">
      <c r="A1559" t="str">
        <f>IF(ISERROR(VLOOKUP(C1559,Questions!$A$1:G$9999,7,0)),"",VLOOKUP(C1559,Questions!$A$1:G$9999,7,0))</f>
        <v/>
      </c>
      <c r="B1559" s="17" t="str">
        <f t="shared" si="24"/>
        <v>Problem</v>
      </c>
    </row>
    <row r="1560" spans="1:2" x14ac:dyDescent="0.2">
      <c r="A1560" t="str">
        <f>IF(ISERROR(VLOOKUP(C1560,Questions!$A$1:G$9999,7,0)),"",VLOOKUP(C1560,Questions!$A$1:G$9999,7,0))</f>
        <v/>
      </c>
      <c r="B1560" s="17" t="str">
        <f t="shared" si="24"/>
        <v>Problem</v>
      </c>
    </row>
    <row r="1561" spans="1:2" x14ac:dyDescent="0.2">
      <c r="A1561" t="str">
        <f>IF(ISERROR(VLOOKUP(C1561,Questions!$A$1:G$9999,7,0)),"",VLOOKUP(C1561,Questions!$A$1:G$9999,7,0))</f>
        <v/>
      </c>
      <c r="B1561" s="17" t="str">
        <f t="shared" si="24"/>
        <v>Problem</v>
      </c>
    </row>
    <row r="1562" spans="1:2" x14ac:dyDescent="0.2">
      <c r="A1562" t="str">
        <f>IF(ISERROR(VLOOKUP(C1562,Questions!$A$1:G$9999,7,0)),"",VLOOKUP(C1562,Questions!$A$1:G$9999,7,0))</f>
        <v/>
      </c>
      <c r="B1562" s="17" t="str">
        <f t="shared" si="24"/>
        <v>Problem</v>
      </c>
    </row>
    <row r="1563" spans="1:2" x14ac:dyDescent="0.2">
      <c r="A1563" t="str">
        <f>IF(ISERROR(VLOOKUP(C1563,Questions!$A$1:G$9999,7,0)),"",VLOOKUP(C1563,Questions!$A$1:G$9999,7,0))</f>
        <v/>
      </c>
      <c r="B1563" s="17" t="str">
        <f t="shared" si="24"/>
        <v>Problem</v>
      </c>
    </row>
    <row r="1564" spans="1:2" x14ac:dyDescent="0.2">
      <c r="A1564" t="str">
        <f>IF(ISERROR(VLOOKUP(C1564,Questions!$A$1:G$9999,7,0)),"",VLOOKUP(C1564,Questions!$A$1:G$9999,7,0))</f>
        <v/>
      </c>
      <c r="B1564" s="17" t="str">
        <f t="shared" si="24"/>
        <v>Problem</v>
      </c>
    </row>
    <row r="1565" spans="1:2" x14ac:dyDescent="0.2">
      <c r="A1565" t="str">
        <f>IF(ISERROR(VLOOKUP(C1565,Questions!$A$1:G$9999,7,0)),"",VLOOKUP(C1565,Questions!$A$1:G$9999,7,0))</f>
        <v/>
      </c>
      <c r="B1565" s="17" t="str">
        <f t="shared" si="24"/>
        <v>Problem</v>
      </c>
    </row>
    <row r="1566" spans="1:2" x14ac:dyDescent="0.2">
      <c r="A1566" t="str">
        <f>IF(ISERROR(VLOOKUP(C1566,Questions!$A$1:G$9999,7,0)),"",VLOOKUP(C1566,Questions!$A$1:G$9999,7,0))</f>
        <v/>
      </c>
      <c r="B1566" s="17" t="str">
        <f t="shared" si="24"/>
        <v>Problem</v>
      </c>
    </row>
    <row r="1567" spans="1:2" x14ac:dyDescent="0.2">
      <c r="A1567" t="str">
        <f>IF(ISERROR(VLOOKUP(C1567,Questions!$A$1:G$9999,7,0)),"",VLOOKUP(C1567,Questions!$A$1:G$9999,7,0))</f>
        <v/>
      </c>
      <c r="B1567" s="17" t="str">
        <f t="shared" si="24"/>
        <v>Problem</v>
      </c>
    </row>
    <row r="1568" spans="1:2" x14ac:dyDescent="0.2">
      <c r="A1568" t="str">
        <f>IF(ISERROR(VLOOKUP(C1568,Questions!$A$1:G$9999,7,0)),"",VLOOKUP(C1568,Questions!$A$1:G$9999,7,0))</f>
        <v/>
      </c>
      <c r="B1568" s="17" t="str">
        <f t="shared" si="24"/>
        <v>Problem</v>
      </c>
    </row>
    <row r="1569" spans="1:2" x14ac:dyDescent="0.2">
      <c r="A1569" t="str">
        <f>IF(ISERROR(VLOOKUP(C1569,Questions!$A$1:G$9999,7,0)),"",VLOOKUP(C1569,Questions!$A$1:G$9999,7,0))</f>
        <v/>
      </c>
      <c r="B1569" s="17" t="str">
        <f t="shared" si="24"/>
        <v>Problem</v>
      </c>
    </row>
    <row r="1570" spans="1:2" x14ac:dyDescent="0.2">
      <c r="A1570" t="str">
        <f>IF(ISERROR(VLOOKUP(C1570,Questions!$A$1:G$9999,7,0)),"",VLOOKUP(C1570,Questions!$A$1:G$9999,7,0))</f>
        <v/>
      </c>
      <c r="B1570" s="17" t="str">
        <f t="shared" si="24"/>
        <v>Problem</v>
      </c>
    </row>
    <row r="1571" spans="1:2" x14ac:dyDescent="0.2">
      <c r="A1571" t="str">
        <f>IF(ISERROR(VLOOKUP(C1571,Questions!$A$1:G$9999,7,0)),"",VLOOKUP(C1571,Questions!$A$1:G$9999,7,0))</f>
        <v/>
      </c>
      <c r="B1571" s="17" t="str">
        <f t="shared" si="24"/>
        <v>Problem</v>
      </c>
    </row>
    <row r="1572" spans="1:2" x14ac:dyDescent="0.2">
      <c r="A1572" t="str">
        <f>IF(ISERROR(VLOOKUP(C1572,Questions!$A$1:G$9999,7,0)),"",VLOOKUP(C1572,Questions!$A$1:G$9999,7,0))</f>
        <v/>
      </c>
      <c r="B1572" s="17" t="str">
        <f t="shared" si="24"/>
        <v>Problem</v>
      </c>
    </row>
    <row r="1573" spans="1:2" x14ac:dyDescent="0.2">
      <c r="A1573" t="str">
        <f>IF(ISERROR(VLOOKUP(C1573,Questions!$A$1:G$9999,7,0)),"",VLOOKUP(C1573,Questions!$A$1:G$9999,7,0))</f>
        <v/>
      </c>
      <c r="B1573" s="17" t="str">
        <f t="shared" si="24"/>
        <v>Problem</v>
      </c>
    </row>
    <row r="1574" spans="1:2" x14ac:dyDescent="0.2">
      <c r="A1574" t="str">
        <f>IF(ISERROR(VLOOKUP(C1574,Questions!$A$1:G$9999,7,0)),"",VLOOKUP(C1574,Questions!$A$1:G$9999,7,0))</f>
        <v/>
      </c>
      <c r="B1574" s="17" t="str">
        <f t="shared" si="24"/>
        <v>Problem</v>
      </c>
    </row>
    <row r="1575" spans="1:2" x14ac:dyDescent="0.2">
      <c r="A1575" t="str">
        <f>IF(ISERROR(VLOOKUP(C1575,Questions!$A$1:G$9999,7,0)),"",VLOOKUP(C1575,Questions!$A$1:G$9999,7,0))</f>
        <v/>
      </c>
      <c r="B1575" s="17" t="str">
        <f t="shared" si="24"/>
        <v>Problem</v>
      </c>
    </row>
    <row r="1576" spans="1:2" x14ac:dyDescent="0.2">
      <c r="A1576" t="str">
        <f>IF(ISERROR(VLOOKUP(C1576,Questions!$A$1:G$9999,7,0)),"",VLOOKUP(C1576,Questions!$A$1:G$9999,7,0))</f>
        <v/>
      </c>
      <c r="B1576" s="17" t="str">
        <f t="shared" si="24"/>
        <v>Problem</v>
      </c>
    </row>
    <row r="1577" spans="1:2" x14ac:dyDescent="0.2">
      <c r="A1577" t="str">
        <f>IF(ISERROR(VLOOKUP(C1577,Questions!$A$1:G$9999,7,0)),"",VLOOKUP(C1577,Questions!$A$1:G$9999,7,0))</f>
        <v/>
      </c>
      <c r="B1577" s="17" t="str">
        <f t="shared" si="24"/>
        <v>Problem</v>
      </c>
    </row>
    <row r="1578" spans="1:2" x14ac:dyDescent="0.2">
      <c r="A1578" t="str">
        <f>IF(ISERROR(VLOOKUP(C1578,Questions!$A$1:G$9999,7,0)),"",VLOOKUP(C1578,Questions!$A$1:G$9999,7,0))</f>
        <v/>
      </c>
      <c r="B1578" s="17" t="str">
        <f t="shared" si="24"/>
        <v>Problem</v>
      </c>
    </row>
    <row r="1579" spans="1:2" x14ac:dyDescent="0.2">
      <c r="A1579" t="str">
        <f>IF(ISERROR(VLOOKUP(C1579,Questions!$A$1:G$9999,7,0)),"",VLOOKUP(C1579,Questions!$A$1:G$9999,7,0))</f>
        <v/>
      </c>
      <c r="B1579" s="17" t="str">
        <f t="shared" si="24"/>
        <v>Problem</v>
      </c>
    </row>
    <row r="1580" spans="1:2" x14ac:dyDescent="0.2">
      <c r="A1580" t="str">
        <f>IF(ISERROR(VLOOKUP(C1580,Questions!$A$1:G$9999,7,0)),"",VLOOKUP(C1580,Questions!$A$1:G$9999,7,0))</f>
        <v/>
      </c>
      <c r="B1580" s="17" t="str">
        <f t="shared" si="24"/>
        <v>Problem</v>
      </c>
    </row>
    <row r="1581" spans="1:2" x14ac:dyDescent="0.2">
      <c r="A1581" t="str">
        <f>IF(ISERROR(VLOOKUP(C1581,Questions!$A$1:G$9999,7,0)),"",VLOOKUP(C1581,Questions!$A$1:G$9999,7,0))</f>
        <v/>
      </c>
      <c r="B1581" s="17" t="str">
        <f t="shared" si="24"/>
        <v>Problem</v>
      </c>
    </row>
    <row r="1582" spans="1:2" x14ac:dyDescent="0.2">
      <c r="A1582" t="str">
        <f>IF(ISERROR(VLOOKUP(C1582,Questions!$A$1:G$9999,7,0)),"",VLOOKUP(C1582,Questions!$A$1:G$9999,7,0))</f>
        <v/>
      </c>
      <c r="B1582" s="17" t="str">
        <f t="shared" si="24"/>
        <v>Problem</v>
      </c>
    </row>
    <row r="1583" spans="1:2" x14ac:dyDescent="0.2">
      <c r="A1583" t="str">
        <f>IF(ISERROR(VLOOKUP(C1583,Questions!$A$1:G$9999,7,0)),"",VLOOKUP(C1583,Questions!$A$1:G$9999,7,0))</f>
        <v/>
      </c>
      <c r="B1583" s="17" t="str">
        <f t="shared" si="24"/>
        <v>Problem</v>
      </c>
    </row>
    <row r="1584" spans="1:2" x14ac:dyDescent="0.2">
      <c r="A1584" t="str">
        <f>IF(ISERROR(VLOOKUP(C1584,Questions!$A$1:G$9999,7,0)),"",VLOOKUP(C1584,Questions!$A$1:G$9999,7,0))</f>
        <v/>
      </c>
      <c r="B1584" s="17" t="str">
        <f t="shared" si="24"/>
        <v>Problem</v>
      </c>
    </row>
    <row r="1585" spans="1:2" x14ac:dyDescent="0.2">
      <c r="A1585" t="str">
        <f>IF(ISERROR(VLOOKUP(C1585,Questions!$A$1:G$9999,7,0)),"",VLOOKUP(C1585,Questions!$A$1:G$9999,7,0))</f>
        <v/>
      </c>
      <c r="B1585" s="17" t="str">
        <f t="shared" si="24"/>
        <v>Problem</v>
      </c>
    </row>
    <row r="1586" spans="1:2" x14ac:dyDescent="0.2">
      <c r="A1586" t="str">
        <f>IF(ISERROR(VLOOKUP(C1586,Questions!$A$1:G$9999,7,0)),"",VLOOKUP(C1586,Questions!$A$1:G$9999,7,0))</f>
        <v/>
      </c>
      <c r="B1586" s="17" t="str">
        <f t="shared" si="24"/>
        <v>Problem</v>
      </c>
    </row>
    <row r="1587" spans="1:2" x14ac:dyDescent="0.2">
      <c r="A1587" t="str">
        <f>IF(ISERROR(VLOOKUP(C1587,Questions!$A$1:G$9999,7,0)),"",VLOOKUP(C1587,Questions!$A$1:G$9999,7,0))</f>
        <v/>
      </c>
      <c r="B1587" s="17" t="str">
        <f t="shared" si="24"/>
        <v>Problem</v>
      </c>
    </row>
    <row r="1588" spans="1:2" x14ac:dyDescent="0.2">
      <c r="A1588" t="str">
        <f>IF(ISERROR(VLOOKUP(C1588,Questions!$A$1:G$9999,7,0)),"",VLOOKUP(C1588,Questions!$A$1:G$9999,7,0))</f>
        <v/>
      </c>
      <c r="B1588" s="17" t="str">
        <f t="shared" si="24"/>
        <v>Problem</v>
      </c>
    </row>
    <row r="1589" spans="1:2" x14ac:dyDescent="0.2">
      <c r="A1589" t="str">
        <f>IF(ISERROR(VLOOKUP(C1589,Questions!$A$1:G$9999,7,0)),"",VLOOKUP(C1589,Questions!$A$1:G$9999,7,0))</f>
        <v/>
      </c>
      <c r="B1589" s="17" t="str">
        <f t="shared" si="24"/>
        <v>Problem</v>
      </c>
    </row>
    <row r="1590" spans="1:2" x14ac:dyDescent="0.2">
      <c r="A1590" t="str">
        <f>IF(ISERROR(VLOOKUP(C1590,Questions!$A$1:G$9999,7,0)),"",VLOOKUP(C1590,Questions!$A$1:G$9999,7,0))</f>
        <v/>
      </c>
      <c r="B1590" s="17" t="str">
        <f t="shared" si="24"/>
        <v>Problem</v>
      </c>
    </row>
    <row r="1591" spans="1:2" x14ac:dyDescent="0.2">
      <c r="A1591" t="str">
        <f>IF(ISERROR(VLOOKUP(C1591,Questions!$A$1:G$9999,7,0)),"",VLOOKUP(C1591,Questions!$A$1:G$9999,7,0))</f>
        <v/>
      </c>
      <c r="B1591" s="17" t="str">
        <f t="shared" si="24"/>
        <v>Problem</v>
      </c>
    </row>
    <row r="1592" spans="1:2" x14ac:dyDescent="0.2">
      <c r="A1592" t="str">
        <f>IF(ISERROR(VLOOKUP(C1592,Questions!$A$1:G$9999,7,0)),"",VLOOKUP(C1592,Questions!$A$1:G$9999,7,0))</f>
        <v/>
      </c>
      <c r="B1592" s="17" t="str">
        <f t="shared" si="24"/>
        <v>Problem</v>
      </c>
    </row>
    <row r="1593" spans="1:2" x14ac:dyDescent="0.2">
      <c r="A1593" t="str">
        <f>IF(ISERROR(VLOOKUP(C1593,Questions!$A$1:G$9999,7,0)),"",VLOOKUP(C1593,Questions!$A$1:G$9999,7,0))</f>
        <v/>
      </c>
      <c r="B1593" s="17" t="str">
        <f t="shared" si="24"/>
        <v>Problem</v>
      </c>
    </row>
    <row r="1594" spans="1:2" x14ac:dyDescent="0.2">
      <c r="A1594" t="str">
        <f>IF(ISERROR(VLOOKUP(C1594,Questions!$A$1:G$9999,7,0)),"",VLOOKUP(C1594,Questions!$A$1:G$9999,7,0))</f>
        <v/>
      </c>
      <c r="B1594" s="17" t="str">
        <f t="shared" si="24"/>
        <v>Problem</v>
      </c>
    </row>
    <row r="1595" spans="1:2" x14ac:dyDescent="0.2">
      <c r="A1595" t="str">
        <f>IF(ISERROR(VLOOKUP(C1595,Questions!$A$1:G$9999,7,0)),"",VLOOKUP(C1595,Questions!$A$1:G$9999,7,0))</f>
        <v/>
      </c>
      <c r="B1595" s="17" t="str">
        <f t="shared" si="24"/>
        <v>Problem</v>
      </c>
    </row>
    <row r="1596" spans="1:2" x14ac:dyDescent="0.2">
      <c r="A1596" t="str">
        <f>IF(ISERROR(VLOOKUP(C1596,Questions!$A$1:G$9999,7,0)),"",VLOOKUP(C1596,Questions!$A$1:G$9999,7,0))</f>
        <v/>
      </c>
      <c r="B1596" s="17" t="str">
        <f t="shared" ref="B1596:B1659" si="25">HYPERLINK("http://www.mrhosey.com/RPhys/" &amp; C1596 &amp; ".gif","Problem")</f>
        <v>Problem</v>
      </c>
    </row>
    <row r="1597" spans="1:2" x14ac:dyDescent="0.2">
      <c r="A1597" t="str">
        <f>IF(ISERROR(VLOOKUP(C1597,Questions!$A$1:G$9999,7,0)),"",VLOOKUP(C1597,Questions!$A$1:G$9999,7,0))</f>
        <v/>
      </c>
      <c r="B1597" s="17" t="str">
        <f t="shared" si="25"/>
        <v>Problem</v>
      </c>
    </row>
    <row r="1598" spans="1:2" x14ac:dyDescent="0.2">
      <c r="A1598" t="str">
        <f>IF(ISERROR(VLOOKUP(C1598,Questions!$A$1:G$9999,7,0)),"",VLOOKUP(C1598,Questions!$A$1:G$9999,7,0))</f>
        <v/>
      </c>
      <c r="B1598" s="17" t="str">
        <f t="shared" si="25"/>
        <v>Problem</v>
      </c>
    </row>
    <row r="1599" spans="1:2" x14ac:dyDescent="0.2">
      <c r="A1599" t="str">
        <f>IF(ISERROR(VLOOKUP(C1599,Questions!$A$1:G$9999,7,0)),"",VLOOKUP(C1599,Questions!$A$1:G$9999,7,0))</f>
        <v/>
      </c>
      <c r="B1599" s="17" t="str">
        <f t="shared" si="25"/>
        <v>Problem</v>
      </c>
    </row>
    <row r="1600" spans="1:2" x14ac:dyDescent="0.2">
      <c r="A1600" t="str">
        <f>IF(ISERROR(VLOOKUP(C1600,Questions!$A$1:G$9999,7,0)),"",VLOOKUP(C1600,Questions!$A$1:G$9999,7,0))</f>
        <v/>
      </c>
      <c r="B1600" s="17" t="str">
        <f t="shared" si="25"/>
        <v>Problem</v>
      </c>
    </row>
    <row r="1601" spans="1:2" x14ac:dyDescent="0.2">
      <c r="A1601" t="str">
        <f>IF(ISERROR(VLOOKUP(C1601,Questions!$A$1:G$9999,7,0)),"",VLOOKUP(C1601,Questions!$A$1:G$9999,7,0))</f>
        <v/>
      </c>
      <c r="B1601" s="17" t="str">
        <f t="shared" si="25"/>
        <v>Problem</v>
      </c>
    </row>
    <row r="1602" spans="1:2" x14ac:dyDescent="0.2">
      <c r="A1602" t="str">
        <f>IF(ISERROR(VLOOKUP(C1602,Questions!$A$1:G$9999,7,0)),"",VLOOKUP(C1602,Questions!$A$1:G$9999,7,0))</f>
        <v/>
      </c>
      <c r="B1602" s="17" t="str">
        <f t="shared" si="25"/>
        <v>Problem</v>
      </c>
    </row>
    <row r="1603" spans="1:2" x14ac:dyDescent="0.2">
      <c r="A1603" t="str">
        <f>IF(ISERROR(VLOOKUP(C1603,Questions!$A$1:G$9999,7,0)),"",VLOOKUP(C1603,Questions!$A$1:G$9999,7,0))</f>
        <v/>
      </c>
      <c r="B1603" s="17" t="str">
        <f t="shared" si="25"/>
        <v>Problem</v>
      </c>
    </row>
    <row r="1604" spans="1:2" x14ac:dyDescent="0.2">
      <c r="A1604" t="str">
        <f>IF(ISERROR(VLOOKUP(C1604,Questions!$A$1:G$9999,7,0)),"",VLOOKUP(C1604,Questions!$A$1:G$9999,7,0))</f>
        <v/>
      </c>
      <c r="B1604" s="17" t="str">
        <f t="shared" si="25"/>
        <v>Problem</v>
      </c>
    </row>
    <row r="1605" spans="1:2" x14ac:dyDescent="0.2">
      <c r="A1605" t="str">
        <f>IF(ISERROR(VLOOKUP(C1605,Questions!$A$1:G$9999,7,0)),"",VLOOKUP(C1605,Questions!$A$1:G$9999,7,0))</f>
        <v/>
      </c>
      <c r="B1605" s="17" t="str">
        <f t="shared" si="25"/>
        <v>Problem</v>
      </c>
    </row>
    <row r="1606" spans="1:2" x14ac:dyDescent="0.2">
      <c r="A1606" t="str">
        <f>IF(ISERROR(VLOOKUP(C1606,Questions!$A$1:G$9999,7,0)),"",VLOOKUP(C1606,Questions!$A$1:G$9999,7,0))</f>
        <v/>
      </c>
      <c r="B1606" s="17" t="str">
        <f t="shared" si="25"/>
        <v>Problem</v>
      </c>
    </row>
    <row r="1607" spans="1:2" x14ac:dyDescent="0.2">
      <c r="A1607" t="str">
        <f>IF(ISERROR(VLOOKUP(C1607,Questions!$A$1:G$9999,7,0)),"",VLOOKUP(C1607,Questions!$A$1:G$9999,7,0))</f>
        <v/>
      </c>
      <c r="B1607" s="17" t="str">
        <f t="shared" si="25"/>
        <v>Problem</v>
      </c>
    </row>
    <row r="1608" spans="1:2" x14ac:dyDescent="0.2">
      <c r="A1608" t="str">
        <f>IF(ISERROR(VLOOKUP(C1608,Questions!$A$1:G$9999,7,0)),"",VLOOKUP(C1608,Questions!$A$1:G$9999,7,0))</f>
        <v/>
      </c>
      <c r="B1608" s="17" t="str">
        <f t="shared" si="25"/>
        <v>Problem</v>
      </c>
    </row>
    <row r="1609" spans="1:2" x14ac:dyDescent="0.2">
      <c r="A1609" t="str">
        <f>IF(ISERROR(VLOOKUP(C1609,Questions!$A$1:G$9999,7,0)),"",VLOOKUP(C1609,Questions!$A$1:G$9999,7,0))</f>
        <v/>
      </c>
      <c r="B1609" s="17" t="str">
        <f t="shared" si="25"/>
        <v>Problem</v>
      </c>
    </row>
    <row r="1610" spans="1:2" x14ac:dyDescent="0.2">
      <c r="A1610" t="str">
        <f>IF(ISERROR(VLOOKUP(C1610,Questions!$A$1:G$9999,7,0)),"",VLOOKUP(C1610,Questions!$A$1:G$9999,7,0))</f>
        <v/>
      </c>
      <c r="B1610" s="17" t="str">
        <f t="shared" si="25"/>
        <v>Problem</v>
      </c>
    </row>
    <row r="1611" spans="1:2" x14ac:dyDescent="0.2">
      <c r="A1611" t="str">
        <f>IF(ISERROR(VLOOKUP(C1611,Questions!$A$1:G$9999,7,0)),"",VLOOKUP(C1611,Questions!$A$1:G$9999,7,0))</f>
        <v/>
      </c>
      <c r="B1611" s="17" t="str">
        <f t="shared" si="25"/>
        <v>Problem</v>
      </c>
    </row>
    <row r="1612" spans="1:2" x14ac:dyDescent="0.2">
      <c r="A1612" t="str">
        <f>IF(ISERROR(VLOOKUP(C1612,Questions!$A$1:G$9999,7,0)),"",VLOOKUP(C1612,Questions!$A$1:G$9999,7,0))</f>
        <v/>
      </c>
      <c r="B1612" s="17" t="str">
        <f t="shared" si="25"/>
        <v>Problem</v>
      </c>
    </row>
    <row r="1613" spans="1:2" x14ac:dyDescent="0.2">
      <c r="A1613" t="str">
        <f>IF(ISERROR(VLOOKUP(C1613,Questions!$A$1:G$9999,7,0)),"",VLOOKUP(C1613,Questions!$A$1:G$9999,7,0))</f>
        <v/>
      </c>
      <c r="B1613" s="17" t="str">
        <f t="shared" si="25"/>
        <v>Problem</v>
      </c>
    </row>
    <row r="1614" spans="1:2" x14ac:dyDescent="0.2">
      <c r="A1614" t="str">
        <f>IF(ISERROR(VLOOKUP(C1614,Questions!$A$1:G$9999,7,0)),"",VLOOKUP(C1614,Questions!$A$1:G$9999,7,0))</f>
        <v/>
      </c>
      <c r="B1614" s="17" t="str">
        <f t="shared" si="25"/>
        <v>Problem</v>
      </c>
    </row>
    <row r="1615" spans="1:2" x14ac:dyDescent="0.2">
      <c r="A1615" t="str">
        <f>IF(ISERROR(VLOOKUP(C1615,Questions!$A$1:G$9999,7,0)),"",VLOOKUP(C1615,Questions!$A$1:G$9999,7,0))</f>
        <v/>
      </c>
      <c r="B1615" s="17" t="str">
        <f t="shared" si="25"/>
        <v>Problem</v>
      </c>
    </row>
    <row r="1616" spans="1:2" x14ac:dyDescent="0.2">
      <c r="A1616" t="str">
        <f>IF(ISERROR(VLOOKUP(C1616,Questions!$A$1:G$9999,7,0)),"",VLOOKUP(C1616,Questions!$A$1:G$9999,7,0))</f>
        <v/>
      </c>
      <c r="B1616" s="17" t="str">
        <f t="shared" si="25"/>
        <v>Problem</v>
      </c>
    </row>
    <row r="1617" spans="1:2" x14ac:dyDescent="0.2">
      <c r="A1617" t="str">
        <f>IF(ISERROR(VLOOKUP(C1617,Questions!$A$1:G$9999,7,0)),"",VLOOKUP(C1617,Questions!$A$1:G$9999,7,0))</f>
        <v/>
      </c>
      <c r="B1617" s="17" t="str">
        <f t="shared" si="25"/>
        <v>Problem</v>
      </c>
    </row>
    <row r="1618" spans="1:2" x14ac:dyDescent="0.2">
      <c r="A1618" t="str">
        <f>IF(ISERROR(VLOOKUP(C1618,Questions!$A$1:G$9999,7,0)),"",VLOOKUP(C1618,Questions!$A$1:G$9999,7,0))</f>
        <v/>
      </c>
      <c r="B1618" s="17" t="str">
        <f t="shared" si="25"/>
        <v>Problem</v>
      </c>
    </row>
    <row r="1619" spans="1:2" x14ac:dyDescent="0.2">
      <c r="A1619" t="str">
        <f>IF(ISERROR(VLOOKUP(C1619,Questions!$A$1:G$9999,7,0)),"",VLOOKUP(C1619,Questions!$A$1:G$9999,7,0))</f>
        <v/>
      </c>
      <c r="B1619" s="17" t="str">
        <f t="shared" si="25"/>
        <v>Problem</v>
      </c>
    </row>
    <row r="1620" spans="1:2" x14ac:dyDescent="0.2">
      <c r="A1620" t="str">
        <f>IF(ISERROR(VLOOKUP(C1620,Questions!$A$1:G$9999,7,0)),"",VLOOKUP(C1620,Questions!$A$1:G$9999,7,0))</f>
        <v/>
      </c>
      <c r="B1620" s="17" t="str">
        <f t="shared" si="25"/>
        <v>Problem</v>
      </c>
    </row>
    <row r="1621" spans="1:2" x14ac:dyDescent="0.2">
      <c r="A1621" t="str">
        <f>IF(ISERROR(VLOOKUP(C1621,Questions!$A$1:G$9999,7,0)),"",VLOOKUP(C1621,Questions!$A$1:G$9999,7,0))</f>
        <v/>
      </c>
      <c r="B1621" s="17" t="str">
        <f t="shared" si="25"/>
        <v>Problem</v>
      </c>
    </row>
    <row r="1622" spans="1:2" x14ac:dyDescent="0.2">
      <c r="A1622" t="str">
        <f>IF(ISERROR(VLOOKUP(C1622,Questions!$A$1:G$9999,7,0)),"",VLOOKUP(C1622,Questions!$A$1:G$9999,7,0))</f>
        <v/>
      </c>
      <c r="B1622" s="17" t="str">
        <f t="shared" si="25"/>
        <v>Problem</v>
      </c>
    </row>
    <row r="1623" spans="1:2" x14ac:dyDescent="0.2">
      <c r="A1623" t="str">
        <f>IF(ISERROR(VLOOKUP(C1623,Questions!$A$1:G$9999,7,0)),"",VLOOKUP(C1623,Questions!$A$1:G$9999,7,0))</f>
        <v/>
      </c>
      <c r="B1623" s="17" t="str">
        <f t="shared" si="25"/>
        <v>Problem</v>
      </c>
    </row>
    <row r="1624" spans="1:2" x14ac:dyDescent="0.2">
      <c r="A1624" t="str">
        <f>IF(ISERROR(VLOOKUP(C1624,Questions!$A$1:G$9999,7,0)),"",VLOOKUP(C1624,Questions!$A$1:G$9999,7,0))</f>
        <v/>
      </c>
      <c r="B1624" s="17" t="str">
        <f t="shared" si="25"/>
        <v>Problem</v>
      </c>
    </row>
    <row r="1625" spans="1:2" x14ac:dyDescent="0.2">
      <c r="A1625" t="str">
        <f>IF(ISERROR(VLOOKUP(C1625,Questions!$A$1:G$9999,7,0)),"",VLOOKUP(C1625,Questions!$A$1:G$9999,7,0))</f>
        <v/>
      </c>
      <c r="B1625" s="17" t="str">
        <f t="shared" si="25"/>
        <v>Problem</v>
      </c>
    </row>
    <row r="1626" spans="1:2" x14ac:dyDescent="0.2">
      <c r="A1626" t="str">
        <f>IF(ISERROR(VLOOKUP(C1626,Questions!$A$1:G$9999,7,0)),"",VLOOKUP(C1626,Questions!$A$1:G$9999,7,0))</f>
        <v/>
      </c>
      <c r="B1626" s="17" t="str">
        <f t="shared" si="25"/>
        <v>Problem</v>
      </c>
    </row>
    <row r="1627" spans="1:2" x14ac:dyDescent="0.2">
      <c r="A1627" t="str">
        <f>IF(ISERROR(VLOOKUP(C1627,Questions!$A$1:G$9999,7,0)),"",VLOOKUP(C1627,Questions!$A$1:G$9999,7,0))</f>
        <v/>
      </c>
      <c r="B1627" s="17" t="str">
        <f t="shared" si="25"/>
        <v>Problem</v>
      </c>
    </row>
    <row r="1628" spans="1:2" x14ac:dyDescent="0.2">
      <c r="A1628" t="str">
        <f>IF(ISERROR(VLOOKUP(C1628,Questions!$A$1:G$9999,7,0)),"",VLOOKUP(C1628,Questions!$A$1:G$9999,7,0))</f>
        <v/>
      </c>
      <c r="B1628" s="17" t="str">
        <f t="shared" si="25"/>
        <v>Problem</v>
      </c>
    </row>
    <row r="1629" spans="1:2" x14ac:dyDescent="0.2">
      <c r="A1629" t="str">
        <f>IF(ISERROR(VLOOKUP(C1629,Questions!$A$1:G$9999,7,0)),"",VLOOKUP(C1629,Questions!$A$1:G$9999,7,0))</f>
        <v/>
      </c>
      <c r="B1629" s="17" t="str">
        <f t="shared" si="25"/>
        <v>Problem</v>
      </c>
    </row>
    <row r="1630" spans="1:2" x14ac:dyDescent="0.2">
      <c r="A1630" t="str">
        <f>IF(ISERROR(VLOOKUP(C1630,Questions!$A$1:G$9999,7,0)),"",VLOOKUP(C1630,Questions!$A$1:G$9999,7,0))</f>
        <v/>
      </c>
      <c r="B1630" s="17" t="str">
        <f t="shared" si="25"/>
        <v>Problem</v>
      </c>
    </row>
    <row r="1631" spans="1:2" x14ac:dyDescent="0.2">
      <c r="A1631" t="str">
        <f>IF(ISERROR(VLOOKUP(C1631,Questions!$A$1:G$9999,7,0)),"",VLOOKUP(C1631,Questions!$A$1:G$9999,7,0))</f>
        <v/>
      </c>
      <c r="B1631" s="17" t="str">
        <f t="shared" si="25"/>
        <v>Problem</v>
      </c>
    </row>
    <row r="1632" spans="1:2" x14ac:dyDescent="0.2">
      <c r="A1632" t="str">
        <f>IF(ISERROR(VLOOKUP(C1632,Questions!$A$1:G$9999,7,0)),"",VLOOKUP(C1632,Questions!$A$1:G$9999,7,0))</f>
        <v/>
      </c>
      <c r="B1632" s="17" t="str">
        <f t="shared" si="25"/>
        <v>Problem</v>
      </c>
    </row>
    <row r="1633" spans="1:2" x14ac:dyDescent="0.2">
      <c r="A1633" t="str">
        <f>IF(ISERROR(VLOOKUP(C1633,Questions!$A$1:G$9999,7,0)),"",VLOOKUP(C1633,Questions!$A$1:G$9999,7,0))</f>
        <v/>
      </c>
      <c r="B1633" s="17" t="str">
        <f t="shared" si="25"/>
        <v>Problem</v>
      </c>
    </row>
    <row r="1634" spans="1:2" x14ac:dyDescent="0.2">
      <c r="A1634" t="str">
        <f>IF(ISERROR(VLOOKUP(C1634,Questions!$A$1:G$9999,7,0)),"",VLOOKUP(C1634,Questions!$A$1:G$9999,7,0))</f>
        <v/>
      </c>
      <c r="B1634" s="17" t="str">
        <f t="shared" si="25"/>
        <v>Problem</v>
      </c>
    </row>
    <row r="1635" spans="1:2" x14ac:dyDescent="0.2">
      <c r="A1635" t="str">
        <f>IF(ISERROR(VLOOKUP(C1635,Questions!$A$1:G$9999,7,0)),"",VLOOKUP(C1635,Questions!$A$1:G$9999,7,0))</f>
        <v/>
      </c>
      <c r="B1635" s="17" t="str">
        <f t="shared" si="25"/>
        <v>Problem</v>
      </c>
    </row>
    <row r="1636" spans="1:2" x14ac:dyDescent="0.2">
      <c r="A1636" t="str">
        <f>IF(ISERROR(VLOOKUP(C1636,Questions!$A$1:G$9999,7,0)),"",VLOOKUP(C1636,Questions!$A$1:G$9999,7,0))</f>
        <v/>
      </c>
      <c r="B1636" s="17" t="str">
        <f t="shared" si="25"/>
        <v>Problem</v>
      </c>
    </row>
    <row r="1637" spans="1:2" x14ac:dyDescent="0.2">
      <c r="A1637" t="str">
        <f>IF(ISERROR(VLOOKUP(C1637,Questions!$A$1:G$9999,7,0)),"",VLOOKUP(C1637,Questions!$A$1:G$9999,7,0))</f>
        <v/>
      </c>
      <c r="B1637" s="17" t="str">
        <f t="shared" si="25"/>
        <v>Problem</v>
      </c>
    </row>
    <row r="1638" spans="1:2" x14ac:dyDescent="0.2">
      <c r="A1638" t="str">
        <f>IF(ISERROR(VLOOKUP(C1638,Questions!$A$1:G$9999,7,0)),"",VLOOKUP(C1638,Questions!$A$1:G$9999,7,0))</f>
        <v/>
      </c>
      <c r="B1638" s="17" t="str">
        <f t="shared" si="25"/>
        <v>Problem</v>
      </c>
    </row>
    <row r="1639" spans="1:2" x14ac:dyDescent="0.2">
      <c r="A1639" t="str">
        <f>IF(ISERROR(VLOOKUP(C1639,Questions!$A$1:G$9999,7,0)),"",VLOOKUP(C1639,Questions!$A$1:G$9999,7,0))</f>
        <v/>
      </c>
      <c r="B1639" s="17" t="str">
        <f t="shared" si="25"/>
        <v>Problem</v>
      </c>
    </row>
    <row r="1640" spans="1:2" x14ac:dyDescent="0.2">
      <c r="A1640" t="str">
        <f>IF(ISERROR(VLOOKUP(C1640,Questions!$A$1:G$9999,7,0)),"",VLOOKUP(C1640,Questions!$A$1:G$9999,7,0))</f>
        <v/>
      </c>
      <c r="B1640" s="17" t="str">
        <f t="shared" si="25"/>
        <v>Problem</v>
      </c>
    </row>
    <row r="1641" spans="1:2" x14ac:dyDescent="0.2">
      <c r="A1641" t="str">
        <f>IF(ISERROR(VLOOKUP(C1641,Questions!$A$1:G$9999,7,0)),"",VLOOKUP(C1641,Questions!$A$1:G$9999,7,0))</f>
        <v/>
      </c>
      <c r="B1641" s="17" t="str">
        <f t="shared" si="25"/>
        <v>Problem</v>
      </c>
    </row>
    <row r="1642" spans="1:2" x14ac:dyDescent="0.2">
      <c r="A1642" t="str">
        <f>IF(ISERROR(VLOOKUP(C1642,Questions!$A$1:G$9999,7,0)),"",VLOOKUP(C1642,Questions!$A$1:G$9999,7,0))</f>
        <v/>
      </c>
      <c r="B1642" s="17" t="str">
        <f t="shared" si="25"/>
        <v>Problem</v>
      </c>
    </row>
    <row r="1643" spans="1:2" x14ac:dyDescent="0.2">
      <c r="A1643" t="str">
        <f>IF(ISERROR(VLOOKUP(C1643,Questions!$A$1:G$9999,7,0)),"",VLOOKUP(C1643,Questions!$A$1:G$9999,7,0))</f>
        <v/>
      </c>
      <c r="B1643" s="17" t="str">
        <f t="shared" si="25"/>
        <v>Problem</v>
      </c>
    </row>
    <row r="1644" spans="1:2" x14ac:dyDescent="0.2">
      <c r="A1644" t="str">
        <f>IF(ISERROR(VLOOKUP(C1644,Questions!$A$1:G$9999,7,0)),"",VLOOKUP(C1644,Questions!$A$1:G$9999,7,0))</f>
        <v/>
      </c>
      <c r="B1644" s="17" t="str">
        <f t="shared" si="25"/>
        <v>Problem</v>
      </c>
    </row>
    <row r="1645" spans="1:2" x14ac:dyDescent="0.2">
      <c r="A1645" t="str">
        <f>IF(ISERROR(VLOOKUP(C1645,Questions!$A$1:G$9999,7,0)),"",VLOOKUP(C1645,Questions!$A$1:G$9999,7,0))</f>
        <v/>
      </c>
      <c r="B1645" s="17" t="str">
        <f t="shared" si="25"/>
        <v>Problem</v>
      </c>
    </row>
    <row r="1646" spans="1:2" x14ac:dyDescent="0.2">
      <c r="A1646" t="str">
        <f>IF(ISERROR(VLOOKUP(C1646,Questions!$A$1:G$9999,7,0)),"",VLOOKUP(C1646,Questions!$A$1:G$9999,7,0))</f>
        <v/>
      </c>
      <c r="B1646" s="17" t="str">
        <f t="shared" si="25"/>
        <v>Problem</v>
      </c>
    </row>
    <row r="1647" spans="1:2" x14ac:dyDescent="0.2">
      <c r="A1647" t="str">
        <f>IF(ISERROR(VLOOKUP(C1647,Questions!$A$1:G$9999,7,0)),"",VLOOKUP(C1647,Questions!$A$1:G$9999,7,0))</f>
        <v/>
      </c>
      <c r="B1647" s="17" t="str">
        <f t="shared" si="25"/>
        <v>Problem</v>
      </c>
    </row>
    <row r="1648" spans="1:2" x14ac:dyDescent="0.2">
      <c r="A1648" t="str">
        <f>IF(ISERROR(VLOOKUP(C1648,Questions!$A$1:G$9999,7,0)),"",VLOOKUP(C1648,Questions!$A$1:G$9999,7,0))</f>
        <v/>
      </c>
      <c r="B1648" s="17" t="str">
        <f t="shared" si="25"/>
        <v>Problem</v>
      </c>
    </row>
    <row r="1649" spans="1:2" x14ac:dyDescent="0.2">
      <c r="A1649" t="str">
        <f>IF(ISERROR(VLOOKUP(C1649,Questions!$A$1:G$9999,7,0)),"",VLOOKUP(C1649,Questions!$A$1:G$9999,7,0))</f>
        <v/>
      </c>
      <c r="B1649" s="17" t="str">
        <f t="shared" si="25"/>
        <v>Problem</v>
      </c>
    </row>
    <row r="1650" spans="1:2" x14ac:dyDescent="0.2">
      <c r="A1650" t="str">
        <f>IF(ISERROR(VLOOKUP(C1650,Questions!$A$1:G$9999,7,0)),"",VLOOKUP(C1650,Questions!$A$1:G$9999,7,0))</f>
        <v/>
      </c>
      <c r="B1650" s="17" t="str">
        <f t="shared" si="25"/>
        <v>Problem</v>
      </c>
    </row>
    <row r="1651" spans="1:2" x14ac:dyDescent="0.2">
      <c r="A1651" t="str">
        <f>IF(ISERROR(VLOOKUP(C1651,Questions!$A$1:G$9999,7,0)),"",VLOOKUP(C1651,Questions!$A$1:G$9999,7,0))</f>
        <v/>
      </c>
      <c r="B1651" s="17" t="str">
        <f t="shared" si="25"/>
        <v>Problem</v>
      </c>
    </row>
    <row r="1652" spans="1:2" x14ac:dyDescent="0.2">
      <c r="A1652" t="str">
        <f>IF(ISERROR(VLOOKUP(C1652,Questions!$A$1:G$9999,7,0)),"",VLOOKUP(C1652,Questions!$A$1:G$9999,7,0))</f>
        <v/>
      </c>
      <c r="B1652" s="17" t="str">
        <f t="shared" si="25"/>
        <v>Problem</v>
      </c>
    </row>
    <row r="1653" spans="1:2" x14ac:dyDescent="0.2">
      <c r="A1653" t="str">
        <f>IF(ISERROR(VLOOKUP(C1653,Questions!$A$1:G$9999,7,0)),"",VLOOKUP(C1653,Questions!$A$1:G$9999,7,0))</f>
        <v/>
      </c>
      <c r="B1653" s="17" t="str">
        <f t="shared" si="25"/>
        <v>Problem</v>
      </c>
    </row>
    <row r="1654" spans="1:2" x14ac:dyDescent="0.2">
      <c r="A1654" t="str">
        <f>IF(ISERROR(VLOOKUP(C1654,Questions!$A$1:G$9999,7,0)),"",VLOOKUP(C1654,Questions!$A$1:G$9999,7,0))</f>
        <v/>
      </c>
      <c r="B1654" s="17" t="str">
        <f t="shared" si="25"/>
        <v>Problem</v>
      </c>
    </row>
    <row r="1655" spans="1:2" x14ac:dyDescent="0.2">
      <c r="A1655" t="str">
        <f>IF(ISERROR(VLOOKUP(C1655,Questions!$A$1:G$9999,7,0)),"",VLOOKUP(C1655,Questions!$A$1:G$9999,7,0))</f>
        <v/>
      </c>
      <c r="B1655" s="17" t="str">
        <f t="shared" si="25"/>
        <v>Problem</v>
      </c>
    </row>
    <row r="1656" spans="1:2" x14ac:dyDescent="0.2">
      <c r="A1656" t="str">
        <f>IF(ISERROR(VLOOKUP(C1656,Questions!$A$1:G$9999,7,0)),"",VLOOKUP(C1656,Questions!$A$1:G$9999,7,0))</f>
        <v/>
      </c>
      <c r="B1656" s="17" t="str">
        <f t="shared" si="25"/>
        <v>Problem</v>
      </c>
    </row>
    <row r="1657" spans="1:2" x14ac:dyDescent="0.2">
      <c r="A1657" t="str">
        <f>IF(ISERROR(VLOOKUP(C1657,Questions!$A$1:G$9999,7,0)),"",VLOOKUP(C1657,Questions!$A$1:G$9999,7,0))</f>
        <v/>
      </c>
      <c r="B1657" s="17" t="str">
        <f t="shared" si="25"/>
        <v>Problem</v>
      </c>
    </row>
    <row r="1658" spans="1:2" x14ac:dyDescent="0.2">
      <c r="A1658" t="str">
        <f>IF(ISERROR(VLOOKUP(C1658,Questions!$A$1:G$9999,7,0)),"",VLOOKUP(C1658,Questions!$A$1:G$9999,7,0))</f>
        <v/>
      </c>
      <c r="B1658" s="17" t="str">
        <f t="shared" si="25"/>
        <v>Problem</v>
      </c>
    </row>
    <row r="1659" spans="1:2" x14ac:dyDescent="0.2">
      <c r="A1659" t="str">
        <f>IF(ISERROR(VLOOKUP(C1659,Questions!$A$1:G$9999,7,0)),"",VLOOKUP(C1659,Questions!$A$1:G$9999,7,0))</f>
        <v/>
      </c>
      <c r="B1659" s="17" t="str">
        <f t="shared" si="25"/>
        <v>Problem</v>
      </c>
    </row>
    <row r="1660" spans="1:2" x14ac:dyDescent="0.2">
      <c r="A1660" t="str">
        <f>IF(ISERROR(VLOOKUP(C1660,Questions!$A$1:G$9999,7,0)),"",VLOOKUP(C1660,Questions!$A$1:G$9999,7,0))</f>
        <v/>
      </c>
      <c r="B1660" s="17" t="str">
        <f t="shared" ref="B1660:B1723" si="26">HYPERLINK("http://www.mrhosey.com/RPhys/" &amp; C1660 &amp; ".gif","Problem")</f>
        <v>Problem</v>
      </c>
    </row>
    <row r="1661" spans="1:2" x14ac:dyDescent="0.2">
      <c r="A1661" t="str">
        <f>IF(ISERROR(VLOOKUP(C1661,Questions!$A$1:G$9999,7,0)),"",VLOOKUP(C1661,Questions!$A$1:G$9999,7,0))</f>
        <v/>
      </c>
      <c r="B1661" s="17" t="str">
        <f t="shared" si="26"/>
        <v>Problem</v>
      </c>
    </row>
    <row r="1662" spans="1:2" x14ac:dyDescent="0.2">
      <c r="A1662" t="str">
        <f>IF(ISERROR(VLOOKUP(C1662,Questions!$A$1:G$9999,7,0)),"",VLOOKUP(C1662,Questions!$A$1:G$9999,7,0))</f>
        <v/>
      </c>
      <c r="B1662" s="17" t="str">
        <f t="shared" si="26"/>
        <v>Problem</v>
      </c>
    </row>
    <row r="1663" spans="1:2" x14ac:dyDescent="0.2">
      <c r="A1663" t="str">
        <f>IF(ISERROR(VLOOKUP(C1663,Questions!$A$1:G$9999,7,0)),"",VLOOKUP(C1663,Questions!$A$1:G$9999,7,0))</f>
        <v/>
      </c>
      <c r="B1663" s="17" t="str">
        <f t="shared" si="26"/>
        <v>Problem</v>
      </c>
    </row>
    <row r="1664" spans="1:2" x14ac:dyDescent="0.2">
      <c r="A1664" t="str">
        <f>IF(ISERROR(VLOOKUP(C1664,Questions!$A$1:G$9999,7,0)),"",VLOOKUP(C1664,Questions!$A$1:G$9999,7,0))</f>
        <v/>
      </c>
      <c r="B1664" s="17" t="str">
        <f t="shared" si="26"/>
        <v>Problem</v>
      </c>
    </row>
    <row r="1665" spans="1:2" x14ac:dyDescent="0.2">
      <c r="A1665" t="str">
        <f>IF(ISERROR(VLOOKUP(C1665,Questions!$A$1:G$9999,7,0)),"",VLOOKUP(C1665,Questions!$A$1:G$9999,7,0))</f>
        <v/>
      </c>
      <c r="B1665" s="17" t="str">
        <f t="shared" si="26"/>
        <v>Problem</v>
      </c>
    </row>
    <row r="1666" spans="1:2" x14ac:dyDescent="0.2">
      <c r="A1666" t="str">
        <f>IF(ISERROR(VLOOKUP(C1666,Questions!$A$1:G$9999,7,0)),"",VLOOKUP(C1666,Questions!$A$1:G$9999,7,0))</f>
        <v/>
      </c>
      <c r="B1666" s="17" t="str">
        <f t="shared" si="26"/>
        <v>Problem</v>
      </c>
    </row>
    <row r="1667" spans="1:2" x14ac:dyDescent="0.2">
      <c r="A1667" t="str">
        <f>IF(ISERROR(VLOOKUP(C1667,Questions!$A$1:G$9999,7,0)),"",VLOOKUP(C1667,Questions!$A$1:G$9999,7,0))</f>
        <v/>
      </c>
      <c r="B1667" s="17" t="str">
        <f t="shared" si="26"/>
        <v>Problem</v>
      </c>
    </row>
    <row r="1668" spans="1:2" x14ac:dyDescent="0.2">
      <c r="A1668" t="str">
        <f>IF(ISERROR(VLOOKUP(C1668,Questions!$A$1:G$9999,7,0)),"",VLOOKUP(C1668,Questions!$A$1:G$9999,7,0))</f>
        <v/>
      </c>
      <c r="B1668" s="17" t="str">
        <f t="shared" si="26"/>
        <v>Problem</v>
      </c>
    </row>
    <row r="1669" spans="1:2" x14ac:dyDescent="0.2">
      <c r="A1669" t="str">
        <f>IF(ISERROR(VLOOKUP(C1669,Questions!$A$1:G$9999,7,0)),"",VLOOKUP(C1669,Questions!$A$1:G$9999,7,0))</f>
        <v/>
      </c>
      <c r="B1669" s="17" t="str">
        <f t="shared" si="26"/>
        <v>Problem</v>
      </c>
    </row>
    <row r="1670" spans="1:2" x14ac:dyDescent="0.2">
      <c r="A1670" t="str">
        <f>IF(ISERROR(VLOOKUP(C1670,Questions!$A$1:G$9999,7,0)),"",VLOOKUP(C1670,Questions!$A$1:G$9999,7,0))</f>
        <v/>
      </c>
      <c r="B1670" s="17" t="str">
        <f t="shared" si="26"/>
        <v>Problem</v>
      </c>
    </row>
    <row r="1671" spans="1:2" x14ac:dyDescent="0.2">
      <c r="A1671" t="str">
        <f>IF(ISERROR(VLOOKUP(C1671,Questions!$A$1:G$9999,7,0)),"",VLOOKUP(C1671,Questions!$A$1:G$9999,7,0))</f>
        <v/>
      </c>
      <c r="B1671" s="17" t="str">
        <f t="shared" si="26"/>
        <v>Problem</v>
      </c>
    </row>
    <row r="1672" spans="1:2" x14ac:dyDescent="0.2">
      <c r="A1672" t="str">
        <f>IF(ISERROR(VLOOKUP(C1672,Questions!$A$1:G$9999,7,0)),"",VLOOKUP(C1672,Questions!$A$1:G$9999,7,0))</f>
        <v/>
      </c>
      <c r="B1672" s="17" t="str">
        <f t="shared" si="26"/>
        <v>Problem</v>
      </c>
    </row>
    <row r="1673" spans="1:2" x14ac:dyDescent="0.2">
      <c r="A1673" t="str">
        <f>IF(ISERROR(VLOOKUP(C1673,Questions!$A$1:G$9999,7,0)),"",VLOOKUP(C1673,Questions!$A$1:G$9999,7,0))</f>
        <v/>
      </c>
      <c r="B1673" s="17" t="str">
        <f t="shared" si="26"/>
        <v>Problem</v>
      </c>
    </row>
    <row r="1674" spans="1:2" x14ac:dyDescent="0.2">
      <c r="A1674" t="str">
        <f>IF(ISERROR(VLOOKUP(C1674,Questions!$A$1:G$9999,7,0)),"",VLOOKUP(C1674,Questions!$A$1:G$9999,7,0))</f>
        <v/>
      </c>
      <c r="B1674" s="17" t="str">
        <f t="shared" si="26"/>
        <v>Problem</v>
      </c>
    </row>
    <row r="1675" spans="1:2" x14ac:dyDescent="0.2">
      <c r="A1675" t="str">
        <f>IF(ISERROR(VLOOKUP(C1675,Questions!$A$1:G$9999,7,0)),"",VLOOKUP(C1675,Questions!$A$1:G$9999,7,0))</f>
        <v/>
      </c>
      <c r="B1675" s="17" t="str">
        <f t="shared" si="26"/>
        <v>Problem</v>
      </c>
    </row>
    <row r="1676" spans="1:2" x14ac:dyDescent="0.2">
      <c r="A1676" t="str">
        <f>IF(ISERROR(VLOOKUP(C1676,Questions!$A$1:G$9999,7,0)),"",VLOOKUP(C1676,Questions!$A$1:G$9999,7,0))</f>
        <v/>
      </c>
      <c r="B1676" s="17" t="str">
        <f t="shared" si="26"/>
        <v>Problem</v>
      </c>
    </row>
    <row r="1677" spans="1:2" x14ac:dyDescent="0.2">
      <c r="A1677" t="str">
        <f>IF(ISERROR(VLOOKUP(C1677,Questions!$A$1:G$9999,7,0)),"",VLOOKUP(C1677,Questions!$A$1:G$9999,7,0))</f>
        <v/>
      </c>
      <c r="B1677" s="17" t="str">
        <f t="shared" si="26"/>
        <v>Problem</v>
      </c>
    </row>
    <row r="1678" spans="1:2" x14ac:dyDescent="0.2">
      <c r="A1678" t="str">
        <f>IF(ISERROR(VLOOKUP(C1678,Questions!$A$1:G$9999,7,0)),"",VLOOKUP(C1678,Questions!$A$1:G$9999,7,0))</f>
        <v/>
      </c>
      <c r="B1678" s="17" t="str">
        <f t="shared" si="26"/>
        <v>Problem</v>
      </c>
    </row>
    <row r="1679" spans="1:2" x14ac:dyDescent="0.2">
      <c r="A1679" t="str">
        <f>IF(ISERROR(VLOOKUP(C1679,Questions!$A$1:G$9999,7,0)),"",VLOOKUP(C1679,Questions!$A$1:G$9999,7,0))</f>
        <v/>
      </c>
      <c r="B1679" s="17" t="str">
        <f t="shared" si="26"/>
        <v>Problem</v>
      </c>
    </row>
    <row r="1680" spans="1:2" x14ac:dyDescent="0.2">
      <c r="A1680" t="str">
        <f>IF(ISERROR(VLOOKUP(C1680,Questions!$A$1:G$9999,7,0)),"",VLOOKUP(C1680,Questions!$A$1:G$9999,7,0))</f>
        <v/>
      </c>
      <c r="B1680" s="17" t="str">
        <f t="shared" si="26"/>
        <v>Problem</v>
      </c>
    </row>
    <row r="1681" spans="1:2" x14ac:dyDescent="0.2">
      <c r="A1681" t="str">
        <f>IF(ISERROR(VLOOKUP(C1681,Questions!$A$1:G$9999,7,0)),"",VLOOKUP(C1681,Questions!$A$1:G$9999,7,0))</f>
        <v/>
      </c>
      <c r="B1681" s="17" t="str">
        <f t="shared" si="26"/>
        <v>Problem</v>
      </c>
    </row>
    <row r="1682" spans="1:2" x14ac:dyDescent="0.2">
      <c r="A1682" t="str">
        <f>IF(ISERROR(VLOOKUP(C1682,Questions!$A$1:G$9999,7,0)),"",VLOOKUP(C1682,Questions!$A$1:G$9999,7,0))</f>
        <v/>
      </c>
      <c r="B1682" s="17" t="str">
        <f t="shared" si="26"/>
        <v>Problem</v>
      </c>
    </row>
    <row r="1683" spans="1:2" x14ac:dyDescent="0.2">
      <c r="A1683" t="str">
        <f>IF(ISERROR(VLOOKUP(C1683,Questions!$A$1:G$9999,7,0)),"",VLOOKUP(C1683,Questions!$A$1:G$9999,7,0))</f>
        <v/>
      </c>
      <c r="B1683" s="17" t="str">
        <f t="shared" si="26"/>
        <v>Problem</v>
      </c>
    </row>
    <row r="1684" spans="1:2" x14ac:dyDescent="0.2">
      <c r="A1684" t="str">
        <f>IF(ISERROR(VLOOKUP(C1684,Questions!$A$1:G$9999,7,0)),"",VLOOKUP(C1684,Questions!$A$1:G$9999,7,0))</f>
        <v/>
      </c>
      <c r="B1684" s="17" t="str">
        <f t="shared" si="26"/>
        <v>Problem</v>
      </c>
    </row>
    <row r="1685" spans="1:2" x14ac:dyDescent="0.2">
      <c r="A1685" t="str">
        <f>IF(ISERROR(VLOOKUP(C1685,Questions!$A$1:G$9999,7,0)),"",VLOOKUP(C1685,Questions!$A$1:G$9999,7,0))</f>
        <v/>
      </c>
      <c r="B1685" s="17" t="str">
        <f t="shared" si="26"/>
        <v>Problem</v>
      </c>
    </row>
    <row r="1686" spans="1:2" x14ac:dyDescent="0.2">
      <c r="A1686" t="str">
        <f>IF(ISERROR(VLOOKUP(C1686,Questions!$A$1:G$9999,7,0)),"",VLOOKUP(C1686,Questions!$A$1:G$9999,7,0))</f>
        <v/>
      </c>
      <c r="B1686" s="17" t="str">
        <f t="shared" si="26"/>
        <v>Problem</v>
      </c>
    </row>
    <row r="1687" spans="1:2" x14ac:dyDescent="0.2">
      <c r="A1687" t="str">
        <f>IF(ISERROR(VLOOKUP(C1687,Questions!$A$1:G$9999,7,0)),"",VLOOKUP(C1687,Questions!$A$1:G$9999,7,0))</f>
        <v/>
      </c>
      <c r="B1687" s="17" t="str">
        <f t="shared" si="26"/>
        <v>Problem</v>
      </c>
    </row>
    <row r="1688" spans="1:2" x14ac:dyDescent="0.2">
      <c r="A1688" t="str">
        <f>IF(ISERROR(VLOOKUP(C1688,Questions!$A$1:G$9999,7,0)),"",VLOOKUP(C1688,Questions!$A$1:G$9999,7,0))</f>
        <v/>
      </c>
      <c r="B1688" s="17" t="str">
        <f t="shared" si="26"/>
        <v>Problem</v>
      </c>
    </row>
    <row r="1689" spans="1:2" x14ac:dyDescent="0.2">
      <c r="A1689" t="str">
        <f>IF(ISERROR(VLOOKUP(C1689,Questions!$A$1:G$9999,7,0)),"",VLOOKUP(C1689,Questions!$A$1:G$9999,7,0))</f>
        <v/>
      </c>
      <c r="B1689" s="17" t="str">
        <f t="shared" si="26"/>
        <v>Problem</v>
      </c>
    </row>
    <row r="1690" spans="1:2" x14ac:dyDescent="0.2">
      <c r="A1690" t="str">
        <f>IF(ISERROR(VLOOKUP(C1690,Questions!$A$1:G$9999,7,0)),"",VLOOKUP(C1690,Questions!$A$1:G$9999,7,0))</f>
        <v/>
      </c>
      <c r="B1690" s="17" t="str">
        <f t="shared" si="26"/>
        <v>Problem</v>
      </c>
    </row>
    <row r="1691" spans="1:2" x14ac:dyDescent="0.2">
      <c r="A1691" t="str">
        <f>IF(ISERROR(VLOOKUP(C1691,Questions!$A$1:G$9999,7,0)),"",VLOOKUP(C1691,Questions!$A$1:G$9999,7,0))</f>
        <v/>
      </c>
      <c r="B1691" s="17" t="str">
        <f t="shared" si="26"/>
        <v>Problem</v>
      </c>
    </row>
    <row r="1692" spans="1:2" x14ac:dyDescent="0.2">
      <c r="A1692" t="str">
        <f>IF(ISERROR(VLOOKUP(C1692,Questions!$A$1:G$9999,7,0)),"",VLOOKUP(C1692,Questions!$A$1:G$9999,7,0))</f>
        <v/>
      </c>
      <c r="B1692" s="17" t="str">
        <f t="shared" si="26"/>
        <v>Problem</v>
      </c>
    </row>
    <row r="1693" spans="1:2" x14ac:dyDescent="0.2">
      <c r="A1693" t="str">
        <f>IF(ISERROR(VLOOKUP(C1693,Questions!$A$1:G$9999,7,0)),"",VLOOKUP(C1693,Questions!$A$1:G$9999,7,0))</f>
        <v/>
      </c>
      <c r="B1693" s="17" t="str">
        <f t="shared" si="26"/>
        <v>Problem</v>
      </c>
    </row>
    <row r="1694" spans="1:2" x14ac:dyDescent="0.2">
      <c r="A1694" t="str">
        <f>IF(ISERROR(VLOOKUP(C1694,Questions!$A$1:G$9999,7,0)),"",VLOOKUP(C1694,Questions!$A$1:G$9999,7,0))</f>
        <v/>
      </c>
      <c r="B1694" s="17" t="str">
        <f t="shared" si="26"/>
        <v>Problem</v>
      </c>
    </row>
    <row r="1695" spans="1:2" x14ac:dyDescent="0.2">
      <c r="A1695" t="str">
        <f>IF(ISERROR(VLOOKUP(C1695,Questions!$A$1:G$9999,7,0)),"",VLOOKUP(C1695,Questions!$A$1:G$9999,7,0))</f>
        <v/>
      </c>
      <c r="B1695" s="17" t="str">
        <f t="shared" si="26"/>
        <v>Problem</v>
      </c>
    </row>
    <row r="1696" spans="1:2" x14ac:dyDescent="0.2">
      <c r="A1696" t="str">
        <f>IF(ISERROR(VLOOKUP(C1696,Questions!$A$1:G$9999,7,0)),"",VLOOKUP(C1696,Questions!$A$1:G$9999,7,0))</f>
        <v/>
      </c>
      <c r="B1696" s="17" t="str">
        <f t="shared" si="26"/>
        <v>Problem</v>
      </c>
    </row>
    <row r="1697" spans="1:2" x14ac:dyDescent="0.2">
      <c r="A1697" t="str">
        <f>IF(ISERROR(VLOOKUP(C1697,Questions!$A$1:G$9999,7,0)),"",VLOOKUP(C1697,Questions!$A$1:G$9999,7,0))</f>
        <v/>
      </c>
      <c r="B1697" s="17" t="str">
        <f t="shared" si="26"/>
        <v>Problem</v>
      </c>
    </row>
    <row r="1698" spans="1:2" x14ac:dyDescent="0.2">
      <c r="A1698" t="str">
        <f>IF(ISERROR(VLOOKUP(C1698,Questions!$A$1:G$9999,7,0)),"",VLOOKUP(C1698,Questions!$A$1:G$9999,7,0))</f>
        <v/>
      </c>
      <c r="B1698" s="17" t="str">
        <f t="shared" si="26"/>
        <v>Problem</v>
      </c>
    </row>
    <row r="1699" spans="1:2" x14ac:dyDescent="0.2">
      <c r="A1699" t="str">
        <f>IF(ISERROR(VLOOKUP(C1699,Questions!$A$1:G$9999,7,0)),"",VLOOKUP(C1699,Questions!$A$1:G$9999,7,0))</f>
        <v/>
      </c>
      <c r="B1699" s="17" t="str">
        <f t="shared" si="26"/>
        <v>Problem</v>
      </c>
    </row>
    <row r="1700" spans="1:2" x14ac:dyDescent="0.2">
      <c r="A1700" t="str">
        <f>IF(ISERROR(VLOOKUP(C1700,Questions!$A$1:G$9999,7,0)),"",VLOOKUP(C1700,Questions!$A$1:G$9999,7,0))</f>
        <v/>
      </c>
      <c r="B1700" s="17" t="str">
        <f t="shared" si="26"/>
        <v>Problem</v>
      </c>
    </row>
    <row r="1701" spans="1:2" x14ac:dyDescent="0.2">
      <c r="A1701" t="str">
        <f>IF(ISERROR(VLOOKUP(C1701,Questions!$A$1:G$9999,7,0)),"",VLOOKUP(C1701,Questions!$A$1:G$9999,7,0))</f>
        <v/>
      </c>
      <c r="B1701" s="17" t="str">
        <f t="shared" si="26"/>
        <v>Problem</v>
      </c>
    </row>
    <row r="1702" spans="1:2" x14ac:dyDescent="0.2">
      <c r="A1702" t="str">
        <f>IF(ISERROR(VLOOKUP(C1702,Questions!$A$1:G$9999,7,0)),"",VLOOKUP(C1702,Questions!$A$1:G$9999,7,0))</f>
        <v/>
      </c>
      <c r="B1702" s="17" t="str">
        <f t="shared" si="26"/>
        <v>Problem</v>
      </c>
    </row>
    <row r="1703" spans="1:2" x14ac:dyDescent="0.2">
      <c r="A1703" t="str">
        <f>IF(ISERROR(VLOOKUP(C1703,Questions!$A$1:G$9999,7,0)),"",VLOOKUP(C1703,Questions!$A$1:G$9999,7,0))</f>
        <v/>
      </c>
      <c r="B1703" s="17" t="str">
        <f t="shared" si="26"/>
        <v>Problem</v>
      </c>
    </row>
    <row r="1704" spans="1:2" x14ac:dyDescent="0.2">
      <c r="A1704" t="str">
        <f>IF(ISERROR(VLOOKUP(C1704,Questions!$A$1:G$9999,7,0)),"",VLOOKUP(C1704,Questions!$A$1:G$9999,7,0))</f>
        <v/>
      </c>
      <c r="B1704" s="17" t="str">
        <f t="shared" si="26"/>
        <v>Problem</v>
      </c>
    </row>
    <row r="1705" spans="1:2" x14ac:dyDescent="0.2">
      <c r="A1705" t="str">
        <f>IF(ISERROR(VLOOKUP(C1705,Questions!$A$1:G$9999,7,0)),"",VLOOKUP(C1705,Questions!$A$1:G$9999,7,0))</f>
        <v/>
      </c>
      <c r="B1705" s="17" t="str">
        <f t="shared" si="26"/>
        <v>Problem</v>
      </c>
    </row>
    <row r="1706" spans="1:2" x14ac:dyDescent="0.2">
      <c r="A1706" t="str">
        <f>IF(ISERROR(VLOOKUP(C1706,Questions!$A$1:G$9999,7,0)),"",VLOOKUP(C1706,Questions!$A$1:G$9999,7,0))</f>
        <v/>
      </c>
      <c r="B1706" s="17" t="str">
        <f t="shared" si="26"/>
        <v>Problem</v>
      </c>
    </row>
    <row r="1707" spans="1:2" x14ac:dyDescent="0.2">
      <c r="A1707" t="str">
        <f>IF(ISERROR(VLOOKUP(C1707,Questions!$A$1:G$9999,7,0)),"",VLOOKUP(C1707,Questions!$A$1:G$9999,7,0))</f>
        <v/>
      </c>
      <c r="B1707" s="17" t="str">
        <f t="shared" si="26"/>
        <v>Problem</v>
      </c>
    </row>
    <row r="1708" spans="1:2" x14ac:dyDescent="0.2">
      <c r="A1708" t="str">
        <f>IF(ISERROR(VLOOKUP(C1708,Questions!$A$1:G$9999,7,0)),"",VLOOKUP(C1708,Questions!$A$1:G$9999,7,0))</f>
        <v/>
      </c>
      <c r="B1708" s="17" t="str">
        <f t="shared" si="26"/>
        <v>Problem</v>
      </c>
    </row>
    <row r="1709" spans="1:2" x14ac:dyDescent="0.2">
      <c r="A1709" t="str">
        <f>IF(ISERROR(VLOOKUP(C1709,Questions!$A$1:G$9999,7,0)),"",VLOOKUP(C1709,Questions!$A$1:G$9999,7,0))</f>
        <v/>
      </c>
      <c r="B1709" s="17" t="str">
        <f t="shared" si="26"/>
        <v>Problem</v>
      </c>
    </row>
    <row r="1710" spans="1:2" x14ac:dyDescent="0.2">
      <c r="A1710" t="str">
        <f>IF(ISERROR(VLOOKUP(C1710,Questions!$A$1:G$9999,7,0)),"",VLOOKUP(C1710,Questions!$A$1:G$9999,7,0))</f>
        <v/>
      </c>
      <c r="B1710" s="17" t="str">
        <f t="shared" si="26"/>
        <v>Problem</v>
      </c>
    </row>
    <row r="1711" spans="1:2" x14ac:dyDescent="0.2">
      <c r="A1711" t="str">
        <f>IF(ISERROR(VLOOKUP(C1711,Questions!$A$1:G$9999,7,0)),"",VLOOKUP(C1711,Questions!$A$1:G$9999,7,0))</f>
        <v/>
      </c>
      <c r="B1711" s="17" t="str">
        <f t="shared" si="26"/>
        <v>Problem</v>
      </c>
    </row>
    <row r="1712" spans="1:2" x14ac:dyDescent="0.2">
      <c r="A1712" t="str">
        <f>IF(ISERROR(VLOOKUP(C1712,Questions!$A$1:G$9999,7,0)),"",VLOOKUP(C1712,Questions!$A$1:G$9999,7,0))</f>
        <v/>
      </c>
      <c r="B1712" s="17" t="str">
        <f t="shared" si="26"/>
        <v>Problem</v>
      </c>
    </row>
    <row r="1713" spans="1:2" x14ac:dyDescent="0.2">
      <c r="A1713" t="str">
        <f>IF(ISERROR(VLOOKUP(C1713,Questions!$A$1:G$9999,7,0)),"",VLOOKUP(C1713,Questions!$A$1:G$9999,7,0))</f>
        <v/>
      </c>
      <c r="B1713" s="17" t="str">
        <f t="shared" si="26"/>
        <v>Problem</v>
      </c>
    </row>
    <row r="1714" spans="1:2" x14ac:dyDescent="0.2">
      <c r="A1714" t="str">
        <f>IF(ISERROR(VLOOKUP(C1714,Questions!$A$1:G$9999,7,0)),"",VLOOKUP(C1714,Questions!$A$1:G$9999,7,0))</f>
        <v/>
      </c>
      <c r="B1714" s="17" t="str">
        <f t="shared" si="26"/>
        <v>Problem</v>
      </c>
    </row>
    <row r="1715" spans="1:2" x14ac:dyDescent="0.2">
      <c r="A1715" t="str">
        <f>IF(ISERROR(VLOOKUP(C1715,Questions!$A$1:G$9999,7,0)),"",VLOOKUP(C1715,Questions!$A$1:G$9999,7,0))</f>
        <v/>
      </c>
      <c r="B1715" s="17" t="str">
        <f t="shared" si="26"/>
        <v>Problem</v>
      </c>
    </row>
    <row r="1716" spans="1:2" x14ac:dyDescent="0.2">
      <c r="A1716" t="str">
        <f>IF(ISERROR(VLOOKUP(C1716,Questions!$A$1:G$9999,7,0)),"",VLOOKUP(C1716,Questions!$A$1:G$9999,7,0))</f>
        <v/>
      </c>
      <c r="B1716" s="17" t="str">
        <f t="shared" si="26"/>
        <v>Problem</v>
      </c>
    </row>
    <row r="1717" spans="1:2" x14ac:dyDescent="0.2">
      <c r="A1717" t="str">
        <f>IF(ISERROR(VLOOKUP(C1717,Questions!$A$1:G$9999,7,0)),"",VLOOKUP(C1717,Questions!$A$1:G$9999,7,0))</f>
        <v/>
      </c>
      <c r="B1717" s="17" t="str">
        <f t="shared" si="26"/>
        <v>Problem</v>
      </c>
    </row>
    <row r="1718" spans="1:2" x14ac:dyDescent="0.2">
      <c r="A1718" t="str">
        <f>IF(ISERROR(VLOOKUP(C1718,Questions!$A$1:G$9999,7,0)),"",VLOOKUP(C1718,Questions!$A$1:G$9999,7,0))</f>
        <v/>
      </c>
      <c r="B1718" s="17" t="str">
        <f t="shared" si="26"/>
        <v>Problem</v>
      </c>
    </row>
    <row r="1719" spans="1:2" x14ac:dyDescent="0.2">
      <c r="A1719" t="str">
        <f>IF(ISERROR(VLOOKUP(C1719,Questions!$A$1:G$9999,7,0)),"",VLOOKUP(C1719,Questions!$A$1:G$9999,7,0))</f>
        <v/>
      </c>
      <c r="B1719" s="17" t="str">
        <f t="shared" si="26"/>
        <v>Problem</v>
      </c>
    </row>
    <row r="1720" spans="1:2" x14ac:dyDescent="0.2">
      <c r="A1720" t="str">
        <f>IF(ISERROR(VLOOKUP(C1720,Questions!$A$1:G$9999,7,0)),"",VLOOKUP(C1720,Questions!$A$1:G$9999,7,0))</f>
        <v/>
      </c>
      <c r="B1720" s="17" t="str">
        <f t="shared" si="26"/>
        <v>Problem</v>
      </c>
    </row>
    <row r="1721" spans="1:2" x14ac:dyDescent="0.2">
      <c r="A1721" t="str">
        <f>IF(ISERROR(VLOOKUP(C1721,Questions!$A$1:G$9999,7,0)),"",VLOOKUP(C1721,Questions!$A$1:G$9999,7,0))</f>
        <v/>
      </c>
      <c r="B1721" s="17" t="str">
        <f t="shared" si="26"/>
        <v>Problem</v>
      </c>
    </row>
    <row r="1722" spans="1:2" x14ac:dyDescent="0.2">
      <c r="A1722" t="str">
        <f>IF(ISERROR(VLOOKUP(C1722,Questions!$A$1:G$9999,7,0)),"",VLOOKUP(C1722,Questions!$A$1:G$9999,7,0))</f>
        <v/>
      </c>
      <c r="B1722" s="17" t="str">
        <f t="shared" si="26"/>
        <v>Problem</v>
      </c>
    </row>
    <row r="1723" spans="1:2" x14ac:dyDescent="0.2">
      <c r="A1723" t="str">
        <f>IF(ISERROR(VLOOKUP(C1723,Questions!$A$1:G$9999,7,0)),"",VLOOKUP(C1723,Questions!$A$1:G$9999,7,0))</f>
        <v/>
      </c>
      <c r="B1723" s="17" t="str">
        <f t="shared" si="26"/>
        <v>Problem</v>
      </c>
    </row>
    <row r="1724" spans="1:2" x14ac:dyDescent="0.2">
      <c r="A1724" t="str">
        <f>IF(ISERROR(VLOOKUP(C1724,Questions!$A$1:G$9999,7,0)),"",VLOOKUP(C1724,Questions!$A$1:G$9999,7,0))</f>
        <v/>
      </c>
      <c r="B1724" s="17" t="str">
        <f t="shared" ref="B1724:B1787" si="27">HYPERLINK("http://www.mrhosey.com/RPhys/" &amp; C1724 &amp; ".gif","Problem")</f>
        <v>Problem</v>
      </c>
    </row>
    <row r="1725" spans="1:2" x14ac:dyDescent="0.2">
      <c r="A1725" t="str">
        <f>IF(ISERROR(VLOOKUP(C1725,Questions!$A$1:G$9999,7,0)),"",VLOOKUP(C1725,Questions!$A$1:G$9999,7,0))</f>
        <v/>
      </c>
      <c r="B1725" s="17" t="str">
        <f t="shared" si="27"/>
        <v>Problem</v>
      </c>
    </row>
    <row r="1726" spans="1:2" x14ac:dyDescent="0.2">
      <c r="A1726" t="str">
        <f>IF(ISERROR(VLOOKUP(C1726,Questions!$A$1:G$9999,7,0)),"",VLOOKUP(C1726,Questions!$A$1:G$9999,7,0))</f>
        <v/>
      </c>
      <c r="B1726" s="17" t="str">
        <f t="shared" si="27"/>
        <v>Problem</v>
      </c>
    </row>
    <row r="1727" spans="1:2" x14ac:dyDescent="0.2">
      <c r="A1727" t="str">
        <f>IF(ISERROR(VLOOKUP(C1727,Questions!$A$1:G$9999,7,0)),"",VLOOKUP(C1727,Questions!$A$1:G$9999,7,0))</f>
        <v/>
      </c>
      <c r="B1727" s="17" t="str">
        <f t="shared" si="27"/>
        <v>Problem</v>
      </c>
    </row>
    <row r="1728" spans="1:2" x14ac:dyDescent="0.2">
      <c r="A1728" t="str">
        <f>IF(ISERROR(VLOOKUP(C1728,Questions!$A$1:G$9999,7,0)),"",VLOOKUP(C1728,Questions!$A$1:G$9999,7,0))</f>
        <v/>
      </c>
      <c r="B1728" s="17" t="str">
        <f t="shared" si="27"/>
        <v>Problem</v>
      </c>
    </row>
    <row r="1729" spans="1:2" x14ac:dyDescent="0.2">
      <c r="A1729" t="str">
        <f>IF(ISERROR(VLOOKUP(C1729,Questions!$A$1:G$9999,7,0)),"",VLOOKUP(C1729,Questions!$A$1:G$9999,7,0))</f>
        <v/>
      </c>
      <c r="B1729" s="17" t="str">
        <f t="shared" si="27"/>
        <v>Problem</v>
      </c>
    </row>
    <row r="1730" spans="1:2" x14ac:dyDescent="0.2">
      <c r="A1730" t="str">
        <f>IF(ISERROR(VLOOKUP(C1730,Questions!$A$1:G$9999,7,0)),"",VLOOKUP(C1730,Questions!$A$1:G$9999,7,0))</f>
        <v/>
      </c>
      <c r="B1730" s="17" t="str">
        <f t="shared" si="27"/>
        <v>Problem</v>
      </c>
    </row>
    <row r="1731" spans="1:2" x14ac:dyDescent="0.2">
      <c r="A1731" t="str">
        <f>IF(ISERROR(VLOOKUP(C1731,Questions!$A$1:G$9999,7,0)),"",VLOOKUP(C1731,Questions!$A$1:G$9999,7,0))</f>
        <v/>
      </c>
      <c r="B1731" s="17" t="str">
        <f t="shared" si="27"/>
        <v>Problem</v>
      </c>
    </row>
    <row r="1732" spans="1:2" x14ac:dyDescent="0.2">
      <c r="A1732" t="str">
        <f>IF(ISERROR(VLOOKUP(C1732,Questions!$A$1:G$9999,7,0)),"",VLOOKUP(C1732,Questions!$A$1:G$9999,7,0))</f>
        <v/>
      </c>
      <c r="B1732" s="17" t="str">
        <f t="shared" si="27"/>
        <v>Problem</v>
      </c>
    </row>
    <row r="1733" spans="1:2" x14ac:dyDescent="0.2">
      <c r="A1733" t="str">
        <f>IF(ISERROR(VLOOKUP(C1733,Questions!$A$1:G$9999,7,0)),"",VLOOKUP(C1733,Questions!$A$1:G$9999,7,0))</f>
        <v/>
      </c>
      <c r="B1733" s="17" t="str">
        <f t="shared" si="27"/>
        <v>Problem</v>
      </c>
    </row>
    <row r="1734" spans="1:2" x14ac:dyDescent="0.2">
      <c r="A1734" t="str">
        <f>IF(ISERROR(VLOOKUP(C1734,Questions!$A$1:G$9999,7,0)),"",VLOOKUP(C1734,Questions!$A$1:G$9999,7,0))</f>
        <v/>
      </c>
      <c r="B1734" s="17" t="str">
        <f t="shared" si="27"/>
        <v>Problem</v>
      </c>
    </row>
    <row r="1735" spans="1:2" x14ac:dyDescent="0.2">
      <c r="A1735" t="str">
        <f>IF(ISERROR(VLOOKUP(C1735,Questions!$A$1:G$9999,7,0)),"",VLOOKUP(C1735,Questions!$A$1:G$9999,7,0))</f>
        <v/>
      </c>
      <c r="B1735" s="17" t="str">
        <f t="shared" si="27"/>
        <v>Problem</v>
      </c>
    </row>
    <row r="1736" spans="1:2" x14ac:dyDescent="0.2">
      <c r="A1736" t="str">
        <f>IF(ISERROR(VLOOKUP(C1736,Questions!$A$1:G$9999,7,0)),"",VLOOKUP(C1736,Questions!$A$1:G$9999,7,0))</f>
        <v/>
      </c>
      <c r="B1736" s="17" t="str">
        <f t="shared" si="27"/>
        <v>Problem</v>
      </c>
    </row>
    <row r="1737" spans="1:2" x14ac:dyDescent="0.2">
      <c r="A1737" t="str">
        <f>IF(ISERROR(VLOOKUP(C1737,Questions!$A$1:G$9999,7,0)),"",VLOOKUP(C1737,Questions!$A$1:G$9999,7,0))</f>
        <v/>
      </c>
      <c r="B1737" s="17" t="str">
        <f t="shared" si="27"/>
        <v>Problem</v>
      </c>
    </row>
    <row r="1738" spans="1:2" x14ac:dyDescent="0.2">
      <c r="A1738" t="str">
        <f>IF(ISERROR(VLOOKUP(C1738,Questions!$A$1:G$9999,7,0)),"",VLOOKUP(C1738,Questions!$A$1:G$9999,7,0))</f>
        <v/>
      </c>
      <c r="B1738" s="17" t="str">
        <f t="shared" si="27"/>
        <v>Problem</v>
      </c>
    </row>
    <row r="1739" spans="1:2" x14ac:dyDescent="0.2">
      <c r="A1739" t="str">
        <f>IF(ISERROR(VLOOKUP(C1739,Questions!$A$1:G$9999,7,0)),"",VLOOKUP(C1739,Questions!$A$1:G$9999,7,0))</f>
        <v/>
      </c>
      <c r="B1739" s="17" t="str">
        <f t="shared" si="27"/>
        <v>Problem</v>
      </c>
    </row>
    <row r="1740" spans="1:2" x14ac:dyDescent="0.2">
      <c r="A1740" t="str">
        <f>IF(ISERROR(VLOOKUP(C1740,Questions!$A$1:G$9999,7,0)),"",VLOOKUP(C1740,Questions!$A$1:G$9999,7,0))</f>
        <v/>
      </c>
      <c r="B1740" s="17" t="str">
        <f t="shared" si="27"/>
        <v>Problem</v>
      </c>
    </row>
    <row r="1741" spans="1:2" x14ac:dyDescent="0.2">
      <c r="A1741" t="str">
        <f>IF(ISERROR(VLOOKUP(C1741,Questions!$A$1:G$9999,7,0)),"",VLOOKUP(C1741,Questions!$A$1:G$9999,7,0))</f>
        <v/>
      </c>
      <c r="B1741" s="17" t="str">
        <f t="shared" si="27"/>
        <v>Problem</v>
      </c>
    </row>
    <row r="1742" spans="1:2" x14ac:dyDescent="0.2">
      <c r="A1742" t="str">
        <f>IF(ISERROR(VLOOKUP(C1742,Questions!$A$1:G$9999,7,0)),"",VLOOKUP(C1742,Questions!$A$1:G$9999,7,0))</f>
        <v/>
      </c>
      <c r="B1742" s="17" t="str">
        <f t="shared" si="27"/>
        <v>Problem</v>
      </c>
    </row>
    <row r="1743" spans="1:2" x14ac:dyDescent="0.2">
      <c r="A1743" t="str">
        <f>IF(ISERROR(VLOOKUP(C1743,Questions!$A$1:G$9999,7,0)),"",VLOOKUP(C1743,Questions!$A$1:G$9999,7,0))</f>
        <v/>
      </c>
      <c r="B1743" s="17" t="str">
        <f t="shared" si="27"/>
        <v>Problem</v>
      </c>
    </row>
    <row r="1744" spans="1:2" x14ac:dyDescent="0.2">
      <c r="A1744" t="str">
        <f>IF(ISERROR(VLOOKUP(C1744,Questions!$A$1:G$9999,7,0)),"",VLOOKUP(C1744,Questions!$A$1:G$9999,7,0))</f>
        <v/>
      </c>
      <c r="B1744" s="17" t="str">
        <f t="shared" si="27"/>
        <v>Problem</v>
      </c>
    </row>
    <row r="1745" spans="1:2" x14ac:dyDescent="0.2">
      <c r="A1745" t="str">
        <f>IF(ISERROR(VLOOKUP(C1745,Questions!$A$1:G$9999,7,0)),"",VLOOKUP(C1745,Questions!$A$1:G$9999,7,0))</f>
        <v/>
      </c>
      <c r="B1745" s="17" t="str">
        <f t="shared" si="27"/>
        <v>Problem</v>
      </c>
    </row>
    <row r="1746" spans="1:2" x14ac:dyDescent="0.2">
      <c r="A1746" t="str">
        <f>IF(ISERROR(VLOOKUP(C1746,Questions!$A$1:G$9999,7,0)),"",VLOOKUP(C1746,Questions!$A$1:G$9999,7,0))</f>
        <v/>
      </c>
      <c r="B1746" s="17" t="str">
        <f t="shared" si="27"/>
        <v>Problem</v>
      </c>
    </row>
    <row r="1747" spans="1:2" x14ac:dyDescent="0.2">
      <c r="A1747" t="str">
        <f>IF(ISERROR(VLOOKUP(C1747,Questions!$A$1:G$9999,7,0)),"",VLOOKUP(C1747,Questions!$A$1:G$9999,7,0))</f>
        <v/>
      </c>
      <c r="B1747" s="17" t="str">
        <f t="shared" si="27"/>
        <v>Problem</v>
      </c>
    </row>
    <row r="1748" spans="1:2" x14ac:dyDescent="0.2">
      <c r="A1748" t="str">
        <f>IF(ISERROR(VLOOKUP(C1748,Questions!$A$1:G$9999,7,0)),"",VLOOKUP(C1748,Questions!$A$1:G$9999,7,0))</f>
        <v/>
      </c>
      <c r="B1748" s="17" t="str">
        <f t="shared" si="27"/>
        <v>Problem</v>
      </c>
    </row>
    <row r="1749" spans="1:2" x14ac:dyDescent="0.2">
      <c r="A1749" t="str">
        <f>IF(ISERROR(VLOOKUP(C1749,Questions!$A$1:G$9999,7,0)),"",VLOOKUP(C1749,Questions!$A$1:G$9999,7,0))</f>
        <v/>
      </c>
      <c r="B1749" s="17" t="str">
        <f t="shared" si="27"/>
        <v>Problem</v>
      </c>
    </row>
    <row r="1750" spans="1:2" x14ac:dyDescent="0.2">
      <c r="A1750" t="str">
        <f>IF(ISERROR(VLOOKUP(C1750,Questions!$A$1:G$9999,7,0)),"",VLOOKUP(C1750,Questions!$A$1:G$9999,7,0))</f>
        <v/>
      </c>
      <c r="B1750" s="17" t="str">
        <f t="shared" si="27"/>
        <v>Problem</v>
      </c>
    </row>
    <row r="1751" spans="1:2" x14ac:dyDescent="0.2">
      <c r="A1751" t="str">
        <f>IF(ISERROR(VLOOKUP(C1751,Questions!$A$1:G$9999,7,0)),"",VLOOKUP(C1751,Questions!$A$1:G$9999,7,0))</f>
        <v/>
      </c>
      <c r="B1751" s="17" t="str">
        <f t="shared" si="27"/>
        <v>Problem</v>
      </c>
    </row>
    <row r="1752" spans="1:2" x14ac:dyDescent="0.2">
      <c r="A1752" t="str">
        <f>IF(ISERROR(VLOOKUP(C1752,Questions!$A$1:G$9999,7,0)),"",VLOOKUP(C1752,Questions!$A$1:G$9999,7,0))</f>
        <v/>
      </c>
      <c r="B1752" s="17" t="str">
        <f t="shared" si="27"/>
        <v>Problem</v>
      </c>
    </row>
    <row r="1753" spans="1:2" x14ac:dyDescent="0.2">
      <c r="A1753" t="str">
        <f>IF(ISERROR(VLOOKUP(C1753,Questions!$A$1:G$9999,7,0)),"",VLOOKUP(C1753,Questions!$A$1:G$9999,7,0))</f>
        <v/>
      </c>
      <c r="B1753" s="17" t="str">
        <f t="shared" si="27"/>
        <v>Problem</v>
      </c>
    </row>
    <row r="1754" spans="1:2" x14ac:dyDescent="0.2">
      <c r="A1754" t="str">
        <f>IF(ISERROR(VLOOKUP(C1754,Questions!$A$1:G$9999,7,0)),"",VLOOKUP(C1754,Questions!$A$1:G$9999,7,0))</f>
        <v/>
      </c>
      <c r="B1754" s="17" t="str">
        <f t="shared" si="27"/>
        <v>Problem</v>
      </c>
    </row>
    <row r="1755" spans="1:2" x14ac:dyDescent="0.2">
      <c r="A1755" t="str">
        <f>IF(ISERROR(VLOOKUP(C1755,Questions!$A$1:G$9999,7,0)),"",VLOOKUP(C1755,Questions!$A$1:G$9999,7,0))</f>
        <v/>
      </c>
      <c r="B1755" s="17" t="str">
        <f t="shared" si="27"/>
        <v>Problem</v>
      </c>
    </row>
    <row r="1756" spans="1:2" x14ac:dyDescent="0.2">
      <c r="A1756" t="str">
        <f>IF(ISERROR(VLOOKUP(C1756,Questions!$A$1:G$9999,7,0)),"",VLOOKUP(C1756,Questions!$A$1:G$9999,7,0))</f>
        <v/>
      </c>
      <c r="B1756" s="17" t="str">
        <f t="shared" si="27"/>
        <v>Problem</v>
      </c>
    </row>
    <row r="1757" spans="1:2" x14ac:dyDescent="0.2">
      <c r="A1757" t="str">
        <f>IF(ISERROR(VLOOKUP(C1757,Questions!$A$1:G$9999,7,0)),"",VLOOKUP(C1757,Questions!$A$1:G$9999,7,0))</f>
        <v/>
      </c>
      <c r="B1757" s="17" t="str">
        <f t="shared" si="27"/>
        <v>Problem</v>
      </c>
    </row>
    <row r="1758" spans="1:2" x14ac:dyDescent="0.2">
      <c r="A1758" t="str">
        <f>IF(ISERROR(VLOOKUP(C1758,Questions!$A$1:G$9999,7,0)),"",VLOOKUP(C1758,Questions!$A$1:G$9999,7,0))</f>
        <v/>
      </c>
      <c r="B1758" s="17" t="str">
        <f t="shared" si="27"/>
        <v>Problem</v>
      </c>
    </row>
    <row r="1759" spans="1:2" x14ac:dyDescent="0.2">
      <c r="A1759" t="str">
        <f>IF(ISERROR(VLOOKUP(C1759,Questions!$A$1:G$9999,7,0)),"",VLOOKUP(C1759,Questions!$A$1:G$9999,7,0))</f>
        <v/>
      </c>
      <c r="B1759" s="17" t="str">
        <f t="shared" si="27"/>
        <v>Problem</v>
      </c>
    </row>
    <row r="1760" spans="1:2" x14ac:dyDescent="0.2">
      <c r="A1760" t="str">
        <f>IF(ISERROR(VLOOKUP(C1760,Questions!$A$1:G$9999,7,0)),"",VLOOKUP(C1760,Questions!$A$1:G$9999,7,0))</f>
        <v/>
      </c>
      <c r="B1760" s="17" t="str">
        <f t="shared" si="27"/>
        <v>Problem</v>
      </c>
    </row>
    <row r="1761" spans="1:2" x14ac:dyDescent="0.2">
      <c r="A1761" t="str">
        <f>IF(ISERROR(VLOOKUP(C1761,Questions!$A$1:G$9999,7,0)),"",VLOOKUP(C1761,Questions!$A$1:G$9999,7,0))</f>
        <v/>
      </c>
      <c r="B1761" s="17" t="str">
        <f t="shared" si="27"/>
        <v>Problem</v>
      </c>
    </row>
    <row r="1762" spans="1:2" x14ac:dyDescent="0.2">
      <c r="A1762" t="str">
        <f>IF(ISERROR(VLOOKUP(C1762,Questions!$A$1:G$9999,7,0)),"",VLOOKUP(C1762,Questions!$A$1:G$9999,7,0))</f>
        <v/>
      </c>
      <c r="B1762" s="17" t="str">
        <f t="shared" si="27"/>
        <v>Problem</v>
      </c>
    </row>
    <row r="1763" spans="1:2" x14ac:dyDescent="0.2">
      <c r="A1763" t="str">
        <f>IF(ISERROR(VLOOKUP(C1763,Questions!$A$1:G$9999,7,0)),"",VLOOKUP(C1763,Questions!$A$1:G$9999,7,0))</f>
        <v/>
      </c>
      <c r="B1763" s="17" t="str">
        <f t="shared" si="27"/>
        <v>Problem</v>
      </c>
    </row>
    <row r="1764" spans="1:2" x14ac:dyDescent="0.2">
      <c r="A1764" t="str">
        <f>IF(ISERROR(VLOOKUP(C1764,Questions!$A$1:G$9999,7,0)),"",VLOOKUP(C1764,Questions!$A$1:G$9999,7,0))</f>
        <v/>
      </c>
      <c r="B1764" s="17" t="str">
        <f t="shared" si="27"/>
        <v>Problem</v>
      </c>
    </row>
    <row r="1765" spans="1:2" x14ac:dyDescent="0.2">
      <c r="A1765" t="str">
        <f>IF(ISERROR(VLOOKUP(C1765,Questions!$A$1:G$9999,7,0)),"",VLOOKUP(C1765,Questions!$A$1:G$9999,7,0))</f>
        <v/>
      </c>
      <c r="B1765" s="17" t="str">
        <f t="shared" si="27"/>
        <v>Problem</v>
      </c>
    </row>
    <row r="1766" spans="1:2" x14ac:dyDescent="0.2">
      <c r="A1766" t="str">
        <f>IF(ISERROR(VLOOKUP(C1766,Questions!$A$1:G$9999,7,0)),"",VLOOKUP(C1766,Questions!$A$1:G$9999,7,0))</f>
        <v/>
      </c>
      <c r="B1766" s="17" t="str">
        <f t="shared" si="27"/>
        <v>Problem</v>
      </c>
    </row>
    <row r="1767" spans="1:2" x14ac:dyDescent="0.2">
      <c r="A1767" t="str">
        <f>IF(ISERROR(VLOOKUP(C1767,Questions!$A$1:G$9999,7,0)),"",VLOOKUP(C1767,Questions!$A$1:G$9999,7,0))</f>
        <v/>
      </c>
      <c r="B1767" s="17" t="str">
        <f t="shared" si="27"/>
        <v>Problem</v>
      </c>
    </row>
    <row r="1768" spans="1:2" x14ac:dyDescent="0.2">
      <c r="A1768" t="str">
        <f>IF(ISERROR(VLOOKUP(C1768,Questions!$A$1:G$9999,7,0)),"",VLOOKUP(C1768,Questions!$A$1:G$9999,7,0))</f>
        <v/>
      </c>
      <c r="B1768" s="17" t="str">
        <f t="shared" si="27"/>
        <v>Problem</v>
      </c>
    </row>
    <row r="1769" spans="1:2" x14ac:dyDescent="0.2">
      <c r="A1769" t="str">
        <f>IF(ISERROR(VLOOKUP(C1769,Questions!$A$1:G$9999,7,0)),"",VLOOKUP(C1769,Questions!$A$1:G$9999,7,0))</f>
        <v/>
      </c>
      <c r="B1769" s="17" t="str">
        <f t="shared" si="27"/>
        <v>Problem</v>
      </c>
    </row>
    <row r="1770" spans="1:2" x14ac:dyDescent="0.2">
      <c r="A1770" t="str">
        <f>IF(ISERROR(VLOOKUP(C1770,Questions!$A$1:G$9999,7,0)),"",VLOOKUP(C1770,Questions!$A$1:G$9999,7,0))</f>
        <v/>
      </c>
      <c r="B1770" s="17" t="str">
        <f t="shared" si="27"/>
        <v>Problem</v>
      </c>
    </row>
    <row r="1771" spans="1:2" x14ac:dyDescent="0.2">
      <c r="A1771" t="str">
        <f>IF(ISERROR(VLOOKUP(C1771,Questions!$A$1:G$9999,7,0)),"",VLOOKUP(C1771,Questions!$A$1:G$9999,7,0))</f>
        <v/>
      </c>
      <c r="B1771" s="17" t="str">
        <f t="shared" si="27"/>
        <v>Problem</v>
      </c>
    </row>
    <row r="1772" spans="1:2" x14ac:dyDescent="0.2">
      <c r="A1772" t="str">
        <f>IF(ISERROR(VLOOKUP(C1772,Questions!$A$1:G$9999,7,0)),"",VLOOKUP(C1772,Questions!$A$1:G$9999,7,0))</f>
        <v/>
      </c>
      <c r="B1772" s="17" t="str">
        <f t="shared" si="27"/>
        <v>Problem</v>
      </c>
    </row>
    <row r="1773" spans="1:2" x14ac:dyDescent="0.2">
      <c r="A1773" t="str">
        <f>IF(ISERROR(VLOOKUP(C1773,Questions!$A$1:G$9999,7,0)),"",VLOOKUP(C1773,Questions!$A$1:G$9999,7,0))</f>
        <v/>
      </c>
      <c r="B1773" s="17" t="str">
        <f t="shared" si="27"/>
        <v>Problem</v>
      </c>
    </row>
    <row r="1774" spans="1:2" x14ac:dyDescent="0.2">
      <c r="A1774" t="str">
        <f>IF(ISERROR(VLOOKUP(C1774,Questions!$A$1:G$9999,7,0)),"",VLOOKUP(C1774,Questions!$A$1:G$9999,7,0))</f>
        <v/>
      </c>
      <c r="B1774" s="17" t="str">
        <f t="shared" si="27"/>
        <v>Problem</v>
      </c>
    </row>
    <row r="1775" spans="1:2" x14ac:dyDescent="0.2">
      <c r="A1775" t="str">
        <f>IF(ISERROR(VLOOKUP(C1775,Questions!$A$1:G$9999,7,0)),"",VLOOKUP(C1775,Questions!$A$1:G$9999,7,0))</f>
        <v/>
      </c>
      <c r="B1775" s="17" t="str">
        <f t="shared" si="27"/>
        <v>Problem</v>
      </c>
    </row>
    <row r="1776" spans="1:2" x14ac:dyDescent="0.2">
      <c r="A1776" t="str">
        <f>IF(ISERROR(VLOOKUP(C1776,Questions!$A$1:G$9999,7,0)),"",VLOOKUP(C1776,Questions!$A$1:G$9999,7,0))</f>
        <v/>
      </c>
      <c r="B1776" s="17" t="str">
        <f t="shared" si="27"/>
        <v>Problem</v>
      </c>
    </row>
    <row r="1777" spans="1:2" x14ac:dyDescent="0.2">
      <c r="A1777" t="str">
        <f>IF(ISERROR(VLOOKUP(C1777,Questions!$A$1:G$9999,7,0)),"",VLOOKUP(C1777,Questions!$A$1:G$9999,7,0))</f>
        <v/>
      </c>
      <c r="B1777" s="17" t="str">
        <f t="shared" si="27"/>
        <v>Problem</v>
      </c>
    </row>
    <row r="1778" spans="1:2" x14ac:dyDescent="0.2">
      <c r="A1778" t="str">
        <f>IF(ISERROR(VLOOKUP(C1778,Questions!$A$1:G$9999,7,0)),"",VLOOKUP(C1778,Questions!$A$1:G$9999,7,0))</f>
        <v/>
      </c>
      <c r="B1778" s="17" t="str">
        <f t="shared" si="27"/>
        <v>Problem</v>
      </c>
    </row>
    <row r="1779" spans="1:2" x14ac:dyDescent="0.2">
      <c r="A1779" t="str">
        <f>IF(ISERROR(VLOOKUP(C1779,Questions!$A$1:G$9999,7,0)),"",VLOOKUP(C1779,Questions!$A$1:G$9999,7,0))</f>
        <v/>
      </c>
      <c r="B1779" s="17" t="str">
        <f t="shared" si="27"/>
        <v>Problem</v>
      </c>
    </row>
    <row r="1780" spans="1:2" x14ac:dyDescent="0.2">
      <c r="A1780" t="str">
        <f>IF(ISERROR(VLOOKUP(C1780,Questions!$A$1:G$9999,7,0)),"",VLOOKUP(C1780,Questions!$A$1:G$9999,7,0))</f>
        <v/>
      </c>
      <c r="B1780" s="17" t="str">
        <f t="shared" si="27"/>
        <v>Problem</v>
      </c>
    </row>
    <row r="1781" spans="1:2" x14ac:dyDescent="0.2">
      <c r="A1781" t="str">
        <f>IF(ISERROR(VLOOKUP(C1781,Questions!$A$1:G$9999,7,0)),"",VLOOKUP(C1781,Questions!$A$1:G$9999,7,0))</f>
        <v/>
      </c>
      <c r="B1781" s="17" t="str">
        <f t="shared" si="27"/>
        <v>Problem</v>
      </c>
    </row>
    <row r="1782" spans="1:2" x14ac:dyDescent="0.2">
      <c r="A1782" t="str">
        <f>IF(ISERROR(VLOOKUP(C1782,Questions!$A$1:G$9999,7,0)),"",VLOOKUP(C1782,Questions!$A$1:G$9999,7,0))</f>
        <v/>
      </c>
      <c r="B1782" s="17" t="str">
        <f t="shared" si="27"/>
        <v>Problem</v>
      </c>
    </row>
    <row r="1783" spans="1:2" x14ac:dyDescent="0.2">
      <c r="A1783" t="str">
        <f>IF(ISERROR(VLOOKUP(C1783,Questions!$A$1:G$9999,7,0)),"",VLOOKUP(C1783,Questions!$A$1:G$9999,7,0))</f>
        <v/>
      </c>
      <c r="B1783" s="17" t="str">
        <f t="shared" si="27"/>
        <v>Problem</v>
      </c>
    </row>
    <row r="1784" spans="1:2" x14ac:dyDescent="0.2">
      <c r="A1784" t="str">
        <f>IF(ISERROR(VLOOKUP(C1784,Questions!$A$1:G$9999,7,0)),"",VLOOKUP(C1784,Questions!$A$1:G$9999,7,0))</f>
        <v/>
      </c>
      <c r="B1784" s="17" t="str">
        <f t="shared" si="27"/>
        <v>Problem</v>
      </c>
    </row>
    <row r="1785" spans="1:2" x14ac:dyDescent="0.2">
      <c r="A1785" t="str">
        <f>IF(ISERROR(VLOOKUP(C1785,Questions!$A$1:G$9999,7,0)),"",VLOOKUP(C1785,Questions!$A$1:G$9999,7,0))</f>
        <v/>
      </c>
      <c r="B1785" s="17" t="str">
        <f t="shared" si="27"/>
        <v>Problem</v>
      </c>
    </row>
    <row r="1786" spans="1:2" x14ac:dyDescent="0.2">
      <c r="A1786" t="str">
        <f>IF(ISERROR(VLOOKUP(C1786,Questions!$A$1:G$9999,7,0)),"",VLOOKUP(C1786,Questions!$A$1:G$9999,7,0))</f>
        <v/>
      </c>
      <c r="B1786" s="17" t="str">
        <f t="shared" si="27"/>
        <v>Problem</v>
      </c>
    </row>
    <row r="1787" spans="1:2" x14ac:dyDescent="0.2">
      <c r="A1787" t="str">
        <f>IF(ISERROR(VLOOKUP(C1787,Questions!$A$1:G$9999,7,0)),"",VLOOKUP(C1787,Questions!$A$1:G$9999,7,0))</f>
        <v/>
      </c>
      <c r="B1787" s="17" t="str">
        <f t="shared" si="27"/>
        <v>Problem</v>
      </c>
    </row>
    <row r="1788" spans="1:2" x14ac:dyDescent="0.2">
      <c r="A1788" t="str">
        <f>IF(ISERROR(VLOOKUP(C1788,Questions!$A$1:G$9999,7,0)),"",VLOOKUP(C1788,Questions!$A$1:G$9999,7,0))</f>
        <v/>
      </c>
      <c r="B1788" s="17" t="str">
        <f t="shared" ref="B1788:B1851" si="28">HYPERLINK("http://www.mrhosey.com/RPhys/" &amp; C1788 &amp; ".gif","Problem")</f>
        <v>Problem</v>
      </c>
    </row>
    <row r="1789" spans="1:2" x14ac:dyDescent="0.2">
      <c r="A1789" t="str">
        <f>IF(ISERROR(VLOOKUP(C1789,Questions!$A$1:G$9999,7,0)),"",VLOOKUP(C1789,Questions!$A$1:G$9999,7,0))</f>
        <v/>
      </c>
      <c r="B1789" s="17" t="str">
        <f t="shared" si="28"/>
        <v>Problem</v>
      </c>
    </row>
    <row r="1790" spans="1:2" x14ac:dyDescent="0.2">
      <c r="A1790" t="str">
        <f>IF(ISERROR(VLOOKUP(C1790,Questions!$A$1:G$9999,7,0)),"",VLOOKUP(C1790,Questions!$A$1:G$9999,7,0))</f>
        <v/>
      </c>
      <c r="B1790" s="17" t="str">
        <f t="shared" si="28"/>
        <v>Problem</v>
      </c>
    </row>
    <row r="1791" spans="1:2" x14ac:dyDescent="0.2">
      <c r="A1791" t="str">
        <f>IF(ISERROR(VLOOKUP(C1791,Questions!$A$1:G$9999,7,0)),"",VLOOKUP(C1791,Questions!$A$1:G$9999,7,0))</f>
        <v/>
      </c>
      <c r="B1791" s="17" t="str">
        <f t="shared" si="28"/>
        <v>Problem</v>
      </c>
    </row>
    <row r="1792" spans="1:2" x14ac:dyDescent="0.2">
      <c r="A1792" t="str">
        <f>IF(ISERROR(VLOOKUP(C1792,Questions!$A$1:G$9999,7,0)),"",VLOOKUP(C1792,Questions!$A$1:G$9999,7,0))</f>
        <v/>
      </c>
      <c r="B1792" s="17" t="str">
        <f t="shared" si="28"/>
        <v>Problem</v>
      </c>
    </row>
    <row r="1793" spans="1:2" x14ac:dyDescent="0.2">
      <c r="A1793" t="str">
        <f>IF(ISERROR(VLOOKUP(C1793,Questions!$A$1:G$9999,7,0)),"",VLOOKUP(C1793,Questions!$A$1:G$9999,7,0))</f>
        <v/>
      </c>
      <c r="B1793" s="17" t="str">
        <f t="shared" si="28"/>
        <v>Problem</v>
      </c>
    </row>
    <row r="1794" spans="1:2" x14ac:dyDescent="0.2">
      <c r="A1794" t="str">
        <f>IF(ISERROR(VLOOKUP(C1794,Questions!$A$1:G$9999,7,0)),"",VLOOKUP(C1794,Questions!$A$1:G$9999,7,0))</f>
        <v/>
      </c>
      <c r="B1794" s="17" t="str">
        <f t="shared" si="28"/>
        <v>Problem</v>
      </c>
    </row>
    <row r="1795" spans="1:2" x14ac:dyDescent="0.2">
      <c r="A1795" t="str">
        <f>IF(ISERROR(VLOOKUP(C1795,Questions!$A$1:G$9999,7,0)),"",VLOOKUP(C1795,Questions!$A$1:G$9999,7,0))</f>
        <v/>
      </c>
      <c r="B1795" s="17" t="str">
        <f t="shared" si="28"/>
        <v>Problem</v>
      </c>
    </row>
    <row r="1796" spans="1:2" x14ac:dyDescent="0.2">
      <c r="A1796" t="str">
        <f>IF(ISERROR(VLOOKUP(C1796,Questions!$A$1:G$9999,7,0)),"",VLOOKUP(C1796,Questions!$A$1:G$9999,7,0))</f>
        <v/>
      </c>
      <c r="B1796" s="17" t="str">
        <f t="shared" si="28"/>
        <v>Problem</v>
      </c>
    </row>
    <row r="1797" spans="1:2" x14ac:dyDescent="0.2">
      <c r="A1797" t="str">
        <f>IF(ISERROR(VLOOKUP(C1797,Questions!$A$1:G$9999,7,0)),"",VLOOKUP(C1797,Questions!$A$1:G$9999,7,0))</f>
        <v/>
      </c>
      <c r="B1797" s="17" t="str">
        <f t="shared" si="28"/>
        <v>Problem</v>
      </c>
    </row>
    <row r="1798" spans="1:2" x14ac:dyDescent="0.2">
      <c r="A1798" t="str">
        <f>IF(ISERROR(VLOOKUP(C1798,Questions!$A$1:G$9999,7,0)),"",VLOOKUP(C1798,Questions!$A$1:G$9999,7,0))</f>
        <v/>
      </c>
      <c r="B1798" s="17" t="str">
        <f t="shared" si="28"/>
        <v>Problem</v>
      </c>
    </row>
    <row r="1799" spans="1:2" x14ac:dyDescent="0.2">
      <c r="A1799" t="str">
        <f>IF(ISERROR(VLOOKUP(C1799,Questions!$A$1:G$9999,7,0)),"",VLOOKUP(C1799,Questions!$A$1:G$9999,7,0))</f>
        <v/>
      </c>
      <c r="B1799" s="17" t="str">
        <f t="shared" si="28"/>
        <v>Problem</v>
      </c>
    </row>
    <row r="1800" spans="1:2" x14ac:dyDescent="0.2">
      <c r="A1800" t="str">
        <f>IF(ISERROR(VLOOKUP(C1800,Questions!$A$1:G$9999,7,0)),"",VLOOKUP(C1800,Questions!$A$1:G$9999,7,0))</f>
        <v/>
      </c>
      <c r="B1800" s="17" t="str">
        <f t="shared" si="28"/>
        <v>Problem</v>
      </c>
    </row>
    <row r="1801" spans="1:2" x14ac:dyDescent="0.2">
      <c r="A1801" t="str">
        <f>IF(ISERROR(VLOOKUP(C1801,Questions!$A$1:G$9999,7,0)),"",VLOOKUP(C1801,Questions!$A$1:G$9999,7,0))</f>
        <v/>
      </c>
      <c r="B1801" s="17" t="str">
        <f t="shared" si="28"/>
        <v>Problem</v>
      </c>
    </row>
    <row r="1802" spans="1:2" x14ac:dyDescent="0.2">
      <c r="A1802" t="str">
        <f>IF(ISERROR(VLOOKUP(C1802,Questions!$A$1:G$9999,7,0)),"",VLOOKUP(C1802,Questions!$A$1:G$9999,7,0))</f>
        <v/>
      </c>
      <c r="B1802" s="17" t="str">
        <f t="shared" si="28"/>
        <v>Problem</v>
      </c>
    </row>
    <row r="1803" spans="1:2" x14ac:dyDescent="0.2">
      <c r="A1803" t="str">
        <f>IF(ISERROR(VLOOKUP(C1803,Questions!$A$1:G$9999,7,0)),"",VLOOKUP(C1803,Questions!$A$1:G$9999,7,0))</f>
        <v/>
      </c>
      <c r="B1803" s="17" t="str">
        <f t="shared" si="28"/>
        <v>Problem</v>
      </c>
    </row>
    <row r="1804" spans="1:2" x14ac:dyDescent="0.2">
      <c r="A1804" t="str">
        <f>IF(ISERROR(VLOOKUP(C1804,Questions!$A$1:G$9999,7,0)),"",VLOOKUP(C1804,Questions!$A$1:G$9999,7,0))</f>
        <v/>
      </c>
      <c r="B1804" s="17" t="str">
        <f t="shared" si="28"/>
        <v>Problem</v>
      </c>
    </row>
    <row r="1805" spans="1:2" x14ac:dyDescent="0.2">
      <c r="A1805" t="str">
        <f>IF(ISERROR(VLOOKUP(C1805,Questions!$A$1:G$9999,7,0)),"",VLOOKUP(C1805,Questions!$A$1:G$9999,7,0))</f>
        <v/>
      </c>
      <c r="B1805" s="17" t="str">
        <f t="shared" si="28"/>
        <v>Problem</v>
      </c>
    </row>
    <row r="1806" spans="1:2" x14ac:dyDescent="0.2">
      <c r="A1806" t="str">
        <f>IF(ISERROR(VLOOKUP(C1806,Questions!$A$1:G$9999,7,0)),"",VLOOKUP(C1806,Questions!$A$1:G$9999,7,0))</f>
        <v/>
      </c>
      <c r="B1806" s="17" t="str">
        <f t="shared" si="28"/>
        <v>Problem</v>
      </c>
    </row>
    <row r="1807" spans="1:2" x14ac:dyDescent="0.2">
      <c r="A1807" t="str">
        <f>IF(ISERROR(VLOOKUP(C1807,Questions!$A$1:G$9999,7,0)),"",VLOOKUP(C1807,Questions!$A$1:G$9999,7,0))</f>
        <v/>
      </c>
      <c r="B1807" s="17" t="str">
        <f t="shared" si="28"/>
        <v>Problem</v>
      </c>
    </row>
    <row r="1808" spans="1:2" x14ac:dyDescent="0.2">
      <c r="A1808" t="str">
        <f>IF(ISERROR(VLOOKUP(C1808,Questions!$A$1:G$9999,7,0)),"",VLOOKUP(C1808,Questions!$A$1:G$9999,7,0))</f>
        <v/>
      </c>
      <c r="B1808" s="17" t="str">
        <f t="shared" si="28"/>
        <v>Problem</v>
      </c>
    </row>
    <row r="1809" spans="1:2" x14ac:dyDescent="0.2">
      <c r="A1809" t="str">
        <f>IF(ISERROR(VLOOKUP(C1809,Questions!$A$1:G$9999,7,0)),"",VLOOKUP(C1809,Questions!$A$1:G$9999,7,0))</f>
        <v/>
      </c>
      <c r="B1809" s="17" t="str">
        <f t="shared" si="28"/>
        <v>Problem</v>
      </c>
    </row>
    <row r="1810" spans="1:2" x14ac:dyDescent="0.2">
      <c r="A1810" t="str">
        <f>IF(ISERROR(VLOOKUP(C1810,Questions!$A$1:G$9999,7,0)),"",VLOOKUP(C1810,Questions!$A$1:G$9999,7,0))</f>
        <v/>
      </c>
      <c r="B1810" s="17" t="str">
        <f t="shared" si="28"/>
        <v>Problem</v>
      </c>
    </row>
    <row r="1811" spans="1:2" x14ac:dyDescent="0.2">
      <c r="A1811" t="str">
        <f>IF(ISERROR(VLOOKUP(C1811,Questions!$A$1:G$9999,7,0)),"",VLOOKUP(C1811,Questions!$A$1:G$9999,7,0))</f>
        <v/>
      </c>
      <c r="B1811" s="17" t="str">
        <f t="shared" si="28"/>
        <v>Problem</v>
      </c>
    </row>
    <row r="1812" spans="1:2" x14ac:dyDescent="0.2">
      <c r="A1812" t="str">
        <f>IF(ISERROR(VLOOKUP(C1812,Questions!$A$1:G$9999,7,0)),"",VLOOKUP(C1812,Questions!$A$1:G$9999,7,0))</f>
        <v/>
      </c>
      <c r="B1812" s="17" t="str">
        <f t="shared" si="28"/>
        <v>Problem</v>
      </c>
    </row>
    <row r="1813" spans="1:2" x14ac:dyDescent="0.2">
      <c r="A1813" t="str">
        <f>IF(ISERROR(VLOOKUP(C1813,Questions!$A$1:G$9999,7,0)),"",VLOOKUP(C1813,Questions!$A$1:G$9999,7,0))</f>
        <v/>
      </c>
      <c r="B1813" s="17" t="str">
        <f t="shared" si="28"/>
        <v>Problem</v>
      </c>
    </row>
    <row r="1814" spans="1:2" x14ac:dyDescent="0.2">
      <c r="A1814" t="str">
        <f>IF(ISERROR(VLOOKUP(C1814,Questions!$A$1:G$9999,7,0)),"",VLOOKUP(C1814,Questions!$A$1:G$9999,7,0))</f>
        <v/>
      </c>
      <c r="B1814" s="17" t="str">
        <f t="shared" si="28"/>
        <v>Problem</v>
      </c>
    </row>
    <row r="1815" spans="1:2" x14ac:dyDescent="0.2">
      <c r="A1815" t="str">
        <f>IF(ISERROR(VLOOKUP(C1815,Questions!$A$1:G$9999,7,0)),"",VLOOKUP(C1815,Questions!$A$1:G$9999,7,0))</f>
        <v/>
      </c>
      <c r="B1815" s="17" t="str">
        <f t="shared" si="28"/>
        <v>Problem</v>
      </c>
    </row>
    <row r="1816" spans="1:2" x14ac:dyDescent="0.2">
      <c r="A1816" t="str">
        <f>IF(ISERROR(VLOOKUP(C1816,Questions!$A$1:G$9999,7,0)),"",VLOOKUP(C1816,Questions!$A$1:G$9999,7,0))</f>
        <v/>
      </c>
      <c r="B1816" s="17" t="str">
        <f t="shared" si="28"/>
        <v>Problem</v>
      </c>
    </row>
    <row r="1817" spans="1:2" x14ac:dyDescent="0.2">
      <c r="A1817" t="str">
        <f>IF(ISERROR(VLOOKUP(C1817,Questions!$A$1:G$9999,7,0)),"",VLOOKUP(C1817,Questions!$A$1:G$9999,7,0))</f>
        <v/>
      </c>
      <c r="B1817" s="17" t="str">
        <f t="shared" si="28"/>
        <v>Problem</v>
      </c>
    </row>
    <row r="1818" spans="1:2" x14ac:dyDescent="0.2">
      <c r="A1818" t="str">
        <f>IF(ISERROR(VLOOKUP(C1818,Questions!$A$1:G$9999,7,0)),"",VLOOKUP(C1818,Questions!$A$1:G$9999,7,0))</f>
        <v/>
      </c>
      <c r="B1818" s="17" t="str">
        <f t="shared" si="28"/>
        <v>Problem</v>
      </c>
    </row>
    <row r="1819" spans="1:2" x14ac:dyDescent="0.2">
      <c r="A1819" t="str">
        <f>IF(ISERROR(VLOOKUP(C1819,Questions!$A$1:G$9999,7,0)),"",VLOOKUP(C1819,Questions!$A$1:G$9999,7,0))</f>
        <v/>
      </c>
      <c r="B1819" s="17" t="str">
        <f t="shared" si="28"/>
        <v>Problem</v>
      </c>
    </row>
    <row r="1820" spans="1:2" x14ac:dyDescent="0.2">
      <c r="A1820" t="str">
        <f>IF(ISERROR(VLOOKUP(C1820,Questions!$A$1:G$9999,7,0)),"",VLOOKUP(C1820,Questions!$A$1:G$9999,7,0))</f>
        <v/>
      </c>
      <c r="B1820" s="17" t="str">
        <f t="shared" si="28"/>
        <v>Problem</v>
      </c>
    </row>
    <row r="1821" spans="1:2" x14ac:dyDescent="0.2">
      <c r="A1821" t="str">
        <f>IF(ISERROR(VLOOKUP(C1821,Questions!$A$1:G$9999,7,0)),"",VLOOKUP(C1821,Questions!$A$1:G$9999,7,0))</f>
        <v/>
      </c>
      <c r="B1821" s="17" t="str">
        <f t="shared" si="28"/>
        <v>Problem</v>
      </c>
    </row>
    <row r="1822" spans="1:2" x14ac:dyDescent="0.2">
      <c r="A1822" t="str">
        <f>IF(ISERROR(VLOOKUP(C1822,Questions!$A$1:G$9999,7,0)),"",VLOOKUP(C1822,Questions!$A$1:G$9999,7,0))</f>
        <v/>
      </c>
      <c r="B1822" s="17" t="str">
        <f t="shared" si="28"/>
        <v>Problem</v>
      </c>
    </row>
    <row r="1823" spans="1:2" x14ac:dyDescent="0.2">
      <c r="A1823" t="str">
        <f>IF(ISERROR(VLOOKUP(C1823,Questions!$A$1:G$9999,7,0)),"",VLOOKUP(C1823,Questions!$A$1:G$9999,7,0))</f>
        <v/>
      </c>
      <c r="B1823" s="17" t="str">
        <f t="shared" si="28"/>
        <v>Problem</v>
      </c>
    </row>
    <row r="1824" spans="1:2" x14ac:dyDescent="0.2">
      <c r="A1824" t="str">
        <f>IF(ISERROR(VLOOKUP(C1824,Questions!$A$1:G$9999,7,0)),"",VLOOKUP(C1824,Questions!$A$1:G$9999,7,0))</f>
        <v/>
      </c>
      <c r="B1824" s="17" t="str">
        <f t="shared" si="28"/>
        <v>Problem</v>
      </c>
    </row>
    <row r="1825" spans="1:2" x14ac:dyDescent="0.2">
      <c r="A1825" t="str">
        <f>IF(ISERROR(VLOOKUP(C1825,Questions!$A$1:G$9999,7,0)),"",VLOOKUP(C1825,Questions!$A$1:G$9999,7,0))</f>
        <v/>
      </c>
      <c r="B1825" s="17" t="str">
        <f t="shared" si="28"/>
        <v>Problem</v>
      </c>
    </row>
    <row r="1826" spans="1:2" x14ac:dyDescent="0.2">
      <c r="A1826" t="str">
        <f>IF(ISERROR(VLOOKUP(C1826,Questions!$A$1:G$9999,7,0)),"",VLOOKUP(C1826,Questions!$A$1:G$9999,7,0))</f>
        <v/>
      </c>
      <c r="B1826" s="17" t="str">
        <f t="shared" si="28"/>
        <v>Problem</v>
      </c>
    </row>
    <row r="1827" spans="1:2" x14ac:dyDescent="0.2">
      <c r="A1827" t="str">
        <f>IF(ISERROR(VLOOKUP(C1827,Questions!$A$1:G$9999,7,0)),"",VLOOKUP(C1827,Questions!$A$1:G$9999,7,0))</f>
        <v/>
      </c>
      <c r="B1827" s="17" t="str">
        <f t="shared" si="28"/>
        <v>Problem</v>
      </c>
    </row>
    <row r="1828" spans="1:2" x14ac:dyDescent="0.2">
      <c r="A1828" t="str">
        <f>IF(ISERROR(VLOOKUP(C1828,Questions!$A$1:G$9999,7,0)),"",VLOOKUP(C1828,Questions!$A$1:G$9999,7,0))</f>
        <v/>
      </c>
      <c r="B1828" s="17" t="str">
        <f t="shared" si="28"/>
        <v>Problem</v>
      </c>
    </row>
    <row r="1829" spans="1:2" x14ac:dyDescent="0.2">
      <c r="A1829" t="str">
        <f>IF(ISERROR(VLOOKUP(C1829,Questions!$A$1:G$9999,7,0)),"",VLOOKUP(C1829,Questions!$A$1:G$9999,7,0))</f>
        <v/>
      </c>
      <c r="B1829" s="17" t="str">
        <f t="shared" si="28"/>
        <v>Problem</v>
      </c>
    </row>
    <row r="1830" spans="1:2" x14ac:dyDescent="0.2">
      <c r="A1830" t="str">
        <f>IF(ISERROR(VLOOKUP(C1830,Questions!$A$1:G$9999,7,0)),"",VLOOKUP(C1830,Questions!$A$1:G$9999,7,0))</f>
        <v/>
      </c>
      <c r="B1830" s="17" t="str">
        <f t="shared" si="28"/>
        <v>Problem</v>
      </c>
    </row>
    <row r="1831" spans="1:2" x14ac:dyDescent="0.2">
      <c r="A1831" t="str">
        <f>IF(ISERROR(VLOOKUP(C1831,Questions!$A$1:G$9999,7,0)),"",VLOOKUP(C1831,Questions!$A$1:G$9999,7,0))</f>
        <v/>
      </c>
      <c r="B1831" s="17" t="str">
        <f t="shared" si="28"/>
        <v>Problem</v>
      </c>
    </row>
    <row r="1832" spans="1:2" x14ac:dyDescent="0.2">
      <c r="A1832" t="str">
        <f>IF(ISERROR(VLOOKUP(C1832,Questions!$A$1:G$9999,7,0)),"",VLOOKUP(C1832,Questions!$A$1:G$9999,7,0))</f>
        <v/>
      </c>
      <c r="B1832" s="17" t="str">
        <f t="shared" si="28"/>
        <v>Problem</v>
      </c>
    </row>
    <row r="1833" spans="1:2" x14ac:dyDescent="0.2">
      <c r="A1833" t="str">
        <f>IF(ISERROR(VLOOKUP(C1833,Questions!$A$1:G$9999,7,0)),"",VLOOKUP(C1833,Questions!$A$1:G$9999,7,0))</f>
        <v/>
      </c>
      <c r="B1833" s="17" t="str">
        <f t="shared" si="28"/>
        <v>Problem</v>
      </c>
    </row>
    <row r="1834" spans="1:2" x14ac:dyDescent="0.2">
      <c r="A1834" t="str">
        <f>IF(ISERROR(VLOOKUP(C1834,Questions!$A$1:G$9999,7,0)),"",VLOOKUP(C1834,Questions!$A$1:G$9999,7,0))</f>
        <v/>
      </c>
      <c r="B1834" s="17" t="str">
        <f t="shared" si="28"/>
        <v>Problem</v>
      </c>
    </row>
    <row r="1835" spans="1:2" x14ac:dyDescent="0.2">
      <c r="A1835" t="str">
        <f>IF(ISERROR(VLOOKUP(C1835,Questions!$A$1:G$9999,7,0)),"",VLOOKUP(C1835,Questions!$A$1:G$9999,7,0))</f>
        <v/>
      </c>
      <c r="B1835" s="17" t="str">
        <f t="shared" si="28"/>
        <v>Problem</v>
      </c>
    </row>
    <row r="1836" spans="1:2" x14ac:dyDescent="0.2">
      <c r="A1836" t="str">
        <f>IF(ISERROR(VLOOKUP(C1836,Questions!$A$1:G$9999,7,0)),"",VLOOKUP(C1836,Questions!$A$1:G$9999,7,0))</f>
        <v/>
      </c>
      <c r="B1836" s="17" t="str">
        <f t="shared" si="28"/>
        <v>Problem</v>
      </c>
    </row>
    <row r="1837" spans="1:2" x14ac:dyDescent="0.2">
      <c r="A1837" t="str">
        <f>IF(ISERROR(VLOOKUP(C1837,Questions!$A$1:G$9999,7,0)),"",VLOOKUP(C1837,Questions!$A$1:G$9999,7,0))</f>
        <v/>
      </c>
      <c r="B1837" s="17" t="str">
        <f t="shared" si="28"/>
        <v>Problem</v>
      </c>
    </row>
    <row r="1838" spans="1:2" x14ac:dyDescent="0.2">
      <c r="A1838" t="str">
        <f>IF(ISERROR(VLOOKUP(C1838,Questions!$A$1:G$9999,7,0)),"",VLOOKUP(C1838,Questions!$A$1:G$9999,7,0))</f>
        <v/>
      </c>
      <c r="B1838" s="17" t="str">
        <f t="shared" si="28"/>
        <v>Problem</v>
      </c>
    </row>
    <row r="1839" spans="1:2" x14ac:dyDescent="0.2">
      <c r="A1839" t="str">
        <f>IF(ISERROR(VLOOKUP(C1839,Questions!$A$1:G$9999,7,0)),"",VLOOKUP(C1839,Questions!$A$1:G$9999,7,0))</f>
        <v/>
      </c>
      <c r="B1839" s="17" t="str">
        <f t="shared" si="28"/>
        <v>Problem</v>
      </c>
    </row>
    <row r="1840" spans="1:2" x14ac:dyDescent="0.2">
      <c r="A1840" t="str">
        <f>IF(ISERROR(VLOOKUP(C1840,Questions!$A$1:G$9999,7,0)),"",VLOOKUP(C1840,Questions!$A$1:G$9999,7,0))</f>
        <v/>
      </c>
      <c r="B1840" s="17" t="str">
        <f t="shared" si="28"/>
        <v>Problem</v>
      </c>
    </row>
    <row r="1841" spans="1:2" x14ac:dyDescent="0.2">
      <c r="A1841" t="str">
        <f>IF(ISERROR(VLOOKUP(C1841,Questions!$A$1:G$9999,7,0)),"",VLOOKUP(C1841,Questions!$A$1:G$9999,7,0))</f>
        <v/>
      </c>
      <c r="B1841" s="17" t="str">
        <f t="shared" si="28"/>
        <v>Problem</v>
      </c>
    </row>
    <row r="1842" spans="1:2" x14ac:dyDescent="0.2">
      <c r="A1842" t="str">
        <f>IF(ISERROR(VLOOKUP(C1842,Questions!$A$1:G$9999,7,0)),"",VLOOKUP(C1842,Questions!$A$1:G$9999,7,0))</f>
        <v/>
      </c>
      <c r="B1842" s="17" t="str">
        <f t="shared" si="28"/>
        <v>Problem</v>
      </c>
    </row>
    <row r="1843" spans="1:2" x14ac:dyDescent="0.2">
      <c r="A1843" t="str">
        <f>IF(ISERROR(VLOOKUP(C1843,Questions!$A$1:G$9999,7,0)),"",VLOOKUP(C1843,Questions!$A$1:G$9999,7,0))</f>
        <v/>
      </c>
      <c r="B1843" s="17" t="str">
        <f t="shared" si="28"/>
        <v>Problem</v>
      </c>
    </row>
    <row r="1844" spans="1:2" x14ac:dyDescent="0.2">
      <c r="A1844" t="str">
        <f>IF(ISERROR(VLOOKUP(C1844,Questions!$A$1:G$9999,7,0)),"",VLOOKUP(C1844,Questions!$A$1:G$9999,7,0))</f>
        <v/>
      </c>
      <c r="B1844" s="17" t="str">
        <f t="shared" si="28"/>
        <v>Problem</v>
      </c>
    </row>
    <row r="1845" spans="1:2" x14ac:dyDescent="0.2">
      <c r="A1845" t="str">
        <f>IF(ISERROR(VLOOKUP(C1845,Questions!$A$1:G$9999,7,0)),"",VLOOKUP(C1845,Questions!$A$1:G$9999,7,0))</f>
        <v/>
      </c>
      <c r="B1845" s="17" t="str">
        <f t="shared" si="28"/>
        <v>Problem</v>
      </c>
    </row>
    <row r="1846" spans="1:2" x14ac:dyDescent="0.2">
      <c r="A1846" t="str">
        <f>IF(ISERROR(VLOOKUP(C1846,Questions!$A$1:G$9999,7,0)),"",VLOOKUP(C1846,Questions!$A$1:G$9999,7,0))</f>
        <v/>
      </c>
      <c r="B1846" s="17" t="str">
        <f t="shared" si="28"/>
        <v>Problem</v>
      </c>
    </row>
    <row r="1847" spans="1:2" x14ac:dyDescent="0.2">
      <c r="A1847" t="str">
        <f>IF(ISERROR(VLOOKUP(C1847,Questions!$A$1:G$9999,7,0)),"",VLOOKUP(C1847,Questions!$A$1:G$9999,7,0))</f>
        <v/>
      </c>
      <c r="B1847" s="17" t="str">
        <f t="shared" si="28"/>
        <v>Problem</v>
      </c>
    </row>
    <row r="1848" spans="1:2" x14ac:dyDescent="0.2">
      <c r="A1848" t="str">
        <f>IF(ISERROR(VLOOKUP(C1848,Questions!$A$1:G$9999,7,0)),"",VLOOKUP(C1848,Questions!$A$1:G$9999,7,0))</f>
        <v/>
      </c>
      <c r="B1848" s="17" t="str">
        <f t="shared" si="28"/>
        <v>Problem</v>
      </c>
    </row>
    <row r="1849" spans="1:2" x14ac:dyDescent="0.2">
      <c r="A1849" t="str">
        <f>IF(ISERROR(VLOOKUP(C1849,Questions!$A$1:G$9999,7,0)),"",VLOOKUP(C1849,Questions!$A$1:G$9999,7,0))</f>
        <v/>
      </c>
      <c r="B1849" s="17" t="str">
        <f t="shared" si="28"/>
        <v>Problem</v>
      </c>
    </row>
    <row r="1850" spans="1:2" x14ac:dyDescent="0.2">
      <c r="A1850" t="str">
        <f>IF(ISERROR(VLOOKUP(C1850,Questions!$A$1:G$9999,7,0)),"",VLOOKUP(C1850,Questions!$A$1:G$9999,7,0))</f>
        <v/>
      </c>
      <c r="B1850" s="17" t="str">
        <f t="shared" si="28"/>
        <v>Problem</v>
      </c>
    </row>
    <row r="1851" spans="1:2" x14ac:dyDescent="0.2">
      <c r="A1851" t="str">
        <f>IF(ISERROR(VLOOKUP(C1851,Questions!$A$1:G$9999,7,0)),"",VLOOKUP(C1851,Questions!$A$1:G$9999,7,0))</f>
        <v/>
      </c>
      <c r="B1851" s="17" t="str">
        <f t="shared" si="28"/>
        <v>Problem</v>
      </c>
    </row>
    <row r="1852" spans="1:2" x14ac:dyDescent="0.2">
      <c r="A1852" t="str">
        <f>IF(ISERROR(VLOOKUP(C1852,Questions!$A$1:G$9999,7,0)),"",VLOOKUP(C1852,Questions!$A$1:G$9999,7,0))</f>
        <v/>
      </c>
      <c r="B1852" s="17" t="str">
        <f t="shared" ref="B1852:B1915" si="29">HYPERLINK("http://www.mrhosey.com/RPhys/" &amp; C1852 &amp; ".gif","Problem")</f>
        <v>Problem</v>
      </c>
    </row>
    <row r="1853" spans="1:2" x14ac:dyDescent="0.2">
      <c r="A1853" t="str">
        <f>IF(ISERROR(VLOOKUP(C1853,Questions!$A$1:G$9999,7,0)),"",VLOOKUP(C1853,Questions!$A$1:G$9999,7,0))</f>
        <v/>
      </c>
      <c r="B1853" s="17" t="str">
        <f t="shared" si="29"/>
        <v>Problem</v>
      </c>
    </row>
    <row r="1854" spans="1:2" x14ac:dyDescent="0.2">
      <c r="A1854" t="str">
        <f>IF(ISERROR(VLOOKUP(C1854,Questions!$A$1:G$9999,7,0)),"",VLOOKUP(C1854,Questions!$A$1:G$9999,7,0))</f>
        <v/>
      </c>
      <c r="B1854" s="17" t="str">
        <f t="shared" si="29"/>
        <v>Problem</v>
      </c>
    </row>
    <row r="1855" spans="1:2" x14ac:dyDescent="0.2">
      <c r="A1855" t="str">
        <f>IF(ISERROR(VLOOKUP(C1855,Questions!$A$1:G$9999,7,0)),"",VLOOKUP(C1855,Questions!$A$1:G$9999,7,0))</f>
        <v/>
      </c>
      <c r="B1855" s="17" t="str">
        <f t="shared" si="29"/>
        <v>Problem</v>
      </c>
    </row>
    <row r="1856" spans="1:2" x14ac:dyDescent="0.2">
      <c r="A1856" t="str">
        <f>IF(ISERROR(VLOOKUP(C1856,Questions!$A$1:G$9999,7,0)),"",VLOOKUP(C1856,Questions!$A$1:G$9999,7,0))</f>
        <v/>
      </c>
      <c r="B1856" s="17" t="str">
        <f t="shared" si="29"/>
        <v>Problem</v>
      </c>
    </row>
    <row r="1857" spans="1:2" x14ac:dyDescent="0.2">
      <c r="A1857" t="str">
        <f>IF(ISERROR(VLOOKUP(C1857,Questions!$A$1:G$9999,7,0)),"",VLOOKUP(C1857,Questions!$A$1:G$9999,7,0))</f>
        <v/>
      </c>
      <c r="B1857" s="17" t="str">
        <f t="shared" si="29"/>
        <v>Problem</v>
      </c>
    </row>
    <row r="1858" spans="1:2" x14ac:dyDescent="0.2">
      <c r="A1858" t="str">
        <f>IF(ISERROR(VLOOKUP(C1858,Questions!$A$1:G$9999,7,0)),"",VLOOKUP(C1858,Questions!$A$1:G$9999,7,0))</f>
        <v/>
      </c>
      <c r="B1858" s="17" t="str">
        <f t="shared" si="29"/>
        <v>Problem</v>
      </c>
    </row>
    <row r="1859" spans="1:2" x14ac:dyDescent="0.2">
      <c r="A1859" t="str">
        <f>IF(ISERROR(VLOOKUP(C1859,Questions!$A$1:G$9999,7,0)),"",VLOOKUP(C1859,Questions!$A$1:G$9999,7,0))</f>
        <v/>
      </c>
      <c r="B1859" s="17" t="str">
        <f t="shared" si="29"/>
        <v>Problem</v>
      </c>
    </row>
    <row r="1860" spans="1:2" x14ac:dyDescent="0.2">
      <c r="A1860" t="str">
        <f>IF(ISERROR(VLOOKUP(C1860,Questions!$A$1:G$9999,7,0)),"",VLOOKUP(C1860,Questions!$A$1:G$9999,7,0))</f>
        <v/>
      </c>
      <c r="B1860" s="17" t="str">
        <f t="shared" si="29"/>
        <v>Problem</v>
      </c>
    </row>
    <row r="1861" spans="1:2" x14ac:dyDescent="0.2">
      <c r="A1861" t="str">
        <f>IF(ISERROR(VLOOKUP(C1861,Questions!$A$1:G$9999,7,0)),"",VLOOKUP(C1861,Questions!$A$1:G$9999,7,0))</f>
        <v/>
      </c>
      <c r="B1861" s="17" t="str">
        <f t="shared" si="29"/>
        <v>Problem</v>
      </c>
    </row>
    <row r="1862" spans="1:2" x14ac:dyDescent="0.2">
      <c r="A1862" t="str">
        <f>IF(ISERROR(VLOOKUP(C1862,Questions!$A$1:G$9999,7,0)),"",VLOOKUP(C1862,Questions!$A$1:G$9999,7,0))</f>
        <v/>
      </c>
      <c r="B1862" s="17" t="str">
        <f t="shared" si="29"/>
        <v>Problem</v>
      </c>
    </row>
    <row r="1863" spans="1:2" x14ac:dyDescent="0.2">
      <c r="A1863" t="str">
        <f>IF(ISERROR(VLOOKUP(C1863,Questions!$A$1:G$9999,7,0)),"",VLOOKUP(C1863,Questions!$A$1:G$9999,7,0))</f>
        <v/>
      </c>
      <c r="B1863" s="17" t="str">
        <f t="shared" si="29"/>
        <v>Problem</v>
      </c>
    </row>
    <row r="1864" spans="1:2" x14ac:dyDescent="0.2">
      <c r="A1864" t="str">
        <f>IF(ISERROR(VLOOKUP(C1864,Questions!$A$1:G$9999,7,0)),"",VLOOKUP(C1864,Questions!$A$1:G$9999,7,0))</f>
        <v/>
      </c>
      <c r="B1864" s="17" t="str">
        <f t="shared" si="29"/>
        <v>Problem</v>
      </c>
    </row>
    <row r="1865" spans="1:2" x14ac:dyDescent="0.2">
      <c r="A1865" t="str">
        <f>IF(ISERROR(VLOOKUP(C1865,Questions!$A$1:G$9999,7,0)),"",VLOOKUP(C1865,Questions!$A$1:G$9999,7,0))</f>
        <v/>
      </c>
      <c r="B1865" s="17" t="str">
        <f t="shared" si="29"/>
        <v>Problem</v>
      </c>
    </row>
    <row r="1866" spans="1:2" x14ac:dyDescent="0.2">
      <c r="A1866" t="str">
        <f>IF(ISERROR(VLOOKUP(C1866,Questions!$A$1:G$9999,7,0)),"",VLOOKUP(C1866,Questions!$A$1:G$9999,7,0))</f>
        <v/>
      </c>
      <c r="B1866" s="17" t="str">
        <f t="shared" si="29"/>
        <v>Problem</v>
      </c>
    </row>
    <row r="1867" spans="1:2" x14ac:dyDescent="0.2">
      <c r="A1867" t="str">
        <f>IF(ISERROR(VLOOKUP(C1867,Questions!$A$1:G$9999,7,0)),"",VLOOKUP(C1867,Questions!$A$1:G$9999,7,0))</f>
        <v/>
      </c>
      <c r="B1867" s="17" t="str">
        <f t="shared" si="29"/>
        <v>Problem</v>
      </c>
    </row>
    <row r="1868" spans="1:2" x14ac:dyDescent="0.2">
      <c r="A1868" t="str">
        <f>IF(ISERROR(VLOOKUP(C1868,Questions!$A$1:G$9999,7,0)),"",VLOOKUP(C1868,Questions!$A$1:G$9999,7,0))</f>
        <v/>
      </c>
      <c r="B1868" s="17" t="str">
        <f t="shared" si="29"/>
        <v>Problem</v>
      </c>
    </row>
    <row r="1869" spans="1:2" x14ac:dyDescent="0.2">
      <c r="A1869" t="str">
        <f>IF(ISERROR(VLOOKUP(C1869,Questions!$A$1:G$9999,7,0)),"",VLOOKUP(C1869,Questions!$A$1:G$9999,7,0))</f>
        <v/>
      </c>
      <c r="B1869" s="17" t="str">
        <f t="shared" si="29"/>
        <v>Problem</v>
      </c>
    </row>
    <row r="1870" spans="1:2" x14ac:dyDescent="0.2">
      <c r="A1870" t="str">
        <f>IF(ISERROR(VLOOKUP(C1870,Questions!$A$1:G$9999,7,0)),"",VLOOKUP(C1870,Questions!$A$1:G$9999,7,0))</f>
        <v/>
      </c>
      <c r="B1870" s="17" t="str">
        <f t="shared" si="29"/>
        <v>Problem</v>
      </c>
    </row>
    <row r="1871" spans="1:2" x14ac:dyDescent="0.2">
      <c r="A1871" t="str">
        <f>IF(ISERROR(VLOOKUP(C1871,Questions!$A$1:G$9999,7,0)),"",VLOOKUP(C1871,Questions!$A$1:G$9999,7,0))</f>
        <v/>
      </c>
      <c r="B1871" s="17" t="str">
        <f t="shared" si="29"/>
        <v>Problem</v>
      </c>
    </row>
    <row r="1872" spans="1:2" x14ac:dyDescent="0.2">
      <c r="A1872" t="str">
        <f>IF(ISERROR(VLOOKUP(C1872,Questions!$A$1:G$9999,7,0)),"",VLOOKUP(C1872,Questions!$A$1:G$9999,7,0))</f>
        <v/>
      </c>
      <c r="B1872" s="17" t="str">
        <f t="shared" si="29"/>
        <v>Problem</v>
      </c>
    </row>
    <row r="1873" spans="1:2" x14ac:dyDescent="0.2">
      <c r="A1873" t="str">
        <f>IF(ISERROR(VLOOKUP(C1873,Questions!$A$1:G$9999,7,0)),"",VLOOKUP(C1873,Questions!$A$1:G$9999,7,0))</f>
        <v/>
      </c>
      <c r="B1873" s="17" t="str">
        <f t="shared" si="29"/>
        <v>Problem</v>
      </c>
    </row>
    <row r="1874" spans="1:2" x14ac:dyDescent="0.2">
      <c r="A1874" t="str">
        <f>IF(ISERROR(VLOOKUP(C1874,Questions!$A$1:G$9999,7,0)),"",VLOOKUP(C1874,Questions!$A$1:G$9999,7,0))</f>
        <v/>
      </c>
      <c r="B1874" s="17" t="str">
        <f t="shared" si="29"/>
        <v>Problem</v>
      </c>
    </row>
    <row r="1875" spans="1:2" x14ac:dyDescent="0.2">
      <c r="A1875" t="str">
        <f>IF(ISERROR(VLOOKUP(C1875,Questions!$A$1:G$9999,7,0)),"",VLOOKUP(C1875,Questions!$A$1:G$9999,7,0))</f>
        <v/>
      </c>
      <c r="B1875" s="17" t="str">
        <f t="shared" si="29"/>
        <v>Problem</v>
      </c>
    </row>
    <row r="1876" spans="1:2" x14ac:dyDescent="0.2">
      <c r="A1876" t="str">
        <f>IF(ISERROR(VLOOKUP(C1876,Questions!$A$1:G$9999,7,0)),"",VLOOKUP(C1876,Questions!$A$1:G$9999,7,0))</f>
        <v/>
      </c>
      <c r="B1876" s="17" t="str">
        <f t="shared" si="29"/>
        <v>Problem</v>
      </c>
    </row>
    <row r="1877" spans="1:2" x14ac:dyDescent="0.2">
      <c r="A1877" t="str">
        <f>IF(ISERROR(VLOOKUP(C1877,Questions!$A$1:G$9999,7,0)),"",VLOOKUP(C1877,Questions!$A$1:G$9999,7,0))</f>
        <v/>
      </c>
      <c r="B1877" s="17" t="str">
        <f t="shared" si="29"/>
        <v>Problem</v>
      </c>
    </row>
    <row r="1878" spans="1:2" x14ac:dyDescent="0.2">
      <c r="A1878" t="str">
        <f>IF(ISERROR(VLOOKUP(C1878,Questions!$A$1:G$9999,7,0)),"",VLOOKUP(C1878,Questions!$A$1:G$9999,7,0))</f>
        <v/>
      </c>
      <c r="B1878" s="17" t="str">
        <f t="shared" si="29"/>
        <v>Problem</v>
      </c>
    </row>
    <row r="1879" spans="1:2" x14ac:dyDescent="0.2">
      <c r="A1879" t="str">
        <f>IF(ISERROR(VLOOKUP(C1879,Questions!$A$1:G$9999,7,0)),"",VLOOKUP(C1879,Questions!$A$1:G$9999,7,0))</f>
        <v/>
      </c>
      <c r="B1879" s="17" t="str">
        <f t="shared" si="29"/>
        <v>Problem</v>
      </c>
    </row>
    <row r="1880" spans="1:2" x14ac:dyDescent="0.2">
      <c r="A1880" t="str">
        <f>IF(ISERROR(VLOOKUP(C1880,Questions!$A$1:G$9999,7,0)),"",VLOOKUP(C1880,Questions!$A$1:G$9999,7,0))</f>
        <v/>
      </c>
      <c r="B1880" s="17" t="str">
        <f t="shared" si="29"/>
        <v>Problem</v>
      </c>
    </row>
    <row r="1881" spans="1:2" x14ac:dyDescent="0.2">
      <c r="A1881" t="str">
        <f>IF(ISERROR(VLOOKUP(C1881,Questions!$A$1:G$9999,7,0)),"",VLOOKUP(C1881,Questions!$A$1:G$9999,7,0))</f>
        <v/>
      </c>
      <c r="B1881" s="17" t="str">
        <f t="shared" si="29"/>
        <v>Problem</v>
      </c>
    </row>
    <row r="1882" spans="1:2" x14ac:dyDescent="0.2">
      <c r="A1882" t="str">
        <f>IF(ISERROR(VLOOKUP(C1882,Questions!$A$1:G$9999,7,0)),"",VLOOKUP(C1882,Questions!$A$1:G$9999,7,0))</f>
        <v/>
      </c>
      <c r="B1882" s="17" t="str">
        <f t="shared" si="29"/>
        <v>Problem</v>
      </c>
    </row>
    <row r="1883" spans="1:2" x14ac:dyDescent="0.2">
      <c r="A1883" t="str">
        <f>IF(ISERROR(VLOOKUP(C1883,Questions!$A$1:G$9999,7,0)),"",VLOOKUP(C1883,Questions!$A$1:G$9999,7,0))</f>
        <v/>
      </c>
      <c r="B1883" s="17" t="str">
        <f t="shared" si="29"/>
        <v>Problem</v>
      </c>
    </row>
    <row r="1884" spans="1:2" x14ac:dyDescent="0.2">
      <c r="A1884" t="str">
        <f>IF(ISERROR(VLOOKUP(C1884,Questions!$A$1:G$9999,7,0)),"",VLOOKUP(C1884,Questions!$A$1:G$9999,7,0))</f>
        <v/>
      </c>
      <c r="B1884" s="17" t="str">
        <f t="shared" si="29"/>
        <v>Problem</v>
      </c>
    </row>
    <row r="1885" spans="1:2" x14ac:dyDescent="0.2">
      <c r="A1885" t="str">
        <f>IF(ISERROR(VLOOKUP(C1885,Questions!$A$1:G$9999,7,0)),"",VLOOKUP(C1885,Questions!$A$1:G$9999,7,0))</f>
        <v/>
      </c>
      <c r="B1885" s="17" t="str">
        <f t="shared" si="29"/>
        <v>Problem</v>
      </c>
    </row>
    <row r="1886" spans="1:2" x14ac:dyDescent="0.2">
      <c r="A1886" t="str">
        <f>IF(ISERROR(VLOOKUP(C1886,Questions!$A$1:G$9999,7,0)),"",VLOOKUP(C1886,Questions!$A$1:G$9999,7,0))</f>
        <v/>
      </c>
      <c r="B1886" s="17" t="str">
        <f t="shared" si="29"/>
        <v>Problem</v>
      </c>
    </row>
    <row r="1887" spans="1:2" x14ac:dyDescent="0.2">
      <c r="A1887" t="str">
        <f>IF(ISERROR(VLOOKUP(C1887,Questions!$A$1:G$9999,7,0)),"",VLOOKUP(C1887,Questions!$A$1:G$9999,7,0))</f>
        <v/>
      </c>
      <c r="B1887" s="17" t="str">
        <f t="shared" si="29"/>
        <v>Problem</v>
      </c>
    </row>
    <row r="1888" spans="1:2" x14ac:dyDescent="0.2">
      <c r="A1888" t="str">
        <f>IF(ISERROR(VLOOKUP(C1888,Questions!$A$1:G$9999,7,0)),"",VLOOKUP(C1888,Questions!$A$1:G$9999,7,0))</f>
        <v/>
      </c>
      <c r="B1888" s="17" t="str">
        <f t="shared" si="29"/>
        <v>Problem</v>
      </c>
    </row>
    <row r="1889" spans="1:2" x14ac:dyDescent="0.2">
      <c r="A1889" t="str">
        <f>IF(ISERROR(VLOOKUP(C1889,Questions!$A$1:G$9999,7,0)),"",VLOOKUP(C1889,Questions!$A$1:G$9999,7,0))</f>
        <v/>
      </c>
      <c r="B1889" s="17" t="str">
        <f t="shared" si="29"/>
        <v>Problem</v>
      </c>
    </row>
    <row r="1890" spans="1:2" x14ac:dyDescent="0.2">
      <c r="A1890" t="str">
        <f>IF(ISERROR(VLOOKUP(C1890,Questions!$A$1:G$9999,7,0)),"",VLOOKUP(C1890,Questions!$A$1:G$9999,7,0))</f>
        <v/>
      </c>
      <c r="B1890" s="17" t="str">
        <f t="shared" si="29"/>
        <v>Problem</v>
      </c>
    </row>
    <row r="1891" spans="1:2" x14ac:dyDescent="0.2">
      <c r="A1891" t="str">
        <f>IF(ISERROR(VLOOKUP(C1891,Questions!$A$1:G$9999,7,0)),"",VLOOKUP(C1891,Questions!$A$1:G$9999,7,0))</f>
        <v/>
      </c>
      <c r="B1891" s="17" t="str">
        <f t="shared" si="29"/>
        <v>Problem</v>
      </c>
    </row>
    <row r="1892" spans="1:2" x14ac:dyDescent="0.2">
      <c r="A1892" t="str">
        <f>IF(ISERROR(VLOOKUP(C1892,Questions!$A$1:G$9999,7,0)),"",VLOOKUP(C1892,Questions!$A$1:G$9999,7,0))</f>
        <v/>
      </c>
      <c r="B1892" s="17" t="str">
        <f t="shared" si="29"/>
        <v>Problem</v>
      </c>
    </row>
    <row r="1893" spans="1:2" x14ac:dyDescent="0.2">
      <c r="A1893" t="str">
        <f>IF(ISERROR(VLOOKUP(C1893,Questions!$A$1:G$9999,7,0)),"",VLOOKUP(C1893,Questions!$A$1:G$9999,7,0))</f>
        <v/>
      </c>
      <c r="B1893" s="17" t="str">
        <f t="shared" si="29"/>
        <v>Problem</v>
      </c>
    </row>
    <row r="1894" spans="1:2" x14ac:dyDescent="0.2">
      <c r="A1894" t="str">
        <f>IF(ISERROR(VLOOKUP(C1894,Questions!$A$1:G$9999,7,0)),"",VLOOKUP(C1894,Questions!$A$1:G$9999,7,0))</f>
        <v/>
      </c>
      <c r="B1894" s="17" t="str">
        <f t="shared" si="29"/>
        <v>Problem</v>
      </c>
    </row>
    <row r="1895" spans="1:2" x14ac:dyDescent="0.2">
      <c r="A1895" t="str">
        <f>IF(ISERROR(VLOOKUP(C1895,Questions!$A$1:G$9999,7,0)),"",VLOOKUP(C1895,Questions!$A$1:G$9999,7,0))</f>
        <v/>
      </c>
      <c r="B1895" s="17" t="str">
        <f t="shared" si="29"/>
        <v>Problem</v>
      </c>
    </row>
    <row r="1896" spans="1:2" x14ac:dyDescent="0.2">
      <c r="A1896" t="str">
        <f>IF(ISERROR(VLOOKUP(C1896,Questions!$A$1:G$9999,7,0)),"",VLOOKUP(C1896,Questions!$A$1:G$9999,7,0))</f>
        <v/>
      </c>
      <c r="B1896" s="17" t="str">
        <f t="shared" si="29"/>
        <v>Problem</v>
      </c>
    </row>
    <row r="1897" spans="1:2" x14ac:dyDescent="0.2">
      <c r="A1897" t="str">
        <f>IF(ISERROR(VLOOKUP(C1897,Questions!$A$1:G$9999,7,0)),"",VLOOKUP(C1897,Questions!$A$1:G$9999,7,0))</f>
        <v/>
      </c>
      <c r="B1897" s="17" t="str">
        <f t="shared" si="29"/>
        <v>Problem</v>
      </c>
    </row>
    <row r="1898" spans="1:2" x14ac:dyDescent="0.2">
      <c r="A1898" t="str">
        <f>IF(ISERROR(VLOOKUP(C1898,Questions!$A$1:G$9999,7,0)),"",VLOOKUP(C1898,Questions!$A$1:G$9999,7,0))</f>
        <v/>
      </c>
      <c r="B1898" s="17" t="str">
        <f t="shared" si="29"/>
        <v>Problem</v>
      </c>
    </row>
    <row r="1899" spans="1:2" x14ac:dyDescent="0.2">
      <c r="A1899" t="str">
        <f>IF(ISERROR(VLOOKUP(C1899,Questions!$A$1:G$9999,7,0)),"",VLOOKUP(C1899,Questions!$A$1:G$9999,7,0))</f>
        <v/>
      </c>
      <c r="B1899" s="17" t="str">
        <f t="shared" si="29"/>
        <v>Problem</v>
      </c>
    </row>
    <row r="1900" spans="1:2" x14ac:dyDescent="0.2">
      <c r="A1900" t="str">
        <f>IF(ISERROR(VLOOKUP(C1900,Questions!$A$1:G$9999,7,0)),"",VLOOKUP(C1900,Questions!$A$1:G$9999,7,0))</f>
        <v/>
      </c>
      <c r="B1900" s="17" t="str">
        <f t="shared" si="29"/>
        <v>Problem</v>
      </c>
    </row>
    <row r="1901" spans="1:2" x14ac:dyDescent="0.2">
      <c r="A1901" t="str">
        <f>IF(ISERROR(VLOOKUP(C1901,Questions!$A$1:G$9999,7,0)),"",VLOOKUP(C1901,Questions!$A$1:G$9999,7,0))</f>
        <v/>
      </c>
      <c r="B1901" s="17" t="str">
        <f t="shared" si="29"/>
        <v>Problem</v>
      </c>
    </row>
    <row r="1902" spans="1:2" x14ac:dyDescent="0.2">
      <c r="A1902" t="str">
        <f>IF(ISERROR(VLOOKUP(C1902,Questions!$A$1:G$9999,7,0)),"",VLOOKUP(C1902,Questions!$A$1:G$9999,7,0))</f>
        <v/>
      </c>
      <c r="B1902" s="17" t="str">
        <f t="shared" si="29"/>
        <v>Problem</v>
      </c>
    </row>
    <row r="1903" spans="1:2" x14ac:dyDescent="0.2">
      <c r="A1903" t="str">
        <f>IF(ISERROR(VLOOKUP(C1903,Questions!$A$1:G$9999,7,0)),"",VLOOKUP(C1903,Questions!$A$1:G$9999,7,0))</f>
        <v/>
      </c>
      <c r="B1903" s="17" t="str">
        <f t="shared" si="29"/>
        <v>Problem</v>
      </c>
    </row>
    <row r="1904" spans="1:2" x14ac:dyDescent="0.2">
      <c r="A1904" t="str">
        <f>IF(ISERROR(VLOOKUP(C1904,Questions!$A$1:G$9999,7,0)),"",VLOOKUP(C1904,Questions!$A$1:G$9999,7,0))</f>
        <v/>
      </c>
      <c r="B1904" s="17" t="str">
        <f t="shared" si="29"/>
        <v>Problem</v>
      </c>
    </row>
    <row r="1905" spans="1:2" x14ac:dyDescent="0.2">
      <c r="A1905" t="str">
        <f>IF(ISERROR(VLOOKUP(C1905,Questions!$A$1:G$9999,7,0)),"",VLOOKUP(C1905,Questions!$A$1:G$9999,7,0))</f>
        <v/>
      </c>
      <c r="B1905" s="17" t="str">
        <f t="shared" si="29"/>
        <v>Problem</v>
      </c>
    </row>
    <row r="1906" spans="1:2" x14ac:dyDescent="0.2">
      <c r="A1906" t="str">
        <f>IF(ISERROR(VLOOKUP(C1906,Questions!$A$1:G$9999,7,0)),"",VLOOKUP(C1906,Questions!$A$1:G$9999,7,0))</f>
        <v/>
      </c>
      <c r="B1906" s="17" t="str">
        <f t="shared" si="29"/>
        <v>Problem</v>
      </c>
    </row>
    <row r="1907" spans="1:2" x14ac:dyDescent="0.2">
      <c r="A1907" t="str">
        <f>IF(ISERROR(VLOOKUP(C1907,Questions!$A$1:G$9999,7,0)),"",VLOOKUP(C1907,Questions!$A$1:G$9999,7,0))</f>
        <v/>
      </c>
      <c r="B1907" s="17" t="str">
        <f t="shared" si="29"/>
        <v>Problem</v>
      </c>
    </row>
    <row r="1908" spans="1:2" x14ac:dyDescent="0.2">
      <c r="A1908" t="str">
        <f>IF(ISERROR(VLOOKUP(C1908,Questions!$A$1:G$9999,7,0)),"",VLOOKUP(C1908,Questions!$A$1:G$9999,7,0))</f>
        <v/>
      </c>
      <c r="B1908" s="17" t="str">
        <f t="shared" si="29"/>
        <v>Problem</v>
      </c>
    </row>
    <row r="1909" spans="1:2" x14ac:dyDescent="0.2">
      <c r="A1909" t="str">
        <f>IF(ISERROR(VLOOKUP(C1909,Questions!$A$1:G$9999,7,0)),"",VLOOKUP(C1909,Questions!$A$1:G$9999,7,0))</f>
        <v/>
      </c>
      <c r="B1909" s="17" t="str">
        <f t="shared" si="29"/>
        <v>Problem</v>
      </c>
    </row>
    <row r="1910" spans="1:2" x14ac:dyDescent="0.2">
      <c r="A1910" t="str">
        <f>IF(ISERROR(VLOOKUP(C1910,Questions!$A$1:G$9999,7,0)),"",VLOOKUP(C1910,Questions!$A$1:G$9999,7,0))</f>
        <v/>
      </c>
      <c r="B1910" s="17" t="str">
        <f t="shared" si="29"/>
        <v>Problem</v>
      </c>
    </row>
    <row r="1911" spans="1:2" x14ac:dyDescent="0.2">
      <c r="A1911" t="str">
        <f>IF(ISERROR(VLOOKUP(C1911,Questions!$A$1:G$9999,7,0)),"",VLOOKUP(C1911,Questions!$A$1:G$9999,7,0))</f>
        <v/>
      </c>
      <c r="B1911" s="17" t="str">
        <f t="shared" si="29"/>
        <v>Problem</v>
      </c>
    </row>
    <row r="1912" spans="1:2" x14ac:dyDescent="0.2">
      <c r="A1912" t="str">
        <f>IF(ISERROR(VLOOKUP(C1912,Questions!$A$1:G$9999,7,0)),"",VLOOKUP(C1912,Questions!$A$1:G$9999,7,0))</f>
        <v/>
      </c>
      <c r="B1912" s="17" t="str">
        <f t="shared" si="29"/>
        <v>Problem</v>
      </c>
    </row>
    <row r="1913" spans="1:2" x14ac:dyDescent="0.2">
      <c r="A1913" t="str">
        <f>IF(ISERROR(VLOOKUP(C1913,Questions!$A$1:G$9999,7,0)),"",VLOOKUP(C1913,Questions!$A$1:G$9999,7,0))</f>
        <v/>
      </c>
      <c r="B1913" s="17" t="str">
        <f t="shared" si="29"/>
        <v>Problem</v>
      </c>
    </row>
    <row r="1914" spans="1:2" x14ac:dyDescent="0.2">
      <c r="A1914" t="str">
        <f>IF(ISERROR(VLOOKUP(C1914,Questions!$A$1:G$9999,7,0)),"",VLOOKUP(C1914,Questions!$A$1:G$9999,7,0))</f>
        <v/>
      </c>
      <c r="B1914" s="17" t="str">
        <f t="shared" si="29"/>
        <v>Problem</v>
      </c>
    </row>
    <row r="1915" spans="1:2" x14ac:dyDescent="0.2">
      <c r="A1915" t="str">
        <f>IF(ISERROR(VLOOKUP(C1915,Questions!$A$1:G$9999,7,0)),"",VLOOKUP(C1915,Questions!$A$1:G$9999,7,0))</f>
        <v/>
      </c>
      <c r="B1915" s="17" t="str">
        <f t="shared" si="29"/>
        <v>Problem</v>
      </c>
    </row>
    <row r="1916" spans="1:2" x14ac:dyDescent="0.2">
      <c r="A1916" t="str">
        <f>IF(ISERROR(VLOOKUP(C1916,Questions!$A$1:G$9999,7,0)),"",VLOOKUP(C1916,Questions!$A$1:G$9999,7,0))</f>
        <v/>
      </c>
      <c r="B1916" s="17" t="str">
        <f t="shared" ref="B1916:B1979" si="30">HYPERLINK("http://www.mrhosey.com/RPhys/" &amp; C1916 &amp; ".gif","Problem")</f>
        <v>Problem</v>
      </c>
    </row>
    <row r="1917" spans="1:2" x14ac:dyDescent="0.2">
      <c r="A1917" t="str">
        <f>IF(ISERROR(VLOOKUP(C1917,Questions!$A$1:G$9999,7,0)),"",VLOOKUP(C1917,Questions!$A$1:G$9999,7,0))</f>
        <v/>
      </c>
      <c r="B1917" s="17" t="str">
        <f t="shared" si="30"/>
        <v>Problem</v>
      </c>
    </row>
    <row r="1918" spans="1:2" x14ac:dyDescent="0.2">
      <c r="A1918" t="str">
        <f>IF(ISERROR(VLOOKUP(C1918,Questions!$A$1:G$9999,7,0)),"",VLOOKUP(C1918,Questions!$A$1:G$9999,7,0))</f>
        <v/>
      </c>
      <c r="B1918" s="17" t="str">
        <f t="shared" si="30"/>
        <v>Problem</v>
      </c>
    </row>
    <row r="1919" spans="1:2" x14ac:dyDescent="0.2">
      <c r="A1919" t="str">
        <f>IF(ISERROR(VLOOKUP(C1919,Questions!$A$1:G$9999,7,0)),"",VLOOKUP(C1919,Questions!$A$1:G$9999,7,0))</f>
        <v/>
      </c>
      <c r="B1919" s="17" t="str">
        <f t="shared" si="30"/>
        <v>Problem</v>
      </c>
    </row>
    <row r="1920" spans="1:2" x14ac:dyDescent="0.2">
      <c r="A1920" t="str">
        <f>IF(ISERROR(VLOOKUP(C1920,Questions!$A$1:G$9999,7,0)),"",VLOOKUP(C1920,Questions!$A$1:G$9999,7,0))</f>
        <v/>
      </c>
      <c r="B1920" s="17" t="str">
        <f t="shared" si="30"/>
        <v>Problem</v>
      </c>
    </row>
    <row r="1921" spans="1:2" x14ac:dyDescent="0.2">
      <c r="A1921" t="str">
        <f>IF(ISERROR(VLOOKUP(C1921,Questions!$A$1:G$9999,7,0)),"",VLOOKUP(C1921,Questions!$A$1:G$9999,7,0))</f>
        <v/>
      </c>
      <c r="B1921" s="17" t="str">
        <f t="shared" si="30"/>
        <v>Problem</v>
      </c>
    </row>
    <row r="1922" spans="1:2" x14ac:dyDescent="0.2">
      <c r="A1922" t="str">
        <f>IF(ISERROR(VLOOKUP(C1922,Questions!$A$1:G$9999,7,0)),"",VLOOKUP(C1922,Questions!$A$1:G$9999,7,0))</f>
        <v/>
      </c>
      <c r="B1922" s="17" t="str">
        <f t="shared" si="30"/>
        <v>Problem</v>
      </c>
    </row>
    <row r="1923" spans="1:2" x14ac:dyDescent="0.2">
      <c r="A1923" t="str">
        <f>IF(ISERROR(VLOOKUP(C1923,Questions!$A$1:G$9999,7,0)),"",VLOOKUP(C1923,Questions!$A$1:G$9999,7,0))</f>
        <v/>
      </c>
      <c r="B1923" s="17" t="str">
        <f t="shared" si="30"/>
        <v>Problem</v>
      </c>
    </row>
    <row r="1924" spans="1:2" x14ac:dyDescent="0.2">
      <c r="A1924" t="str">
        <f>IF(ISERROR(VLOOKUP(C1924,Questions!$A$1:G$9999,7,0)),"",VLOOKUP(C1924,Questions!$A$1:G$9999,7,0))</f>
        <v/>
      </c>
      <c r="B1924" s="17" t="str">
        <f t="shared" si="30"/>
        <v>Problem</v>
      </c>
    </row>
    <row r="1925" spans="1:2" x14ac:dyDescent="0.2">
      <c r="A1925" t="str">
        <f>IF(ISERROR(VLOOKUP(C1925,Questions!$A$1:G$9999,7,0)),"",VLOOKUP(C1925,Questions!$A$1:G$9999,7,0))</f>
        <v/>
      </c>
      <c r="B1925" s="17" t="str">
        <f t="shared" si="30"/>
        <v>Problem</v>
      </c>
    </row>
    <row r="1926" spans="1:2" x14ac:dyDescent="0.2">
      <c r="A1926" t="str">
        <f>IF(ISERROR(VLOOKUP(C1926,Questions!$A$1:G$9999,7,0)),"",VLOOKUP(C1926,Questions!$A$1:G$9999,7,0))</f>
        <v/>
      </c>
      <c r="B1926" s="17" t="str">
        <f t="shared" si="30"/>
        <v>Problem</v>
      </c>
    </row>
    <row r="1927" spans="1:2" x14ac:dyDescent="0.2">
      <c r="A1927" t="str">
        <f>IF(ISERROR(VLOOKUP(C1927,Questions!$A$1:G$9999,7,0)),"",VLOOKUP(C1927,Questions!$A$1:G$9999,7,0))</f>
        <v/>
      </c>
      <c r="B1927" s="17" t="str">
        <f t="shared" si="30"/>
        <v>Problem</v>
      </c>
    </row>
    <row r="1928" spans="1:2" x14ac:dyDescent="0.2">
      <c r="A1928" t="str">
        <f>IF(ISERROR(VLOOKUP(C1928,Questions!$A$1:G$9999,7,0)),"",VLOOKUP(C1928,Questions!$A$1:G$9999,7,0))</f>
        <v/>
      </c>
      <c r="B1928" s="17" t="str">
        <f t="shared" si="30"/>
        <v>Problem</v>
      </c>
    </row>
    <row r="1929" spans="1:2" x14ac:dyDescent="0.2">
      <c r="A1929" t="str">
        <f>IF(ISERROR(VLOOKUP(C1929,Questions!$A$1:G$9999,7,0)),"",VLOOKUP(C1929,Questions!$A$1:G$9999,7,0))</f>
        <v/>
      </c>
      <c r="B1929" s="17" t="str">
        <f t="shared" si="30"/>
        <v>Problem</v>
      </c>
    </row>
    <row r="1930" spans="1:2" x14ac:dyDescent="0.2">
      <c r="A1930" t="str">
        <f>IF(ISERROR(VLOOKUP(C1930,Questions!$A$1:G$9999,7,0)),"",VLOOKUP(C1930,Questions!$A$1:G$9999,7,0))</f>
        <v/>
      </c>
      <c r="B1930" s="17" t="str">
        <f t="shared" si="30"/>
        <v>Problem</v>
      </c>
    </row>
    <row r="1931" spans="1:2" x14ac:dyDescent="0.2">
      <c r="A1931" t="str">
        <f>IF(ISERROR(VLOOKUP(C1931,Questions!$A$1:G$9999,7,0)),"",VLOOKUP(C1931,Questions!$A$1:G$9999,7,0))</f>
        <v/>
      </c>
      <c r="B1931" s="17" t="str">
        <f t="shared" si="30"/>
        <v>Problem</v>
      </c>
    </row>
    <row r="1932" spans="1:2" x14ac:dyDescent="0.2">
      <c r="A1932" t="str">
        <f>IF(ISERROR(VLOOKUP(C1932,Questions!$A$1:G$9999,7,0)),"",VLOOKUP(C1932,Questions!$A$1:G$9999,7,0))</f>
        <v/>
      </c>
      <c r="B1932" s="17" t="str">
        <f t="shared" si="30"/>
        <v>Problem</v>
      </c>
    </row>
    <row r="1933" spans="1:2" x14ac:dyDescent="0.2">
      <c r="A1933" t="str">
        <f>IF(ISERROR(VLOOKUP(C1933,Questions!$A$1:G$9999,7,0)),"",VLOOKUP(C1933,Questions!$A$1:G$9999,7,0))</f>
        <v/>
      </c>
      <c r="B1933" s="17" t="str">
        <f t="shared" si="30"/>
        <v>Problem</v>
      </c>
    </row>
    <row r="1934" spans="1:2" x14ac:dyDescent="0.2">
      <c r="A1934" t="str">
        <f>IF(ISERROR(VLOOKUP(C1934,Questions!$A$1:G$9999,7,0)),"",VLOOKUP(C1934,Questions!$A$1:G$9999,7,0))</f>
        <v/>
      </c>
      <c r="B1934" s="17" t="str">
        <f t="shared" si="30"/>
        <v>Problem</v>
      </c>
    </row>
    <row r="1935" spans="1:2" x14ac:dyDescent="0.2">
      <c r="A1935" t="str">
        <f>IF(ISERROR(VLOOKUP(C1935,Questions!$A$1:G$9999,7,0)),"",VLOOKUP(C1935,Questions!$A$1:G$9999,7,0))</f>
        <v/>
      </c>
      <c r="B1935" s="17" t="str">
        <f t="shared" si="30"/>
        <v>Problem</v>
      </c>
    </row>
    <row r="1936" spans="1:2" x14ac:dyDescent="0.2">
      <c r="A1936" t="str">
        <f>IF(ISERROR(VLOOKUP(C1936,Questions!$A$1:G$9999,7,0)),"",VLOOKUP(C1936,Questions!$A$1:G$9999,7,0))</f>
        <v/>
      </c>
      <c r="B1936" s="17" t="str">
        <f t="shared" si="30"/>
        <v>Problem</v>
      </c>
    </row>
    <row r="1937" spans="1:2" x14ac:dyDescent="0.2">
      <c r="A1937" t="str">
        <f>IF(ISERROR(VLOOKUP(C1937,Questions!$A$1:G$9999,7,0)),"",VLOOKUP(C1937,Questions!$A$1:G$9999,7,0))</f>
        <v/>
      </c>
      <c r="B1937" s="17" t="str">
        <f t="shared" si="30"/>
        <v>Problem</v>
      </c>
    </row>
    <row r="1938" spans="1:2" x14ac:dyDescent="0.2">
      <c r="A1938" t="str">
        <f>IF(ISERROR(VLOOKUP(C1938,Questions!$A$1:G$9999,7,0)),"",VLOOKUP(C1938,Questions!$A$1:G$9999,7,0))</f>
        <v/>
      </c>
      <c r="B1938" s="17" t="str">
        <f t="shared" si="30"/>
        <v>Problem</v>
      </c>
    </row>
    <row r="1939" spans="1:2" x14ac:dyDescent="0.2">
      <c r="A1939" t="str">
        <f>IF(ISERROR(VLOOKUP(C1939,Questions!$A$1:G$9999,7,0)),"",VLOOKUP(C1939,Questions!$A$1:G$9999,7,0))</f>
        <v/>
      </c>
      <c r="B1939" s="17" t="str">
        <f t="shared" si="30"/>
        <v>Problem</v>
      </c>
    </row>
    <row r="1940" spans="1:2" x14ac:dyDescent="0.2">
      <c r="A1940" t="str">
        <f>IF(ISERROR(VLOOKUP(C1940,Questions!$A$1:G$9999,7,0)),"",VLOOKUP(C1940,Questions!$A$1:G$9999,7,0))</f>
        <v/>
      </c>
      <c r="B1940" s="17" t="str">
        <f t="shared" si="30"/>
        <v>Problem</v>
      </c>
    </row>
    <row r="1941" spans="1:2" x14ac:dyDescent="0.2">
      <c r="A1941" t="str">
        <f>IF(ISERROR(VLOOKUP(C1941,Questions!$A$1:G$9999,7,0)),"",VLOOKUP(C1941,Questions!$A$1:G$9999,7,0))</f>
        <v/>
      </c>
      <c r="B1941" s="17" t="str">
        <f t="shared" si="30"/>
        <v>Problem</v>
      </c>
    </row>
    <row r="1942" spans="1:2" x14ac:dyDescent="0.2">
      <c r="A1942" t="str">
        <f>IF(ISERROR(VLOOKUP(C1942,Questions!$A$1:G$9999,7,0)),"",VLOOKUP(C1942,Questions!$A$1:G$9999,7,0))</f>
        <v/>
      </c>
      <c r="B1942" s="17" t="str">
        <f t="shared" si="30"/>
        <v>Problem</v>
      </c>
    </row>
    <row r="1943" spans="1:2" x14ac:dyDescent="0.2">
      <c r="A1943" t="str">
        <f>IF(ISERROR(VLOOKUP(C1943,Questions!$A$1:G$9999,7,0)),"",VLOOKUP(C1943,Questions!$A$1:G$9999,7,0))</f>
        <v/>
      </c>
      <c r="B1943" s="17" t="str">
        <f t="shared" si="30"/>
        <v>Problem</v>
      </c>
    </row>
    <row r="1944" spans="1:2" x14ac:dyDescent="0.2">
      <c r="A1944" t="str">
        <f>IF(ISERROR(VLOOKUP(C1944,Questions!$A$1:G$9999,7,0)),"",VLOOKUP(C1944,Questions!$A$1:G$9999,7,0))</f>
        <v/>
      </c>
      <c r="B1944" s="17" t="str">
        <f t="shared" si="30"/>
        <v>Problem</v>
      </c>
    </row>
    <row r="1945" spans="1:2" x14ac:dyDescent="0.2">
      <c r="A1945" t="str">
        <f>IF(ISERROR(VLOOKUP(C1945,Questions!$A$1:G$9999,7,0)),"",VLOOKUP(C1945,Questions!$A$1:G$9999,7,0))</f>
        <v/>
      </c>
      <c r="B1945" s="17" t="str">
        <f t="shared" si="30"/>
        <v>Problem</v>
      </c>
    </row>
    <row r="1946" spans="1:2" x14ac:dyDescent="0.2">
      <c r="A1946" t="str">
        <f>IF(ISERROR(VLOOKUP(C1946,Questions!$A$1:G$9999,7,0)),"",VLOOKUP(C1946,Questions!$A$1:G$9999,7,0))</f>
        <v/>
      </c>
      <c r="B1946" s="17" t="str">
        <f t="shared" si="30"/>
        <v>Problem</v>
      </c>
    </row>
    <row r="1947" spans="1:2" x14ac:dyDescent="0.2">
      <c r="A1947" t="str">
        <f>IF(ISERROR(VLOOKUP(C1947,Questions!$A$1:G$9999,7,0)),"",VLOOKUP(C1947,Questions!$A$1:G$9999,7,0))</f>
        <v/>
      </c>
      <c r="B1947" s="17" t="str">
        <f t="shared" si="30"/>
        <v>Problem</v>
      </c>
    </row>
    <row r="1948" spans="1:2" x14ac:dyDescent="0.2">
      <c r="A1948" t="str">
        <f>IF(ISERROR(VLOOKUP(C1948,Questions!$A$1:G$9999,7,0)),"",VLOOKUP(C1948,Questions!$A$1:G$9999,7,0))</f>
        <v/>
      </c>
      <c r="B1948" s="17" t="str">
        <f t="shared" si="30"/>
        <v>Problem</v>
      </c>
    </row>
    <row r="1949" spans="1:2" x14ac:dyDescent="0.2">
      <c r="A1949" t="str">
        <f>IF(ISERROR(VLOOKUP(C1949,Questions!$A$1:G$9999,7,0)),"",VLOOKUP(C1949,Questions!$A$1:G$9999,7,0))</f>
        <v/>
      </c>
      <c r="B1949" s="17" t="str">
        <f t="shared" si="30"/>
        <v>Problem</v>
      </c>
    </row>
    <row r="1950" spans="1:2" x14ac:dyDescent="0.2">
      <c r="A1950" t="str">
        <f>IF(ISERROR(VLOOKUP(C1950,Questions!$A$1:G$9999,7,0)),"",VLOOKUP(C1950,Questions!$A$1:G$9999,7,0))</f>
        <v/>
      </c>
      <c r="B1950" s="17" t="str">
        <f t="shared" si="30"/>
        <v>Problem</v>
      </c>
    </row>
    <row r="1951" spans="1:2" x14ac:dyDescent="0.2">
      <c r="A1951" t="str">
        <f>IF(ISERROR(VLOOKUP(C1951,Questions!$A$1:G$9999,7,0)),"",VLOOKUP(C1951,Questions!$A$1:G$9999,7,0))</f>
        <v/>
      </c>
      <c r="B1951" s="17" t="str">
        <f t="shared" si="30"/>
        <v>Problem</v>
      </c>
    </row>
    <row r="1952" spans="1:2" x14ac:dyDescent="0.2">
      <c r="A1952" t="str">
        <f>IF(ISERROR(VLOOKUP(C1952,Questions!$A$1:G$9999,7,0)),"",VLOOKUP(C1952,Questions!$A$1:G$9999,7,0))</f>
        <v/>
      </c>
      <c r="B1952" s="17" t="str">
        <f t="shared" si="30"/>
        <v>Problem</v>
      </c>
    </row>
    <row r="1953" spans="1:2" x14ac:dyDescent="0.2">
      <c r="A1953" t="str">
        <f>IF(ISERROR(VLOOKUP(C1953,Questions!$A$1:G$9999,7,0)),"",VLOOKUP(C1953,Questions!$A$1:G$9999,7,0))</f>
        <v/>
      </c>
      <c r="B1953" s="17" t="str">
        <f t="shared" si="30"/>
        <v>Problem</v>
      </c>
    </row>
    <row r="1954" spans="1:2" x14ac:dyDescent="0.2">
      <c r="A1954" t="str">
        <f>IF(ISERROR(VLOOKUP(C1954,Questions!$A$1:G$9999,7,0)),"",VLOOKUP(C1954,Questions!$A$1:G$9999,7,0))</f>
        <v/>
      </c>
      <c r="B1954" s="17" t="str">
        <f t="shared" si="30"/>
        <v>Problem</v>
      </c>
    </row>
    <row r="1955" spans="1:2" x14ac:dyDescent="0.2">
      <c r="A1955" t="str">
        <f>IF(ISERROR(VLOOKUP(C1955,Questions!$A$1:G$9999,7,0)),"",VLOOKUP(C1955,Questions!$A$1:G$9999,7,0))</f>
        <v/>
      </c>
      <c r="B1955" s="17" t="str">
        <f t="shared" si="30"/>
        <v>Problem</v>
      </c>
    </row>
    <row r="1956" spans="1:2" x14ac:dyDescent="0.2">
      <c r="A1956" t="str">
        <f>IF(ISERROR(VLOOKUP(C1956,Questions!$A$1:G$9999,7,0)),"",VLOOKUP(C1956,Questions!$A$1:G$9999,7,0))</f>
        <v/>
      </c>
      <c r="B1956" s="17" t="str">
        <f t="shared" si="30"/>
        <v>Problem</v>
      </c>
    </row>
    <row r="1957" spans="1:2" x14ac:dyDescent="0.2">
      <c r="A1957" t="str">
        <f>IF(ISERROR(VLOOKUP(C1957,Questions!$A$1:G$9999,7,0)),"",VLOOKUP(C1957,Questions!$A$1:G$9999,7,0))</f>
        <v/>
      </c>
      <c r="B1957" s="17" t="str">
        <f t="shared" si="30"/>
        <v>Problem</v>
      </c>
    </row>
    <row r="1958" spans="1:2" x14ac:dyDescent="0.2">
      <c r="A1958" t="str">
        <f>IF(ISERROR(VLOOKUP(C1958,Questions!$A$1:G$9999,7,0)),"",VLOOKUP(C1958,Questions!$A$1:G$9999,7,0))</f>
        <v/>
      </c>
      <c r="B1958" s="17" t="str">
        <f t="shared" si="30"/>
        <v>Problem</v>
      </c>
    </row>
    <row r="1959" spans="1:2" x14ac:dyDescent="0.2">
      <c r="A1959" t="str">
        <f>IF(ISERROR(VLOOKUP(C1959,Questions!$A$1:G$9999,7,0)),"",VLOOKUP(C1959,Questions!$A$1:G$9999,7,0))</f>
        <v/>
      </c>
      <c r="B1959" s="17" t="str">
        <f t="shared" si="30"/>
        <v>Problem</v>
      </c>
    </row>
    <row r="1960" spans="1:2" x14ac:dyDescent="0.2">
      <c r="A1960" t="str">
        <f>IF(ISERROR(VLOOKUP(C1960,Questions!$A$1:G$9999,7,0)),"",VLOOKUP(C1960,Questions!$A$1:G$9999,7,0))</f>
        <v/>
      </c>
      <c r="B1960" s="17" t="str">
        <f t="shared" si="30"/>
        <v>Problem</v>
      </c>
    </row>
    <row r="1961" spans="1:2" x14ac:dyDescent="0.2">
      <c r="A1961" t="str">
        <f>IF(ISERROR(VLOOKUP(C1961,Questions!$A$1:G$9999,7,0)),"",VLOOKUP(C1961,Questions!$A$1:G$9999,7,0))</f>
        <v/>
      </c>
      <c r="B1961" s="17" t="str">
        <f t="shared" si="30"/>
        <v>Problem</v>
      </c>
    </row>
    <row r="1962" spans="1:2" x14ac:dyDescent="0.2">
      <c r="A1962" t="str">
        <f>IF(ISERROR(VLOOKUP(C1962,Questions!$A$1:G$9999,7,0)),"",VLOOKUP(C1962,Questions!$A$1:G$9999,7,0))</f>
        <v/>
      </c>
      <c r="B1962" s="17" t="str">
        <f t="shared" si="30"/>
        <v>Problem</v>
      </c>
    </row>
    <row r="1963" spans="1:2" x14ac:dyDescent="0.2">
      <c r="A1963" t="str">
        <f>IF(ISERROR(VLOOKUP(C1963,Questions!$A$1:G$9999,7,0)),"",VLOOKUP(C1963,Questions!$A$1:G$9999,7,0))</f>
        <v/>
      </c>
      <c r="B1963" s="17" t="str">
        <f t="shared" si="30"/>
        <v>Problem</v>
      </c>
    </row>
    <row r="1964" spans="1:2" x14ac:dyDescent="0.2">
      <c r="A1964" t="str">
        <f>IF(ISERROR(VLOOKUP(C1964,Questions!$A$1:G$9999,7,0)),"",VLOOKUP(C1964,Questions!$A$1:G$9999,7,0))</f>
        <v/>
      </c>
      <c r="B1964" s="17" t="str">
        <f t="shared" si="30"/>
        <v>Problem</v>
      </c>
    </row>
    <row r="1965" spans="1:2" x14ac:dyDescent="0.2">
      <c r="A1965" t="str">
        <f>IF(ISERROR(VLOOKUP(C1965,Questions!$A$1:G$9999,7,0)),"",VLOOKUP(C1965,Questions!$A$1:G$9999,7,0))</f>
        <v/>
      </c>
      <c r="B1965" s="17" t="str">
        <f t="shared" si="30"/>
        <v>Problem</v>
      </c>
    </row>
    <row r="1966" spans="1:2" x14ac:dyDescent="0.2">
      <c r="A1966" t="str">
        <f>IF(ISERROR(VLOOKUP(C1966,Questions!$A$1:G$9999,7,0)),"",VLOOKUP(C1966,Questions!$A$1:G$9999,7,0))</f>
        <v/>
      </c>
      <c r="B1966" s="17" t="str">
        <f t="shared" si="30"/>
        <v>Problem</v>
      </c>
    </row>
    <row r="1967" spans="1:2" x14ac:dyDescent="0.2">
      <c r="A1967" t="str">
        <f>IF(ISERROR(VLOOKUP(C1967,Questions!$A$1:G$9999,7,0)),"",VLOOKUP(C1967,Questions!$A$1:G$9999,7,0))</f>
        <v/>
      </c>
      <c r="B1967" s="17" t="str">
        <f t="shared" si="30"/>
        <v>Problem</v>
      </c>
    </row>
    <row r="1968" spans="1:2" x14ac:dyDescent="0.2">
      <c r="A1968" t="str">
        <f>IF(ISERROR(VLOOKUP(C1968,Questions!$A$1:G$9999,7,0)),"",VLOOKUP(C1968,Questions!$A$1:G$9999,7,0))</f>
        <v/>
      </c>
      <c r="B1968" s="17" t="str">
        <f t="shared" si="30"/>
        <v>Problem</v>
      </c>
    </row>
    <row r="1969" spans="1:2" x14ac:dyDescent="0.2">
      <c r="A1969" t="str">
        <f>IF(ISERROR(VLOOKUP(C1969,Questions!$A$1:G$9999,7,0)),"",VLOOKUP(C1969,Questions!$A$1:G$9999,7,0))</f>
        <v/>
      </c>
      <c r="B1969" s="17" t="str">
        <f t="shared" si="30"/>
        <v>Problem</v>
      </c>
    </row>
    <row r="1970" spans="1:2" x14ac:dyDescent="0.2">
      <c r="A1970" t="str">
        <f>IF(ISERROR(VLOOKUP(C1970,Questions!$A$1:G$9999,7,0)),"",VLOOKUP(C1970,Questions!$A$1:G$9999,7,0))</f>
        <v/>
      </c>
      <c r="B1970" s="17" t="str">
        <f t="shared" si="30"/>
        <v>Problem</v>
      </c>
    </row>
    <row r="1971" spans="1:2" x14ac:dyDescent="0.2">
      <c r="A1971" t="str">
        <f>IF(ISERROR(VLOOKUP(C1971,Questions!$A$1:G$9999,7,0)),"",VLOOKUP(C1971,Questions!$A$1:G$9999,7,0))</f>
        <v/>
      </c>
      <c r="B1971" s="17" t="str">
        <f t="shared" si="30"/>
        <v>Problem</v>
      </c>
    </row>
    <row r="1972" spans="1:2" x14ac:dyDescent="0.2">
      <c r="A1972" t="str">
        <f>IF(ISERROR(VLOOKUP(C1972,Questions!$A$1:G$9999,7,0)),"",VLOOKUP(C1972,Questions!$A$1:G$9999,7,0))</f>
        <v/>
      </c>
      <c r="B1972" s="17" t="str">
        <f t="shared" si="30"/>
        <v>Problem</v>
      </c>
    </row>
    <row r="1973" spans="1:2" x14ac:dyDescent="0.2">
      <c r="A1973" t="str">
        <f>IF(ISERROR(VLOOKUP(C1973,Questions!$A$1:G$9999,7,0)),"",VLOOKUP(C1973,Questions!$A$1:G$9999,7,0))</f>
        <v/>
      </c>
      <c r="B1973" s="17" t="str">
        <f t="shared" si="30"/>
        <v>Problem</v>
      </c>
    </row>
    <row r="1974" spans="1:2" x14ac:dyDescent="0.2">
      <c r="A1974" t="str">
        <f>IF(ISERROR(VLOOKUP(C1974,Questions!$A$1:G$9999,7,0)),"",VLOOKUP(C1974,Questions!$A$1:G$9999,7,0))</f>
        <v/>
      </c>
      <c r="B1974" s="17" t="str">
        <f t="shared" si="30"/>
        <v>Problem</v>
      </c>
    </row>
    <row r="1975" spans="1:2" x14ac:dyDescent="0.2">
      <c r="A1975" t="str">
        <f>IF(ISERROR(VLOOKUP(C1975,Questions!$A$1:G$9999,7,0)),"",VLOOKUP(C1975,Questions!$A$1:G$9999,7,0))</f>
        <v/>
      </c>
      <c r="B1975" s="17" t="str">
        <f t="shared" si="30"/>
        <v>Problem</v>
      </c>
    </row>
    <row r="1976" spans="1:2" x14ac:dyDescent="0.2">
      <c r="A1976" t="str">
        <f>IF(ISERROR(VLOOKUP(C1976,Questions!$A$1:G$9999,7,0)),"",VLOOKUP(C1976,Questions!$A$1:G$9999,7,0))</f>
        <v/>
      </c>
      <c r="B1976" s="17" t="str">
        <f t="shared" si="30"/>
        <v>Problem</v>
      </c>
    </row>
    <row r="1977" spans="1:2" x14ac:dyDescent="0.2">
      <c r="A1977" t="str">
        <f>IF(ISERROR(VLOOKUP(C1977,Questions!$A$1:G$9999,7,0)),"",VLOOKUP(C1977,Questions!$A$1:G$9999,7,0))</f>
        <v/>
      </c>
      <c r="B1977" s="17" t="str">
        <f t="shared" si="30"/>
        <v>Problem</v>
      </c>
    </row>
    <row r="1978" spans="1:2" x14ac:dyDescent="0.2">
      <c r="A1978" t="str">
        <f>IF(ISERROR(VLOOKUP(C1978,Questions!$A$1:G$9999,7,0)),"",VLOOKUP(C1978,Questions!$A$1:G$9999,7,0))</f>
        <v/>
      </c>
      <c r="B1978" s="17" t="str">
        <f t="shared" si="30"/>
        <v>Problem</v>
      </c>
    </row>
    <row r="1979" spans="1:2" x14ac:dyDescent="0.2">
      <c r="A1979" t="str">
        <f>IF(ISERROR(VLOOKUP(C1979,Questions!$A$1:G$9999,7,0)),"",VLOOKUP(C1979,Questions!$A$1:G$9999,7,0))</f>
        <v/>
      </c>
      <c r="B1979" s="17" t="str">
        <f t="shared" si="30"/>
        <v>Problem</v>
      </c>
    </row>
    <row r="1980" spans="1:2" x14ac:dyDescent="0.2">
      <c r="A1980" t="str">
        <f>IF(ISERROR(VLOOKUP(C1980,Questions!$A$1:G$9999,7,0)),"",VLOOKUP(C1980,Questions!$A$1:G$9999,7,0))</f>
        <v/>
      </c>
      <c r="B1980" s="17" t="str">
        <f t="shared" ref="B1980:B2000" si="31">HYPERLINK("http://www.mrhosey.com/RPhys/" &amp; C1980 &amp; ".gif","Problem")</f>
        <v>Problem</v>
      </c>
    </row>
    <row r="1981" spans="1:2" x14ac:dyDescent="0.2">
      <c r="A1981" t="str">
        <f>IF(ISERROR(VLOOKUP(C1981,Questions!$A$1:G$9999,7,0)),"",VLOOKUP(C1981,Questions!$A$1:G$9999,7,0))</f>
        <v/>
      </c>
      <c r="B1981" s="17" t="str">
        <f t="shared" si="31"/>
        <v>Problem</v>
      </c>
    </row>
    <row r="1982" spans="1:2" x14ac:dyDescent="0.2">
      <c r="A1982" t="str">
        <f>IF(ISERROR(VLOOKUP(C1982,Questions!$A$1:G$9999,7,0)),"",VLOOKUP(C1982,Questions!$A$1:G$9999,7,0))</f>
        <v/>
      </c>
      <c r="B1982" s="17" t="str">
        <f t="shared" si="31"/>
        <v>Problem</v>
      </c>
    </row>
    <row r="1983" spans="1:2" x14ac:dyDescent="0.2">
      <c r="A1983" t="str">
        <f>IF(ISERROR(VLOOKUP(C1983,Questions!$A$1:G$9999,7,0)),"",VLOOKUP(C1983,Questions!$A$1:G$9999,7,0))</f>
        <v/>
      </c>
      <c r="B1983" s="17" t="str">
        <f t="shared" si="31"/>
        <v>Problem</v>
      </c>
    </row>
    <row r="1984" spans="1:2" x14ac:dyDescent="0.2">
      <c r="A1984" t="str">
        <f>IF(ISERROR(VLOOKUP(C1984,Questions!$A$1:G$9999,7,0)),"",VLOOKUP(C1984,Questions!$A$1:G$9999,7,0))</f>
        <v/>
      </c>
      <c r="B1984" s="17" t="str">
        <f t="shared" si="31"/>
        <v>Problem</v>
      </c>
    </row>
    <row r="1985" spans="1:2" x14ac:dyDescent="0.2">
      <c r="A1985" t="str">
        <f>IF(ISERROR(VLOOKUP(C1985,Questions!$A$1:G$9999,7,0)),"",VLOOKUP(C1985,Questions!$A$1:G$9999,7,0))</f>
        <v/>
      </c>
      <c r="B1985" s="17" t="str">
        <f t="shared" si="31"/>
        <v>Problem</v>
      </c>
    </row>
    <row r="1986" spans="1:2" x14ac:dyDescent="0.2">
      <c r="A1986" t="str">
        <f>IF(ISERROR(VLOOKUP(C1986,Questions!$A$1:G$9999,7,0)),"",VLOOKUP(C1986,Questions!$A$1:G$9999,7,0))</f>
        <v/>
      </c>
      <c r="B1986" s="17" t="str">
        <f t="shared" si="31"/>
        <v>Problem</v>
      </c>
    </row>
    <row r="1987" spans="1:2" x14ac:dyDescent="0.2">
      <c r="A1987" t="str">
        <f>IF(ISERROR(VLOOKUP(C1987,Questions!$A$1:G$9999,7,0)),"",VLOOKUP(C1987,Questions!$A$1:G$9999,7,0))</f>
        <v/>
      </c>
      <c r="B1987" s="17" t="str">
        <f t="shared" si="31"/>
        <v>Problem</v>
      </c>
    </row>
    <row r="1988" spans="1:2" x14ac:dyDescent="0.2">
      <c r="A1988" t="str">
        <f>IF(ISERROR(VLOOKUP(C1988,Questions!$A$1:G$9999,7,0)),"",VLOOKUP(C1988,Questions!$A$1:G$9999,7,0))</f>
        <v/>
      </c>
      <c r="B1988" s="17" t="str">
        <f t="shared" si="31"/>
        <v>Problem</v>
      </c>
    </row>
    <row r="1989" spans="1:2" x14ac:dyDescent="0.2">
      <c r="A1989" t="str">
        <f>IF(ISERROR(VLOOKUP(C1989,Questions!$A$1:G$9999,7,0)),"",VLOOKUP(C1989,Questions!$A$1:G$9999,7,0))</f>
        <v/>
      </c>
      <c r="B1989" s="17" t="str">
        <f t="shared" si="31"/>
        <v>Problem</v>
      </c>
    </row>
    <row r="1990" spans="1:2" x14ac:dyDescent="0.2">
      <c r="A1990" t="str">
        <f>IF(ISERROR(VLOOKUP(C1990,Questions!$A$1:G$9999,7,0)),"",VLOOKUP(C1990,Questions!$A$1:G$9999,7,0))</f>
        <v/>
      </c>
      <c r="B1990" s="17" t="str">
        <f t="shared" si="31"/>
        <v>Problem</v>
      </c>
    </row>
    <row r="1991" spans="1:2" x14ac:dyDescent="0.2">
      <c r="A1991" t="str">
        <f>IF(ISERROR(VLOOKUP(C1991,Questions!$A$1:G$9999,7,0)),"",VLOOKUP(C1991,Questions!$A$1:G$9999,7,0))</f>
        <v/>
      </c>
      <c r="B1991" s="17" t="str">
        <f t="shared" si="31"/>
        <v>Problem</v>
      </c>
    </row>
    <row r="1992" spans="1:2" x14ac:dyDescent="0.2">
      <c r="A1992" t="str">
        <f>IF(ISERROR(VLOOKUP(C1992,Questions!$A$1:G$9999,7,0)),"",VLOOKUP(C1992,Questions!$A$1:G$9999,7,0))</f>
        <v/>
      </c>
      <c r="B1992" s="17" t="str">
        <f t="shared" si="31"/>
        <v>Problem</v>
      </c>
    </row>
    <row r="1993" spans="1:2" x14ac:dyDescent="0.2">
      <c r="A1993" t="str">
        <f>IF(ISERROR(VLOOKUP(C1993,Questions!$A$1:G$9999,7,0)),"",VLOOKUP(C1993,Questions!$A$1:G$9999,7,0))</f>
        <v/>
      </c>
      <c r="B1993" s="17" t="str">
        <f t="shared" si="31"/>
        <v>Problem</v>
      </c>
    </row>
    <row r="1994" spans="1:2" x14ac:dyDescent="0.2">
      <c r="A1994" t="str">
        <f>IF(ISERROR(VLOOKUP(C1994,Questions!$A$1:G$9999,7,0)),"",VLOOKUP(C1994,Questions!$A$1:G$9999,7,0))</f>
        <v/>
      </c>
      <c r="B1994" s="17" t="str">
        <f t="shared" si="31"/>
        <v>Problem</v>
      </c>
    </row>
    <row r="1995" spans="1:2" x14ac:dyDescent="0.2">
      <c r="A1995" t="str">
        <f>IF(ISERROR(VLOOKUP(C1995,Questions!$A$1:G$9999,7,0)),"",VLOOKUP(C1995,Questions!$A$1:G$9999,7,0))</f>
        <v/>
      </c>
      <c r="B1995" s="17" t="str">
        <f t="shared" si="31"/>
        <v>Problem</v>
      </c>
    </row>
    <row r="1996" spans="1:2" x14ac:dyDescent="0.2">
      <c r="A1996" t="str">
        <f>IF(ISERROR(VLOOKUP(C1996,Questions!$A$1:G$9999,7,0)),"",VLOOKUP(C1996,Questions!$A$1:G$9999,7,0))</f>
        <v/>
      </c>
      <c r="B1996" s="17" t="str">
        <f t="shared" si="31"/>
        <v>Problem</v>
      </c>
    </row>
    <row r="1997" spans="1:2" x14ac:dyDescent="0.2">
      <c r="A1997" t="str">
        <f>IF(ISERROR(VLOOKUP(C1997,Questions!$A$1:G$9999,7,0)),"",VLOOKUP(C1997,Questions!$A$1:G$9999,7,0))</f>
        <v/>
      </c>
      <c r="B1997" s="17" t="str">
        <f t="shared" si="31"/>
        <v>Problem</v>
      </c>
    </row>
    <row r="1998" spans="1:2" x14ac:dyDescent="0.2">
      <c r="A1998" t="str">
        <f>IF(ISERROR(VLOOKUP(C1998,Questions!$A$1:G$9999,7,0)),"",VLOOKUP(C1998,Questions!$A$1:G$9999,7,0))</f>
        <v/>
      </c>
      <c r="B1998" s="17" t="str">
        <f t="shared" si="31"/>
        <v>Problem</v>
      </c>
    </row>
    <row r="1999" spans="1:2" x14ac:dyDescent="0.2">
      <c r="A1999" t="str">
        <f>IF(ISERROR(VLOOKUP(C1999,Questions!$A$1:G$9999,7,0)),"",VLOOKUP(C1999,Questions!$A$1:G$9999,7,0))</f>
        <v/>
      </c>
      <c r="B1999" s="17" t="str">
        <f t="shared" si="31"/>
        <v>Problem</v>
      </c>
    </row>
    <row r="2000" spans="1:2" x14ac:dyDescent="0.2">
      <c r="A2000" t="str">
        <f>IF(ISERROR(VLOOKUP(C2000,Questions!$A$1:G$9999,7,0)),"",VLOOKUP(C2000,Questions!$A$1:G$9999,7,0))</f>
        <v/>
      </c>
      <c r="B2000" s="17" t="str">
        <f t="shared" si="31"/>
        <v>Problem</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BZ1067"/>
  <sheetViews>
    <sheetView zoomScaleNormal="100" zoomScaleSheetLayoutView="100" workbookViewId="0">
      <pane xSplit="4" ySplit="1" topLeftCell="E1046" activePane="bottomRight" state="frozen"/>
      <selection pane="topRight" activeCell="E1" sqref="E1"/>
      <selection pane="bottomLeft" activeCell="A2" sqref="A2"/>
      <selection pane="bottomRight" activeCell="G1068" sqref="G1068"/>
    </sheetView>
  </sheetViews>
  <sheetFormatPr defaultRowHeight="12.75" x14ac:dyDescent="0.2"/>
  <cols>
    <col min="1" max="1" width="12.85546875" customWidth="1"/>
    <col min="2" max="2" width="4.7109375" customWidth="1"/>
    <col min="3" max="3" width="2.5703125" customWidth="1"/>
    <col min="4" max="4" width="3.28515625" customWidth="1"/>
    <col min="5" max="5" width="13.28515625" customWidth="1"/>
    <col min="6" max="6" width="8.7109375" customWidth="1"/>
    <col min="7" max="7" width="3.5703125" style="1" customWidth="1"/>
    <col min="8" max="8" width="13.85546875" style="12" customWidth="1"/>
    <col min="9" max="9" width="12.140625" style="12" customWidth="1"/>
    <col min="10" max="10" width="13.85546875" style="12" hidden="1" customWidth="1"/>
    <col min="11" max="11" width="13.85546875" style="12" customWidth="1"/>
    <col min="12" max="12" width="8.28515625" style="12" customWidth="1"/>
    <col min="13" max="13" width="4" style="1" customWidth="1"/>
    <col min="14" max="14" width="6.85546875" style="1" customWidth="1"/>
    <col min="15" max="15" width="4.85546875" style="12" customWidth="1"/>
    <col min="16" max="16" width="58.85546875" style="12" customWidth="1"/>
    <col min="17" max="17" width="8.28515625" style="1" customWidth="1"/>
    <col min="18" max="20" width="13.85546875" style="12" customWidth="1"/>
    <col min="21" max="21" width="10.140625" style="1" customWidth="1"/>
    <col min="22" max="78" width="9.140625" style="1"/>
    <col min="79" max="16384" width="9.140625" style="16"/>
  </cols>
  <sheetData>
    <row r="1" spans="1:78" s="15" customFormat="1" ht="76.5" customHeight="1" thickBot="1" x14ac:dyDescent="0.25">
      <c r="A1" s="23" t="s">
        <v>745</v>
      </c>
      <c r="B1" s="10" t="s">
        <v>14</v>
      </c>
      <c r="C1" s="10" t="s">
        <v>15</v>
      </c>
      <c r="D1" s="10" t="s">
        <v>16</v>
      </c>
      <c r="E1" s="10" t="s">
        <v>544</v>
      </c>
      <c r="F1" s="10" t="s">
        <v>545</v>
      </c>
      <c r="G1" s="10" t="s">
        <v>599</v>
      </c>
      <c r="H1" s="13">
        <f>SUBTOTAL(3,A2:A1999)</f>
        <v>1066</v>
      </c>
      <c r="I1" s="24" t="str">
        <f>HYPERLINK("https://docs.google.com/spreadsheet/pub?key=0AhsaXd1CqdLydF8yeFVZMkdHWlg2X1c5VlhlU2drSEE&amp;output=html","VIDEO
HELP HERE, And Updates")</f>
        <v>VIDEO
HELP HERE, And Updates</v>
      </c>
      <c r="J1" s="13" t="s">
        <v>603</v>
      </c>
      <c r="K1" s="20" t="s">
        <v>610</v>
      </c>
      <c r="L1" s="20" t="s">
        <v>611</v>
      </c>
      <c r="M1" s="20" t="s">
        <v>612</v>
      </c>
      <c r="N1" s="20" t="s">
        <v>613</v>
      </c>
      <c r="O1" s="20" t="s">
        <v>742</v>
      </c>
      <c r="P1" s="21" t="s">
        <v>664</v>
      </c>
      <c r="Q1" s="13" t="s">
        <v>755</v>
      </c>
      <c r="R1" s="13" t="s">
        <v>760</v>
      </c>
      <c r="S1" s="28" t="s">
        <v>758</v>
      </c>
      <c r="T1" s="13" t="s">
        <v>759</v>
      </c>
      <c r="U1" s="10" t="s">
        <v>547</v>
      </c>
      <c r="V1" s="10" t="s">
        <v>0</v>
      </c>
      <c r="W1" s="10" t="s">
        <v>553</v>
      </c>
      <c r="X1" s="10" t="s">
        <v>547</v>
      </c>
      <c r="Y1" s="10" t="s">
        <v>0</v>
      </c>
      <c r="Z1" s="10" t="s">
        <v>594</v>
      </c>
      <c r="AA1" s="10" t="s">
        <v>553</v>
      </c>
      <c r="AB1" s="10" t="s">
        <v>551</v>
      </c>
      <c r="AC1" s="10" t="s">
        <v>552</v>
      </c>
      <c r="AD1" s="10" t="s">
        <v>549</v>
      </c>
      <c r="AE1" s="10" t="s">
        <v>550</v>
      </c>
      <c r="AF1" s="10" t="s">
        <v>546</v>
      </c>
      <c r="AG1" s="10" t="s">
        <v>554</v>
      </c>
      <c r="AH1" s="10" t="s">
        <v>600</v>
      </c>
      <c r="AI1" s="10" t="s">
        <v>575</v>
      </c>
      <c r="AJ1" s="10" t="s">
        <v>555</v>
      </c>
      <c r="AK1" s="10" t="s">
        <v>576</v>
      </c>
      <c r="AL1" s="10" t="s">
        <v>592</v>
      </c>
      <c r="AM1" s="10" t="s">
        <v>593</v>
      </c>
      <c r="AN1" s="10" t="s">
        <v>557</v>
      </c>
      <c r="AO1" s="10" t="s">
        <v>598</v>
      </c>
      <c r="AP1" s="10" t="s">
        <v>577</v>
      </c>
      <c r="AQ1" s="10" t="s">
        <v>578</v>
      </c>
      <c r="AR1" s="10" t="s">
        <v>596</v>
      </c>
      <c r="AS1" s="10" t="s">
        <v>595</v>
      </c>
      <c r="AT1" s="10" t="s">
        <v>556</v>
      </c>
      <c r="AU1" s="10" t="s">
        <v>580</v>
      </c>
      <c r="AV1" s="10" t="s">
        <v>558</v>
      </c>
      <c r="AW1" s="10" t="s">
        <v>597</v>
      </c>
      <c r="AX1" s="10" t="s">
        <v>579</v>
      </c>
      <c r="AY1" s="10" t="s">
        <v>581</v>
      </c>
      <c r="AZ1" s="10" t="s">
        <v>559</v>
      </c>
      <c r="BA1" s="10" t="s">
        <v>560</v>
      </c>
      <c r="BB1" s="10" t="s">
        <v>587</v>
      </c>
      <c r="BC1" s="10" t="s">
        <v>571</v>
      </c>
      <c r="BD1" s="10" t="s">
        <v>574</v>
      </c>
      <c r="BE1" s="10" t="s">
        <v>570</v>
      </c>
      <c r="BF1" s="10" t="s">
        <v>568</v>
      </c>
      <c r="BG1" s="10" t="s">
        <v>572</v>
      </c>
      <c r="BH1" s="10" t="s">
        <v>573</v>
      </c>
      <c r="BI1" s="10" t="s">
        <v>569</v>
      </c>
      <c r="BJ1" s="10" t="s">
        <v>583</v>
      </c>
      <c r="BK1" s="10" t="s">
        <v>584</v>
      </c>
      <c r="BL1" s="10" t="s">
        <v>563</v>
      </c>
      <c r="BM1" s="10" t="s">
        <v>561</v>
      </c>
      <c r="BN1" s="10" t="s">
        <v>614</v>
      </c>
      <c r="BO1" s="10" t="s">
        <v>562</v>
      </c>
      <c r="BP1" s="10" t="s">
        <v>586</v>
      </c>
      <c r="BQ1" s="10" t="s">
        <v>582</v>
      </c>
      <c r="BR1" s="10" t="s">
        <v>564</v>
      </c>
      <c r="BS1" s="10" t="s">
        <v>565</v>
      </c>
      <c r="BT1" s="10" t="s">
        <v>663</v>
      </c>
      <c r="BU1" s="10" t="s">
        <v>566</v>
      </c>
      <c r="BV1" s="10" t="s">
        <v>567</v>
      </c>
      <c r="BW1" s="10" t="s">
        <v>585</v>
      </c>
      <c r="BX1" s="10" t="s">
        <v>589</v>
      </c>
      <c r="BY1" s="10" t="s">
        <v>590</v>
      </c>
      <c r="BZ1" s="10" t="s">
        <v>12</v>
      </c>
    </row>
    <row r="2" spans="1:78" x14ac:dyDescent="0.2">
      <c r="A2" t="s">
        <v>537</v>
      </c>
      <c r="B2" s="1">
        <v>2002</v>
      </c>
      <c r="C2" s="1">
        <v>6</v>
      </c>
      <c r="D2" s="1">
        <v>1</v>
      </c>
      <c r="E2" t="s">
        <v>3</v>
      </c>
      <c r="G2" s="1">
        <v>4</v>
      </c>
      <c r="H2" s="11" t="str">
        <f t="shared" ref="H2:H65" si="0">HYPERLINK(A2&amp;".gif")</f>
        <v>2002_06_001.gif</v>
      </c>
      <c r="I2" s="1"/>
      <c r="J2" s="1"/>
      <c r="L2" s="1" t="b">
        <v>0</v>
      </c>
      <c r="M2" s="1">
        <v>0</v>
      </c>
      <c r="N2" s="1" t="s">
        <v>601</v>
      </c>
      <c r="O2" s="1">
        <v>1</v>
      </c>
      <c r="P2" s="12" t="s">
        <v>665</v>
      </c>
      <c r="Q2" s="1">
        <v>4170</v>
      </c>
      <c r="R2" s="1" t="str">
        <f>B2&amp;"_"&amp;TEXT(C2,"00")</f>
        <v>2002_06</v>
      </c>
      <c r="T2" s="1"/>
      <c r="Z2" s="1">
        <v>1</v>
      </c>
      <c r="AF2" s="1">
        <v>1</v>
      </c>
    </row>
    <row r="3" spans="1:78" x14ac:dyDescent="0.2">
      <c r="A3" t="s">
        <v>538</v>
      </c>
      <c r="B3" s="1">
        <v>2002</v>
      </c>
      <c r="C3" s="1">
        <v>6</v>
      </c>
      <c r="D3" s="1">
        <v>2</v>
      </c>
      <c r="E3" t="s">
        <v>5</v>
      </c>
      <c r="G3" s="1">
        <v>4</v>
      </c>
      <c r="H3" s="11" t="str">
        <f t="shared" si="0"/>
        <v>2002_06_002.gif</v>
      </c>
      <c r="I3" s="1"/>
      <c r="J3" s="1"/>
      <c r="L3" s="1" t="b">
        <v>0</v>
      </c>
      <c r="M3" s="1">
        <v>0</v>
      </c>
      <c r="N3" s="1" t="s">
        <v>601</v>
      </c>
      <c r="O3" s="1">
        <v>2</v>
      </c>
      <c r="P3" s="12" t="s">
        <v>557</v>
      </c>
      <c r="Q3" s="1">
        <v>4171</v>
      </c>
      <c r="R3" s="1" t="str">
        <f t="shared" ref="R3:R66" si="1">B3&amp;"_"&amp;TEXT(C3,"00")</f>
        <v>2002_06</v>
      </c>
      <c r="T3" s="1"/>
      <c r="AN3" s="1">
        <v>1</v>
      </c>
    </row>
    <row r="4" spans="1:78" x14ac:dyDescent="0.2">
      <c r="A4" t="s">
        <v>539</v>
      </c>
      <c r="B4" s="1">
        <v>2002</v>
      </c>
      <c r="C4" s="1">
        <v>6</v>
      </c>
      <c r="D4" s="1">
        <v>3</v>
      </c>
      <c r="E4" t="s">
        <v>2</v>
      </c>
      <c r="G4" s="1">
        <v>1</v>
      </c>
      <c r="H4" s="11" t="str">
        <f t="shared" si="0"/>
        <v>2002_06_003.gif</v>
      </c>
      <c r="I4" s="1"/>
      <c r="J4"/>
      <c r="L4" s="1" t="b">
        <v>0</v>
      </c>
      <c r="M4" s="1">
        <v>0</v>
      </c>
      <c r="N4" s="1" t="s">
        <v>601</v>
      </c>
      <c r="O4" s="1">
        <v>3</v>
      </c>
      <c r="P4" s="12" t="s">
        <v>666</v>
      </c>
      <c r="Q4" s="1">
        <v>4172</v>
      </c>
      <c r="R4" s="1" t="str">
        <f t="shared" si="1"/>
        <v>2002_06</v>
      </c>
      <c r="T4" s="1"/>
      <c r="U4" s="1">
        <v>1</v>
      </c>
      <c r="AB4" s="1">
        <v>1</v>
      </c>
    </row>
    <row r="5" spans="1:78" x14ac:dyDescent="0.2">
      <c r="A5" t="s">
        <v>540</v>
      </c>
      <c r="B5" s="1">
        <v>2002</v>
      </c>
      <c r="C5" s="1">
        <v>6</v>
      </c>
      <c r="D5" s="1">
        <v>4</v>
      </c>
      <c r="E5" t="s">
        <v>2</v>
      </c>
      <c r="G5" s="1">
        <v>3</v>
      </c>
      <c r="H5" s="11" t="str">
        <f t="shared" si="0"/>
        <v>2002_06_004.gif</v>
      </c>
      <c r="J5"/>
      <c r="L5" s="1" t="b">
        <v>0</v>
      </c>
      <c r="M5" s="1">
        <v>0</v>
      </c>
      <c r="N5" s="1" t="s">
        <v>601</v>
      </c>
      <c r="O5" s="1">
        <v>4</v>
      </c>
      <c r="P5" s="12" t="s">
        <v>552</v>
      </c>
      <c r="Q5" s="1">
        <v>4173</v>
      </c>
      <c r="R5" s="1" t="str">
        <f t="shared" si="1"/>
        <v>2002_06</v>
      </c>
      <c r="T5" s="1"/>
      <c r="AC5" s="1">
        <v>1</v>
      </c>
    </row>
    <row r="6" spans="1:78" x14ac:dyDescent="0.2">
      <c r="A6" t="s">
        <v>541</v>
      </c>
      <c r="B6" s="1">
        <v>2002</v>
      </c>
      <c r="C6" s="1">
        <v>6</v>
      </c>
      <c r="D6" s="1">
        <v>5</v>
      </c>
      <c r="E6" t="s">
        <v>4</v>
      </c>
      <c r="G6" s="1">
        <v>2</v>
      </c>
      <c r="H6" s="11" t="str">
        <f t="shared" si="0"/>
        <v>2002_06_005.gif</v>
      </c>
      <c r="J6"/>
      <c r="L6" s="1" t="b">
        <v>0</v>
      </c>
      <c r="M6" s="1">
        <v>0</v>
      </c>
      <c r="N6" s="1" t="s">
        <v>601</v>
      </c>
      <c r="O6" s="1">
        <v>5</v>
      </c>
      <c r="P6" s="12" t="s">
        <v>575</v>
      </c>
      <c r="Q6" s="1">
        <v>4174</v>
      </c>
      <c r="R6" s="1" t="str">
        <f t="shared" si="1"/>
        <v>2002_06</v>
      </c>
      <c r="T6" s="1"/>
      <c r="AI6" s="1">
        <v>1</v>
      </c>
    </row>
    <row r="7" spans="1:78" x14ac:dyDescent="0.2">
      <c r="A7" t="s">
        <v>542</v>
      </c>
      <c r="B7" s="1">
        <v>2002</v>
      </c>
      <c r="C7" s="1">
        <v>6</v>
      </c>
      <c r="D7" s="1">
        <v>6</v>
      </c>
      <c r="E7" t="s">
        <v>4</v>
      </c>
      <c r="F7" t="s">
        <v>3</v>
      </c>
      <c r="G7" s="1">
        <v>2</v>
      </c>
      <c r="H7" s="11" t="str">
        <f t="shared" si="0"/>
        <v>2002_06_006.gif</v>
      </c>
      <c r="J7"/>
      <c r="L7" s="1" t="b">
        <v>0</v>
      </c>
      <c r="M7" s="1">
        <v>0</v>
      </c>
      <c r="N7" s="1" t="s">
        <v>601</v>
      </c>
      <c r="O7" s="1">
        <v>6</v>
      </c>
      <c r="P7" s="12" t="s">
        <v>667</v>
      </c>
      <c r="Q7" s="1">
        <v>4175</v>
      </c>
      <c r="R7" s="1" t="str">
        <f t="shared" si="1"/>
        <v>2002_06</v>
      </c>
      <c r="T7" s="1"/>
      <c r="AE7" s="1">
        <v>1</v>
      </c>
      <c r="AK7" s="1">
        <v>1</v>
      </c>
    </row>
    <row r="8" spans="1:78" x14ac:dyDescent="0.2">
      <c r="A8" t="s">
        <v>18</v>
      </c>
      <c r="B8" s="1">
        <v>2002</v>
      </c>
      <c r="C8" s="1">
        <v>6</v>
      </c>
      <c r="D8" s="1">
        <v>7</v>
      </c>
      <c r="E8" t="s">
        <v>5</v>
      </c>
      <c r="G8" s="1">
        <v>2</v>
      </c>
      <c r="H8" s="11" t="str">
        <f t="shared" si="0"/>
        <v>2002_06_007.gif</v>
      </c>
      <c r="J8"/>
      <c r="L8" s="1" t="b">
        <v>0</v>
      </c>
      <c r="M8" s="1">
        <v>0</v>
      </c>
      <c r="N8" s="1" t="s">
        <v>601</v>
      </c>
      <c r="O8" s="1">
        <v>7</v>
      </c>
      <c r="P8" s="12" t="s">
        <v>668</v>
      </c>
      <c r="Q8" s="1">
        <v>4176</v>
      </c>
      <c r="R8" s="1" t="str">
        <f t="shared" si="1"/>
        <v>2002_06</v>
      </c>
      <c r="T8" s="1"/>
      <c r="AS8" s="1">
        <v>1</v>
      </c>
      <c r="AT8" s="1">
        <v>1</v>
      </c>
    </row>
    <row r="9" spans="1:78" x14ac:dyDescent="0.2">
      <c r="A9" t="s">
        <v>19</v>
      </c>
      <c r="B9" s="1">
        <v>2002</v>
      </c>
      <c r="C9" s="1">
        <v>6</v>
      </c>
      <c r="D9" s="1">
        <v>8</v>
      </c>
      <c r="E9" t="s">
        <v>4</v>
      </c>
      <c r="G9" s="1">
        <v>1</v>
      </c>
      <c r="H9" s="11" t="str">
        <f t="shared" si="0"/>
        <v>2002_06_008.gif</v>
      </c>
      <c r="J9"/>
      <c r="L9" s="1" t="b">
        <v>0</v>
      </c>
      <c r="M9" s="1">
        <v>0</v>
      </c>
      <c r="N9" s="1" t="s">
        <v>601</v>
      </c>
      <c r="O9" s="1">
        <v>8</v>
      </c>
      <c r="P9" s="12" t="s">
        <v>592</v>
      </c>
      <c r="Q9" s="1">
        <v>4177</v>
      </c>
      <c r="R9" s="1" t="str">
        <f t="shared" si="1"/>
        <v>2002_06</v>
      </c>
      <c r="T9" s="1"/>
      <c r="AL9" s="1">
        <v>1</v>
      </c>
    </row>
    <row r="10" spans="1:78" x14ac:dyDescent="0.2">
      <c r="A10" t="s">
        <v>20</v>
      </c>
      <c r="B10" s="1">
        <v>2002</v>
      </c>
      <c r="C10" s="1">
        <v>6</v>
      </c>
      <c r="D10" s="1">
        <v>9</v>
      </c>
      <c r="E10" t="s">
        <v>4</v>
      </c>
      <c r="G10" s="1">
        <v>3</v>
      </c>
      <c r="H10" s="11" t="str">
        <f t="shared" si="0"/>
        <v>2002_06_009.gif</v>
      </c>
      <c r="I10"/>
      <c r="J10"/>
      <c r="L10" s="1" t="b">
        <v>0</v>
      </c>
      <c r="M10" s="1">
        <v>0</v>
      </c>
      <c r="N10" s="1" t="s">
        <v>601</v>
      </c>
      <c r="O10" s="1">
        <v>9</v>
      </c>
      <c r="P10" s="12" t="s">
        <v>593</v>
      </c>
      <c r="Q10" s="1">
        <v>4178</v>
      </c>
      <c r="R10" s="1" t="str">
        <f t="shared" si="1"/>
        <v>2002_06</v>
      </c>
      <c r="T10" s="1"/>
      <c r="AM10" s="1">
        <v>1</v>
      </c>
    </row>
    <row r="11" spans="1:78" x14ac:dyDescent="0.2">
      <c r="A11" t="s">
        <v>21</v>
      </c>
      <c r="B11" s="1">
        <v>2002</v>
      </c>
      <c r="C11" s="1">
        <v>6</v>
      </c>
      <c r="D11" s="1">
        <v>10</v>
      </c>
      <c r="E11" t="s">
        <v>5</v>
      </c>
      <c r="G11" s="1">
        <v>2</v>
      </c>
      <c r="H11" s="11" t="str">
        <f t="shared" si="0"/>
        <v>2002_06_010.gif</v>
      </c>
      <c r="I11"/>
      <c r="J11"/>
      <c r="L11" s="1" t="b">
        <v>0</v>
      </c>
      <c r="M11" s="1">
        <v>0</v>
      </c>
      <c r="N11" s="1" t="s">
        <v>601</v>
      </c>
      <c r="O11" s="1">
        <v>10</v>
      </c>
      <c r="P11" s="12" t="str">
        <f t="shared" ref="P11:P74" si="2">concatenateif(U11:DI11,1,$U$1:$DI$1)</f>
        <v>Newton's 2nd Law (F=MA)</v>
      </c>
      <c r="Q11" s="1">
        <v>4179</v>
      </c>
      <c r="R11" s="1" t="str">
        <f t="shared" si="1"/>
        <v>2002_06</v>
      </c>
      <c r="T11" s="1"/>
      <c r="AS11" s="1">
        <v>1</v>
      </c>
    </row>
    <row r="12" spans="1:78" x14ac:dyDescent="0.2">
      <c r="A12" t="s">
        <v>22</v>
      </c>
      <c r="B12" s="1">
        <v>2002</v>
      </c>
      <c r="C12" s="1">
        <v>6</v>
      </c>
      <c r="D12" s="1">
        <v>11</v>
      </c>
      <c r="E12" t="s">
        <v>6</v>
      </c>
      <c r="G12" s="1">
        <v>2</v>
      </c>
      <c r="H12" s="11" t="str">
        <f t="shared" si="0"/>
        <v>2002_06_011.gif</v>
      </c>
      <c r="I12"/>
      <c r="J12"/>
      <c r="L12" s="1" t="b">
        <v>0</v>
      </c>
      <c r="M12" s="1">
        <v>0</v>
      </c>
      <c r="N12" s="1" t="s">
        <v>601</v>
      </c>
      <c r="O12" s="1">
        <v>11</v>
      </c>
      <c r="P12" s="12" t="str">
        <f t="shared" si="2"/>
        <v>Impulse</v>
      </c>
      <c r="Q12" s="1">
        <v>4180</v>
      </c>
      <c r="R12" s="1" t="str">
        <f t="shared" si="1"/>
        <v>2002_06</v>
      </c>
      <c r="T12" s="1"/>
      <c r="AV12" s="1">
        <v>1</v>
      </c>
    </row>
    <row r="13" spans="1:78" x14ac:dyDescent="0.2">
      <c r="A13" t="s">
        <v>23</v>
      </c>
      <c r="B13" s="1">
        <v>2002</v>
      </c>
      <c r="C13" s="1">
        <v>6</v>
      </c>
      <c r="D13" s="1">
        <v>12</v>
      </c>
      <c r="E13" t="s">
        <v>6</v>
      </c>
      <c r="G13" s="1">
        <v>1</v>
      </c>
      <c r="H13" s="11" t="str">
        <f t="shared" si="0"/>
        <v>2002_06_012.gif</v>
      </c>
      <c r="I13"/>
      <c r="J13"/>
      <c r="L13" s="1" t="b">
        <v>0</v>
      </c>
      <c r="M13" s="1">
        <v>0</v>
      </c>
      <c r="N13" s="1" t="s">
        <v>601</v>
      </c>
      <c r="O13" s="1">
        <v>12</v>
      </c>
      <c r="P13" s="12" t="str">
        <f t="shared" si="2"/>
        <v>Impulse,Newton's 3rd Law (Equal But Opposite)</v>
      </c>
      <c r="Q13" s="1">
        <v>4181</v>
      </c>
      <c r="R13" s="1" t="str">
        <f t="shared" si="1"/>
        <v>2002_06</v>
      </c>
      <c r="T13" s="1"/>
      <c r="AV13" s="1">
        <v>1</v>
      </c>
      <c r="AW13" s="1">
        <v>1</v>
      </c>
    </row>
    <row r="14" spans="1:78" x14ac:dyDescent="0.2">
      <c r="A14" t="s">
        <v>24</v>
      </c>
      <c r="B14" s="1">
        <v>2002</v>
      </c>
      <c r="C14" s="1">
        <v>6</v>
      </c>
      <c r="D14" s="1">
        <v>13</v>
      </c>
      <c r="E14" t="s">
        <v>6</v>
      </c>
      <c r="G14" s="1">
        <v>1</v>
      </c>
      <c r="H14" s="11" t="str">
        <f t="shared" si="0"/>
        <v>2002_06_013.gif</v>
      </c>
      <c r="I14"/>
      <c r="J14"/>
      <c r="L14" s="1" t="b">
        <v>0</v>
      </c>
      <c r="M14" s="1">
        <v>0</v>
      </c>
      <c r="N14" s="1" t="s">
        <v>601</v>
      </c>
      <c r="O14" s="1">
        <v>13</v>
      </c>
      <c r="P14" s="12" t="str">
        <f t="shared" si="2"/>
        <v>Conservation of Momentum</v>
      </c>
      <c r="Q14" s="1">
        <v>4182</v>
      </c>
      <c r="R14" s="1" t="str">
        <f t="shared" si="1"/>
        <v>2002_06</v>
      </c>
      <c r="T14" s="1"/>
      <c r="AU14" s="1">
        <v>1</v>
      </c>
    </row>
    <row r="15" spans="1:78" x14ac:dyDescent="0.2">
      <c r="A15" t="s">
        <v>25</v>
      </c>
      <c r="B15" s="1">
        <v>2002</v>
      </c>
      <c r="C15" s="1">
        <v>6</v>
      </c>
      <c r="D15" s="1">
        <v>14</v>
      </c>
      <c r="E15" t="s">
        <v>7</v>
      </c>
      <c r="G15" s="1">
        <v>2</v>
      </c>
      <c r="H15" s="11" t="str">
        <f t="shared" si="0"/>
        <v>2002_06_014.gif</v>
      </c>
      <c r="I15"/>
      <c r="J15"/>
      <c r="L15" s="1" t="b">
        <v>0</v>
      </c>
      <c r="M15" s="1">
        <v>0</v>
      </c>
      <c r="N15" s="1" t="s">
        <v>601</v>
      </c>
      <c r="O15" s="1">
        <v>14</v>
      </c>
      <c r="P15" s="12" t="str">
        <f t="shared" si="2"/>
        <v>Kinetic Energy</v>
      </c>
      <c r="Q15" s="1">
        <v>4183</v>
      </c>
      <c r="R15" s="1" t="str">
        <f t="shared" si="1"/>
        <v>2002_06</v>
      </c>
      <c r="T15" s="1"/>
      <c r="AZ15" s="1">
        <v>1</v>
      </c>
    </row>
    <row r="16" spans="1:78" x14ac:dyDescent="0.2">
      <c r="A16" t="s">
        <v>26</v>
      </c>
      <c r="B16" s="1">
        <v>2002</v>
      </c>
      <c r="C16" s="1">
        <v>6</v>
      </c>
      <c r="D16" s="1">
        <v>15</v>
      </c>
      <c r="E16" t="s">
        <v>7</v>
      </c>
      <c r="G16" s="1">
        <v>4</v>
      </c>
      <c r="H16" s="11" t="str">
        <f t="shared" si="0"/>
        <v>2002_06_015.gif</v>
      </c>
      <c r="I16"/>
      <c r="J16"/>
      <c r="L16" s="1" t="b">
        <v>0</v>
      </c>
      <c r="M16" s="1">
        <v>0</v>
      </c>
      <c r="N16" s="1" t="s">
        <v>601</v>
      </c>
      <c r="O16" s="1">
        <v>15</v>
      </c>
      <c r="P16" s="12" t="str">
        <f t="shared" si="2"/>
        <v>Conservation of Energy</v>
      </c>
      <c r="Q16" s="1">
        <v>4184</v>
      </c>
      <c r="R16" s="1" t="str">
        <f t="shared" si="1"/>
        <v>2002_06</v>
      </c>
      <c r="T16" s="1"/>
      <c r="AX16" s="1">
        <v>1</v>
      </c>
    </row>
    <row r="17" spans="1:77" x14ac:dyDescent="0.2">
      <c r="A17" t="s">
        <v>27</v>
      </c>
      <c r="B17" s="1">
        <v>2002</v>
      </c>
      <c r="C17" s="1">
        <v>6</v>
      </c>
      <c r="D17" s="1">
        <v>16</v>
      </c>
      <c r="E17" t="s">
        <v>7</v>
      </c>
      <c r="G17" s="1">
        <v>4</v>
      </c>
      <c r="H17" s="11" t="str">
        <f t="shared" si="0"/>
        <v>2002_06_016.gif</v>
      </c>
      <c r="I17"/>
      <c r="J17"/>
      <c r="L17" s="1" t="b">
        <v>0</v>
      </c>
      <c r="M17" s="1">
        <v>0</v>
      </c>
      <c r="N17" s="1" t="s">
        <v>601</v>
      </c>
      <c r="O17" s="1">
        <v>16</v>
      </c>
      <c r="P17" s="12" t="str">
        <f t="shared" si="2"/>
        <v>Work/Power</v>
      </c>
      <c r="Q17" s="1">
        <v>4185</v>
      </c>
      <c r="R17" s="1" t="str">
        <f t="shared" si="1"/>
        <v>2002_06</v>
      </c>
      <c r="T17" s="1"/>
      <c r="BB17" s="1">
        <v>1</v>
      </c>
    </row>
    <row r="18" spans="1:77" x14ac:dyDescent="0.2">
      <c r="A18" t="s">
        <v>28</v>
      </c>
      <c r="B18" s="1">
        <v>2002</v>
      </c>
      <c r="C18" s="1">
        <v>6</v>
      </c>
      <c r="D18" s="1">
        <v>17</v>
      </c>
      <c r="E18" t="s">
        <v>10</v>
      </c>
      <c r="G18" s="1">
        <v>3</v>
      </c>
      <c r="H18" s="11" t="str">
        <f t="shared" si="0"/>
        <v>2002_06_017.gif</v>
      </c>
      <c r="I18"/>
      <c r="J18"/>
      <c r="L18" s="1" t="b">
        <v>0</v>
      </c>
      <c r="M18" s="1">
        <v>0</v>
      </c>
      <c r="N18" s="1" t="s">
        <v>601</v>
      </c>
      <c r="O18" s="1">
        <v>17</v>
      </c>
      <c r="P18" s="12" t="str">
        <f t="shared" si="2"/>
        <v>Electric Fields and Potential</v>
      </c>
      <c r="Q18" s="1">
        <v>4186</v>
      </c>
      <c r="R18" s="1" t="str">
        <f t="shared" si="1"/>
        <v>2002_06</v>
      </c>
      <c r="T18" s="1"/>
      <c r="BN18" s="1">
        <v>1</v>
      </c>
    </row>
    <row r="19" spans="1:77" x14ac:dyDescent="0.2">
      <c r="A19" t="s">
        <v>29</v>
      </c>
      <c r="B19" s="1">
        <v>2002</v>
      </c>
      <c r="C19" s="1">
        <v>6</v>
      </c>
      <c r="D19" s="1">
        <v>18</v>
      </c>
      <c r="E19" t="s">
        <v>10</v>
      </c>
      <c r="G19" s="1">
        <v>3</v>
      </c>
      <c r="H19" s="11" t="str">
        <f t="shared" si="0"/>
        <v>2002_06_018.gif</v>
      </c>
      <c r="I19"/>
      <c r="J19"/>
      <c r="L19" s="1" t="b">
        <v>0</v>
      </c>
      <c r="M19" s="1">
        <v>0</v>
      </c>
      <c r="N19" s="1" t="s">
        <v>601</v>
      </c>
      <c r="O19" s="1">
        <v>18</v>
      </c>
      <c r="P19" s="12" t="str">
        <f t="shared" si="2"/>
        <v>Conservation of Charge,Induction, Conduction, Polarization</v>
      </c>
      <c r="Q19" s="1">
        <v>4187</v>
      </c>
      <c r="R19" s="1" t="str">
        <f t="shared" si="1"/>
        <v>2002_06</v>
      </c>
      <c r="T19" s="1"/>
      <c r="BK19" s="1">
        <v>1</v>
      </c>
      <c r="BM19" s="1">
        <v>1</v>
      </c>
    </row>
    <row r="20" spans="1:77" x14ac:dyDescent="0.2">
      <c r="A20" t="s">
        <v>30</v>
      </c>
      <c r="B20" s="1">
        <v>2002</v>
      </c>
      <c r="C20" s="1">
        <v>6</v>
      </c>
      <c r="D20" s="1">
        <v>19</v>
      </c>
      <c r="E20" t="s">
        <v>8</v>
      </c>
      <c r="G20" s="1">
        <v>2</v>
      </c>
      <c r="H20" s="11" t="str">
        <f t="shared" si="0"/>
        <v>2002_06_019.gif</v>
      </c>
      <c r="I20"/>
      <c r="J20"/>
      <c r="L20" s="1" t="b">
        <v>0</v>
      </c>
      <c r="M20" s="1">
        <v>0</v>
      </c>
      <c r="N20" s="1" t="s">
        <v>601</v>
      </c>
      <c r="O20" s="1">
        <v>19</v>
      </c>
      <c r="P20" s="12" t="str">
        <f t="shared" si="2"/>
        <v>V=FxLamda</v>
      </c>
      <c r="Q20" s="1">
        <v>4188</v>
      </c>
      <c r="R20" s="1" t="str">
        <f t="shared" si="1"/>
        <v>2002_06</v>
      </c>
      <c r="T20" s="1"/>
      <c r="BE20" s="1">
        <v>1</v>
      </c>
    </row>
    <row r="21" spans="1:77" x14ac:dyDescent="0.2">
      <c r="A21" t="s">
        <v>31</v>
      </c>
      <c r="B21" s="1">
        <v>2002</v>
      </c>
      <c r="C21" s="1">
        <v>6</v>
      </c>
      <c r="D21" s="1">
        <v>20</v>
      </c>
      <c r="E21" t="s">
        <v>7</v>
      </c>
      <c r="G21" s="1">
        <v>1</v>
      </c>
      <c r="H21" s="11" t="str">
        <f t="shared" si="0"/>
        <v>2002_06_020.gif</v>
      </c>
      <c r="I21"/>
      <c r="J21"/>
      <c r="L21" s="1" t="b">
        <v>0</v>
      </c>
      <c r="M21" s="1">
        <v>0</v>
      </c>
      <c r="N21" s="1" t="s">
        <v>601</v>
      </c>
      <c r="O21" s="1">
        <v>20</v>
      </c>
      <c r="P21" s="12" t="str">
        <f t="shared" si="2"/>
        <v>Conservation of Energy,Gravitational PE</v>
      </c>
      <c r="Q21" s="1">
        <v>4189</v>
      </c>
      <c r="R21" s="1" t="str">
        <f t="shared" si="1"/>
        <v>2002_06</v>
      </c>
      <c r="T21" s="1"/>
      <c r="AX21" s="1">
        <v>1</v>
      </c>
      <c r="AY21" s="1">
        <v>1</v>
      </c>
    </row>
    <row r="22" spans="1:77" x14ac:dyDescent="0.2">
      <c r="A22" t="s">
        <v>32</v>
      </c>
      <c r="B22" s="1">
        <v>2002</v>
      </c>
      <c r="C22" s="1">
        <v>6</v>
      </c>
      <c r="D22" s="1">
        <v>21</v>
      </c>
      <c r="E22" t="s">
        <v>11</v>
      </c>
      <c r="G22" s="1">
        <v>1</v>
      </c>
      <c r="H22" s="11" t="str">
        <f t="shared" si="0"/>
        <v>2002_06_021.gif</v>
      </c>
      <c r="I22"/>
      <c r="J22"/>
      <c r="L22" s="1" t="b">
        <v>0</v>
      </c>
      <c r="M22" s="1">
        <v>0</v>
      </c>
      <c r="N22" s="1" t="s">
        <v>601</v>
      </c>
      <c r="O22" s="1">
        <v>21</v>
      </c>
      <c r="P22" s="12" t="str">
        <f t="shared" si="2"/>
        <v>Ohm's Law,Resistance of Wire</v>
      </c>
      <c r="Q22" s="1">
        <v>4190</v>
      </c>
      <c r="R22" s="1" t="str">
        <f t="shared" si="1"/>
        <v>2002_06</v>
      </c>
      <c r="T22" s="1"/>
      <c r="BQ22" s="1">
        <v>1</v>
      </c>
      <c r="BR22" s="1">
        <v>1</v>
      </c>
    </row>
    <row r="23" spans="1:77" x14ac:dyDescent="0.2">
      <c r="A23" t="s">
        <v>33</v>
      </c>
      <c r="B23" s="1">
        <v>2002</v>
      </c>
      <c r="C23" s="1">
        <v>6</v>
      </c>
      <c r="D23" s="1">
        <v>22</v>
      </c>
      <c r="E23" t="s">
        <v>11</v>
      </c>
      <c r="G23" s="1">
        <v>3</v>
      </c>
      <c r="H23" s="11" t="str">
        <f t="shared" si="0"/>
        <v>2002_06_022.gif</v>
      </c>
      <c r="I23"/>
      <c r="J23"/>
      <c r="L23" s="1" t="b">
        <v>0</v>
      </c>
      <c r="M23" s="1">
        <v>0</v>
      </c>
      <c r="N23" s="1" t="s">
        <v>601</v>
      </c>
      <c r="O23" s="1">
        <v>22</v>
      </c>
      <c r="P23" s="12" t="str">
        <f t="shared" si="2"/>
        <v>Electrical Definitions</v>
      </c>
      <c r="Q23" s="1">
        <v>4191</v>
      </c>
      <c r="R23" s="1" t="str">
        <f t="shared" si="1"/>
        <v>2002_06</v>
      </c>
      <c r="T23" s="1"/>
      <c r="BO23" s="1">
        <v>1</v>
      </c>
    </row>
    <row r="24" spans="1:77" x14ac:dyDescent="0.2">
      <c r="A24" t="s">
        <v>34</v>
      </c>
      <c r="B24" s="1">
        <v>2002</v>
      </c>
      <c r="C24" s="1">
        <v>6</v>
      </c>
      <c r="D24" s="1">
        <v>23</v>
      </c>
      <c r="E24" t="s">
        <v>11</v>
      </c>
      <c r="G24" s="1">
        <v>3</v>
      </c>
      <c r="H24" s="11" t="str">
        <f t="shared" si="0"/>
        <v>2002_06_023.gif</v>
      </c>
      <c r="I24"/>
      <c r="J24"/>
      <c r="L24" s="1" t="b">
        <v>0</v>
      </c>
      <c r="M24" s="1">
        <v>0</v>
      </c>
      <c r="N24" s="1" t="s">
        <v>601</v>
      </c>
      <c r="O24" s="1">
        <v>23</v>
      </c>
      <c r="P24" s="12" t="str">
        <f t="shared" si="2"/>
        <v>Series and Parallel</v>
      </c>
      <c r="Q24" s="1">
        <v>4192</v>
      </c>
      <c r="R24" s="1" t="str">
        <f t="shared" si="1"/>
        <v>2002_06</v>
      </c>
      <c r="T24" s="1"/>
      <c r="BS24" s="1">
        <v>1</v>
      </c>
    </row>
    <row r="25" spans="1:77" x14ac:dyDescent="0.2">
      <c r="A25" t="s">
        <v>35</v>
      </c>
      <c r="B25" s="1">
        <v>2002</v>
      </c>
      <c r="C25" s="1">
        <v>6</v>
      </c>
      <c r="D25" s="1">
        <v>24</v>
      </c>
      <c r="E25" t="s">
        <v>11</v>
      </c>
      <c r="G25" s="1">
        <v>4</v>
      </c>
      <c r="H25" s="11" t="str">
        <f t="shared" si="0"/>
        <v>2002_06_024.gif</v>
      </c>
      <c r="I25"/>
      <c r="J25"/>
      <c r="L25" s="1" t="b">
        <v>0</v>
      </c>
      <c r="M25" s="1">
        <v>0</v>
      </c>
      <c r="N25" s="1" t="s">
        <v>601</v>
      </c>
      <c r="O25" s="1">
        <v>24</v>
      </c>
      <c r="P25" s="12" t="str">
        <f t="shared" si="2"/>
        <v>Electrical Power</v>
      </c>
      <c r="Q25" s="1">
        <v>4193</v>
      </c>
      <c r="R25" s="1" t="str">
        <f t="shared" si="1"/>
        <v>2002_06</v>
      </c>
      <c r="T25" s="1"/>
      <c r="BP25" s="1">
        <v>1</v>
      </c>
    </row>
    <row r="26" spans="1:77" x14ac:dyDescent="0.2">
      <c r="A26" t="s">
        <v>36</v>
      </c>
      <c r="B26" s="1">
        <v>2002</v>
      </c>
      <c r="C26" s="1">
        <v>6</v>
      </c>
      <c r="D26" s="1">
        <v>25</v>
      </c>
      <c r="E26" t="s">
        <v>10</v>
      </c>
      <c r="F26" t="s">
        <v>548</v>
      </c>
      <c r="G26" s="1">
        <v>4</v>
      </c>
      <c r="H26" s="11" t="str">
        <f t="shared" si="0"/>
        <v>2002_06_025.gif</v>
      </c>
      <c r="I26"/>
      <c r="J26"/>
      <c r="L26" s="1" t="b">
        <v>0</v>
      </c>
      <c r="M26" s="1">
        <v>0</v>
      </c>
      <c r="N26" s="1" t="s">
        <v>601</v>
      </c>
      <c r="O26" s="1">
        <v>25</v>
      </c>
      <c r="P26" s="12" t="str">
        <f t="shared" si="2"/>
        <v>Coulomb's Law,Mathematical Relationships (Numberless Problems)</v>
      </c>
      <c r="Q26" s="1">
        <v>4194</v>
      </c>
      <c r="R26" s="1" t="str">
        <f t="shared" si="1"/>
        <v>2002_06</v>
      </c>
      <c r="T26" s="1"/>
      <c r="BL26" s="1">
        <v>1</v>
      </c>
      <c r="BY26" s="1">
        <v>1</v>
      </c>
    </row>
    <row r="27" spans="1:77" x14ac:dyDescent="0.2">
      <c r="A27" t="s">
        <v>37</v>
      </c>
      <c r="B27" s="1">
        <v>2002</v>
      </c>
      <c r="C27" s="1">
        <v>6</v>
      </c>
      <c r="D27" s="1">
        <v>26</v>
      </c>
      <c r="E27" t="s">
        <v>8</v>
      </c>
      <c r="G27" s="1">
        <v>4</v>
      </c>
      <c r="H27" s="11" t="str">
        <f t="shared" si="0"/>
        <v>2002_06_026.gif</v>
      </c>
      <c r="I27"/>
      <c r="J27"/>
      <c r="L27" s="1" t="b">
        <v>0</v>
      </c>
      <c r="M27" s="1">
        <v>0</v>
      </c>
      <c r="N27" s="1" t="s">
        <v>601</v>
      </c>
      <c r="O27" s="1">
        <v>26</v>
      </c>
      <c r="P27" s="12" t="str">
        <f t="shared" si="2"/>
        <v>Wave Vocabulary</v>
      </c>
      <c r="Q27" s="1">
        <v>4195</v>
      </c>
      <c r="R27" s="1" t="str">
        <f t="shared" si="1"/>
        <v>2002_06</v>
      </c>
      <c r="T27" s="1"/>
      <c r="BF27" s="1">
        <v>1</v>
      </c>
    </row>
    <row r="28" spans="1:77" x14ac:dyDescent="0.2">
      <c r="A28" t="s">
        <v>38</v>
      </c>
      <c r="B28" s="1">
        <v>2002</v>
      </c>
      <c r="C28" s="1">
        <v>6</v>
      </c>
      <c r="D28" s="1">
        <v>27</v>
      </c>
      <c r="E28" t="s">
        <v>9</v>
      </c>
      <c r="G28" s="1">
        <v>1</v>
      </c>
      <c r="H28" s="11" t="str">
        <f t="shared" si="0"/>
        <v>2002_06_027.gif</v>
      </c>
      <c r="I28"/>
      <c r="J28"/>
      <c r="L28" s="1" t="b">
        <v>0</v>
      </c>
      <c r="M28" s="1">
        <v>0</v>
      </c>
      <c r="N28" s="1" t="s">
        <v>601</v>
      </c>
      <c r="O28" s="1">
        <v>27</v>
      </c>
      <c r="P28" s="12" t="str">
        <f t="shared" si="2"/>
        <v>Refraction and Snell's Law</v>
      </c>
      <c r="Q28" s="1">
        <v>4196</v>
      </c>
      <c r="R28" s="1" t="str">
        <f t="shared" si="1"/>
        <v>2002_06</v>
      </c>
      <c r="T28" s="1"/>
      <c r="BJ28" s="1">
        <v>1</v>
      </c>
    </row>
    <row r="29" spans="1:77" x14ac:dyDescent="0.2">
      <c r="A29" t="s">
        <v>39</v>
      </c>
      <c r="B29" s="1">
        <v>2002</v>
      </c>
      <c r="C29" s="1">
        <v>6</v>
      </c>
      <c r="D29" s="1">
        <v>28</v>
      </c>
      <c r="E29" t="s">
        <v>8</v>
      </c>
      <c r="G29" s="1">
        <v>4</v>
      </c>
      <c r="H29" s="11" t="str">
        <f t="shared" si="0"/>
        <v>2002_06_028.gif</v>
      </c>
      <c r="I29"/>
      <c r="J29"/>
      <c r="L29" s="1" t="b">
        <v>0</v>
      </c>
      <c r="M29" s="1">
        <v>0</v>
      </c>
      <c r="N29" s="1" t="s">
        <v>601</v>
      </c>
      <c r="O29" s="1">
        <v>28</v>
      </c>
      <c r="P29" s="12" t="str">
        <f t="shared" si="2"/>
        <v>Wave Vocabulary</v>
      </c>
      <c r="Q29" s="1">
        <v>4197</v>
      </c>
      <c r="R29" s="1" t="str">
        <f t="shared" si="1"/>
        <v>2002_06</v>
      </c>
      <c r="T29" s="1"/>
      <c r="BF29" s="1">
        <v>1</v>
      </c>
    </row>
    <row r="30" spans="1:77" x14ac:dyDescent="0.2">
      <c r="A30" t="s">
        <v>40</v>
      </c>
      <c r="B30" s="1">
        <v>2002</v>
      </c>
      <c r="C30" s="1">
        <v>6</v>
      </c>
      <c r="D30" s="1">
        <v>29</v>
      </c>
      <c r="E30" t="s">
        <v>9</v>
      </c>
      <c r="G30" s="1">
        <v>1</v>
      </c>
      <c r="H30" s="11" t="str">
        <f t="shared" si="0"/>
        <v>2002_06_029.gif</v>
      </c>
      <c r="I30"/>
      <c r="J30"/>
      <c r="L30" s="1" t="b">
        <v>0</v>
      </c>
      <c r="M30" s="1">
        <v>0</v>
      </c>
      <c r="N30" s="1" t="s">
        <v>601</v>
      </c>
      <c r="O30" s="1">
        <v>29</v>
      </c>
      <c r="P30" s="12" t="str">
        <f t="shared" si="2"/>
        <v>Doppler Effect</v>
      </c>
      <c r="Q30" s="1">
        <v>4198</v>
      </c>
      <c r="R30" s="1" t="str">
        <f t="shared" si="1"/>
        <v>2002_06</v>
      </c>
      <c r="T30" s="1"/>
      <c r="BH30" s="1">
        <v>1</v>
      </c>
    </row>
    <row r="31" spans="1:77" x14ac:dyDescent="0.2">
      <c r="A31" t="s">
        <v>41</v>
      </c>
      <c r="B31" s="1">
        <v>2002</v>
      </c>
      <c r="C31" s="1">
        <v>6</v>
      </c>
      <c r="D31" s="1">
        <v>30</v>
      </c>
      <c r="E31" t="s">
        <v>10</v>
      </c>
      <c r="G31" s="1">
        <v>2</v>
      </c>
      <c r="H31" s="11" t="str">
        <f t="shared" si="0"/>
        <v>2002_06_030.gif</v>
      </c>
      <c r="I31"/>
      <c r="J31"/>
      <c r="L31" s="1" t="b">
        <v>0</v>
      </c>
      <c r="M31" s="1">
        <v>0</v>
      </c>
      <c r="N31" s="1" t="s">
        <v>601</v>
      </c>
      <c r="O31" s="1">
        <v>30</v>
      </c>
      <c r="P31" s="12" t="str">
        <f t="shared" si="2"/>
        <v>Conservation of Charge</v>
      </c>
      <c r="Q31" s="1">
        <v>4199</v>
      </c>
      <c r="R31" s="1" t="str">
        <f t="shared" si="1"/>
        <v>2002_06</v>
      </c>
      <c r="T31" s="1"/>
      <c r="BK31" s="1">
        <v>1</v>
      </c>
    </row>
    <row r="32" spans="1:77" x14ac:dyDescent="0.2">
      <c r="A32" t="s">
        <v>42</v>
      </c>
      <c r="B32" s="1">
        <v>2002</v>
      </c>
      <c r="C32" s="1">
        <v>6</v>
      </c>
      <c r="D32" s="1">
        <v>31</v>
      </c>
      <c r="E32" t="s">
        <v>13</v>
      </c>
      <c r="G32" s="1">
        <v>3</v>
      </c>
      <c r="H32" s="11" t="str">
        <f t="shared" si="0"/>
        <v>2002_06_031.gif</v>
      </c>
      <c r="I32"/>
      <c r="J32"/>
      <c r="L32" s="1" t="b">
        <v>0</v>
      </c>
      <c r="M32" s="1">
        <v>0</v>
      </c>
      <c r="N32" s="1" t="s">
        <v>601</v>
      </c>
      <c r="O32" s="1">
        <v>31</v>
      </c>
      <c r="P32" s="12" t="str">
        <f t="shared" si="2"/>
        <v>Energy/Frequency of Photon</v>
      </c>
      <c r="Q32" s="1">
        <v>4200</v>
      </c>
      <c r="R32" s="1" t="str">
        <f t="shared" si="1"/>
        <v>2002_06</v>
      </c>
      <c r="T32" s="1"/>
      <c r="BU32" s="1">
        <v>1</v>
      </c>
    </row>
    <row r="33" spans="1:77" x14ac:dyDescent="0.2">
      <c r="A33" t="s">
        <v>43</v>
      </c>
      <c r="B33" s="1">
        <v>2002</v>
      </c>
      <c r="C33" s="1">
        <v>6</v>
      </c>
      <c r="D33" s="1">
        <v>32</v>
      </c>
      <c r="E33" t="s">
        <v>11</v>
      </c>
      <c r="G33" s="1">
        <v>4</v>
      </c>
      <c r="H33" s="11" t="str">
        <f t="shared" si="0"/>
        <v>2002_06_032.gif</v>
      </c>
      <c r="I33"/>
      <c r="J33"/>
      <c r="L33" s="1" t="b">
        <v>0</v>
      </c>
      <c r="M33" s="1">
        <v>0</v>
      </c>
      <c r="N33" s="1" t="s">
        <v>601</v>
      </c>
      <c r="O33" s="1">
        <v>32</v>
      </c>
      <c r="P33" s="12" t="str">
        <f t="shared" si="2"/>
        <v>Electrical Power</v>
      </c>
      <c r="Q33" s="1">
        <v>4201</v>
      </c>
      <c r="R33" s="1" t="str">
        <f t="shared" si="1"/>
        <v>2002_06</v>
      </c>
      <c r="T33" s="1"/>
      <c r="BP33" s="1">
        <v>1</v>
      </c>
    </row>
    <row r="34" spans="1:77" x14ac:dyDescent="0.2">
      <c r="A34" t="s">
        <v>44</v>
      </c>
      <c r="B34" s="1">
        <v>2002</v>
      </c>
      <c r="C34" s="1">
        <v>6</v>
      </c>
      <c r="D34" s="1">
        <v>33</v>
      </c>
      <c r="E34" t="s">
        <v>7</v>
      </c>
      <c r="G34" s="1">
        <v>4</v>
      </c>
      <c r="H34" s="11" t="str">
        <f t="shared" si="0"/>
        <v>2002_06_033.gif</v>
      </c>
      <c r="I34"/>
      <c r="J34"/>
      <c r="L34" s="1" t="b">
        <v>0</v>
      </c>
      <c r="M34" s="1">
        <v>0</v>
      </c>
      <c r="N34" s="1" t="s">
        <v>601</v>
      </c>
      <c r="O34" s="1">
        <v>33</v>
      </c>
      <c r="P34" s="12" t="str">
        <f t="shared" si="2"/>
        <v>PE of Spring</v>
      </c>
      <c r="Q34" s="1">
        <v>4202</v>
      </c>
      <c r="R34" s="1" t="str">
        <f t="shared" si="1"/>
        <v>2002_06</v>
      </c>
      <c r="T34" s="1"/>
      <c r="BA34" s="1">
        <v>1</v>
      </c>
    </row>
    <row r="35" spans="1:77" x14ac:dyDescent="0.2">
      <c r="A35" t="s">
        <v>45</v>
      </c>
      <c r="B35" s="1">
        <v>2002</v>
      </c>
      <c r="C35" s="1">
        <v>6</v>
      </c>
      <c r="D35" s="1">
        <v>34</v>
      </c>
      <c r="E35" t="s">
        <v>11</v>
      </c>
      <c r="G35" s="1">
        <v>1</v>
      </c>
      <c r="H35" s="11" t="str">
        <f t="shared" si="0"/>
        <v>2002_06_034.gif</v>
      </c>
      <c r="I35"/>
      <c r="J35"/>
      <c r="L35" s="1" t="b">
        <v>0</v>
      </c>
      <c r="M35" s="1">
        <v>0</v>
      </c>
      <c r="N35" s="1" t="s">
        <v>601</v>
      </c>
      <c r="O35" s="1">
        <v>34</v>
      </c>
      <c r="P35" s="12" t="str">
        <f t="shared" si="2"/>
        <v>Ohm's Law</v>
      </c>
      <c r="Q35" s="1">
        <v>4203</v>
      </c>
      <c r="R35" s="1" t="str">
        <f t="shared" si="1"/>
        <v>2002_06</v>
      </c>
      <c r="T35" s="1"/>
      <c r="BQ35" s="1">
        <v>1</v>
      </c>
    </row>
    <row r="36" spans="1:77" x14ac:dyDescent="0.2">
      <c r="A36" t="s">
        <v>46</v>
      </c>
      <c r="B36" s="1">
        <v>2002</v>
      </c>
      <c r="C36" s="1">
        <v>6</v>
      </c>
      <c r="D36" s="1">
        <v>35</v>
      </c>
      <c r="E36" t="s">
        <v>9</v>
      </c>
      <c r="G36" s="1">
        <v>1</v>
      </c>
      <c r="H36" s="11" t="str">
        <f t="shared" si="0"/>
        <v>2002_06_035.gif</v>
      </c>
      <c r="I36"/>
      <c r="J36"/>
      <c r="L36" s="1" t="b">
        <v>0</v>
      </c>
      <c r="M36" s="1">
        <v>0</v>
      </c>
      <c r="N36" s="1" t="s">
        <v>601</v>
      </c>
      <c r="O36" s="1">
        <v>35</v>
      </c>
      <c r="P36" s="12" t="str">
        <f t="shared" si="2"/>
        <v>Diffraction</v>
      </c>
      <c r="Q36" s="1">
        <v>4204</v>
      </c>
      <c r="R36" s="1" t="str">
        <f t="shared" si="1"/>
        <v>2002_06</v>
      </c>
      <c r="T36" s="1"/>
      <c r="BG36" s="1">
        <v>1</v>
      </c>
    </row>
    <row r="37" spans="1:77" x14ac:dyDescent="0.2">
      <c r="A37" t="str">
        <f t="shared" ref="A37:A46" si="3">B37 &amp; "_" &amp; TEXT(C37,"00") &amp; "_" &amp; TEXT(D37,"000")</f>
        <v>2002_06_036</v>
      </c>
      <c r="B37" s="1">
        <v>2002</v>
      </c>
      <c r="C37" s="1">
        <v>6</v>
      </c>
      <c r="D37" s="1">
        <v>36</v>
      </c>
      <c r="E37" t="s">
        <v>2</v>
      </c>
      <c r="G37" s="1">
        <v>2</v>
      </c>
      <c r="H37" s="11" t="str">
        <f t="shared" si="0"/>
        <v>2002_06_036.gif</v>
      </c>
      <c r="I37"/>
      <c r="J37"/>
      <c r="L37" s="1" t="b">
        <v>0</v>
      </c>
      <c r="M37" s="1">
        <v>0</v>
      </c>
      <c r="N37" s="1" t="s">
        <v>657</v>
      </c>
      <c r="O37" s="1">
        <v>36</v>
      </c>
      <c r="P37" s="12" t="str">
        <f t="shared" si="2"/>
        <v>DT/VT Graphs</v>
      </c>
      <c r="Q37" s="1">
        <v>4205</v>
      </c>
      <c r="R37" s="1" t="str">
        <f t="shared" si="1"/>
        <v>2002_06</v>
      </c>
      <c r="T37" s="1"/>
      <c r="W37" s="1">
        <v>1</v>
      </c>
    </row>
    <row r="38" spans="1:77" x14ac:dyDescent="0.2">
      <c r="A38" t="str">
        <f t="shared" si="3"/>
        <v>2002_06_037</v>
      </c>
      <c r="B38" s="1">
        <v>2002</v>
      </c>
      <c r="C38" s="1">
        <v>6</v>
      </c>
      <c r="D38" s="1">
        <v>37</v>
      </c>
      <c r="E38" t="s">
        <v>8</v>
      </c>
      <c r="G38" s="1">
        <v>2</v>
      </c>
      <c r="H38" s="11" t="str">
        <f t="shared" si="0"/>
        <v>2002_06_037.gif</v>
      </c>
      <c r="I38"/>
      <c r="J38"/>
      <c r="L38" s="1" t="b">
        <v>0</v>
      </c>
      <c r="M38" s="1">
        <v>0</v>
      </c>
      <c r="N38" s="1" t="s">
        <v>657</v>
      </c>
      <c r="O38" s="1">
        <v>37</v>
      </c>
      <c r="P38" s="12" t="str">
        <f t="shared" si="2"/>
        <v>Superposition and Standing Waves</v>
      </c>
      <c r="Q38" s="1">
        <v>4206</v>
      </c>
      <c r="R38" s="1" t="str">
        <f t="shared" si="1"/>
        <v>2002_06</v>
      </c>
      <c r="T38" s="1"/>
      <c r="BD38" s="1">
        <v>1</v>
      </c>
    </row>
    <row r="39" spans="1:77" x14ac:dyDescent="0.2">
      <c r="A39" t="str">
        <f t="shared" si="3"/>
        <v>2002_06_038</v>
      </c>
      <c r="B39" s="1">
        <v>2002</v>
      </c>
      <c r="C39" s="1">
        <v>6</v>
      </c>
      <c r="D39" s="1">
        <v>38</v>
      </c>
      <c r="E39" t="s">
        <v>11</v>
      </c>
      <c r="G39" s="1">
        <v>3</v>
      </c>
      <c r="H39" s="11" t="str">
        <f t="shared" si="0"/>
        <v>2002_06_038.gif</v>
      </c>
      <c r="I39"/>
      <c r="J39"/>
      <c r="L39" s="1" t="b">
        <v>0</v>
      </c>
      <c r="M39" s="1">
        <v>0</v>
      </c>
      <c r="N39" s="1" t="s">
        <v>657</v>
      </c>
      <c r="O39" s="1">
        <v>38</v>
      </c>
      <c r="P39" s="12" t="str">
        <f t="shared" si="2"/>
        <v>Series and Parallel</v>
      </c>
      <c r="Q39" s="1">
        <v>4207</v>
      </c>
      <c r="R39" s="1" t="str">
        <f t="shared" si="1"/>
        <v>2002_06</v>
      </c>
      <c r="T39" s="1"/>
      <c r="BS39" s="1">
        <v>1</v>
      </c>
    </row>
    <row r="40" spans="1:77" x14ac:dyDescent="0.2">
      <c r="A40" t="str">
        <f t="shared" si="3"/>
        <v>2002_06_039</v>
      </c>
      <c r="B40" s="1">
        <v>2002</v>
      </c>
      <c r="C40" s="1">
        <v>6</v>
      </c>
      <c r="D40" s="1">
        <v>39</v>
      </c>
      <c r="E40" t="s">
        <v>1</v>
      </c>
      <c r="G40" s="1">
        <v>1</v>
      </c>
      <c r="H40" s="11" t="str">
        <f t="shared" si="0"/>
        <v>2002_06_039.gif</v>
      </c>
      <c r="I40"/>
      <c r="J40"/>
      <c r="L40" s="1" t="b">
        <v>0</v>
      </c>
      <c r="M40" s="1">
        <v>0</v>
      </c>
      <c r="N40" s="1" t="s">
        <v>657</v>
      </c>
      <c r="O40" s="1">
        <v>39</v>
      </c>
      <c r="P40" s="12" t="str">
        <f t="shared" si="2"/>
        <v>Estimation</v>
      </c>
      <c r="Q40" s="1">
        <v>4208</v>
      </c>
      <c r="R40" s="1" t="str">
        <f t="shared" si="1"/>
        <v>2002_06</v>
      </c>
      <c r="T40" s="1"/>
      <c r="U40" s="1">
        <v>1</v>
      </c>
    </row>
    <row r="41" spans="1:77" x14ac:dyDescent="0.2">
      <c r="A41" t="str">
        <f t="shared" si="3"/>
        <v>2002_06_040</v>
      </c>
      <c r="B41" s="1">
        <v>2002</v>
      </c>
      <c r="C41" s="1">
        <v>6</v>
      </c>
      <c r="D41" s="1">
        <v>40</v>
      </c>
      <c r="E41" t="s">
        <v>13</v>
      </c>
      <c r="G41" s="1">
        <v>3</v>
      </c>
      <c r="H41" s="11" t="str">
        <f t="shared" si="0"/>
        <v>2002_06_040.gif</v>
      </c>
      <c r="I41"/>
      <c r="J41"/>
      <c r="L41" s="1" t="b">
        <v>0</v>
      </c>
      <c r="M41" s="1">
        <v>0</v>
      </c>
      <c r="N41" s="1" t="s">
        <v>657</v>
      </c>
      <c r="O41" s="1">
        <v>40</v>
      </c>
      <c r="P41" s="12" t="str">
        <f t="shared" si="2"/>
        <v>Energy/Frequency of Photon</v>
      </c>
      <c r="Q41" s="1">
        <v>4209</v>
      </c>
      <c r="R41" s="1" t="str">
        <f t="shared" si="1"/>
        <v>2002_06</v>
      </c>
      <c r="T41" s="1"/>
      <c r="BU41" s="1">
        <v>1</v>
      </c>
    </row>
    <row r="42" spans="1:77" x14ac:dyDescent="0.2">
      <c r="A42" t="str">
        <f t="shared" si="3"/>
        <v>2002_06_041</v>
      </c>
      <c r="B42" s="1">
        <v>2002</v>
      </c>
      <c r="C42" s="1">
        <v>6</v>
      </c>
      <c r="D42" s="1">
        <v>41</v>
      </c>
      <c r="E42" t="s">
        <v>11</v>
      </c>
      <c r="F42" t="s">
        <v>548</v>
      </c>
      <c r="G42" s="1">
        <v>2</v>
      </c>
      <c r="H42" s="11" t="str">
        <f t="shared" si="0"/>
        <v>2002_06_041.gif</v>
      </c>
      <c r="I42"/>
      <c r="J42"/>
      <c r="L42" s="1" t="b">
        <v>0</v>
      </c>
      <c r="M42" s="1">
        <v>0</v>
      </c>
      <c r="N42" s="1" t="s">
        <v>657</v>
      </c>
      <c r="O42" s="1">
        <v>41</v>
      </c>
      <c r="P42" s="12" t="str">
        <f t="shared" si="2"/>
        <v>Electrical Power,Graph Interpretation,Mathematical Relationships (Numberless Problems)</v>
      </c>
      <c r="Q42" s="1">
        <v>4210</v>
      </c>
      <c r="R42" s="1" t="str">
        <f t="shared" si="1"/>
        <v>2002_06</v>
      </c>
      <c r="T42" s="1"/>
      <c r="BP42" s="1">
        <v>1</v>
      </c>
      <c r="BX42" s="1">
        <v>1</v>
      </c>
      <c r="BY42" s="1">
        <v>1</v>
      </c>
    </row>
    <row r="43" spans="1:77" x14ac:dyDescent="0.2">
      <c r="A43" t="str">
        <f t="shared" si="3"/>
        <v>2002_06_042</v>
      </c>
      <c r="B43" s="1">
        <v>2002</v>
      </c>
      <c r="C43" s="1">
        <v>6</v>
      </c>
      <c r="D43" s="1">
        <v>42</v>
      </c>
      <c r="E43" t="s">
        <v>7</v>
      </c>
      <c r="F43" t="s">
        <v>548</v>
      </c>
      <c r="G43" s="1">
        <v>4</v>
      </c>
      <c r="H43" s="11" t="str">
        <f t="shared" si="0"/>
        <v>2002_06_042.gif</v>
      </c>
      <c r="I43"/>
      <c r="J43"/>
      <c r="L43" s="1" t="b">
        <v>0</v>
      </c>
      <c r="M43" s="1">
        <v>0</v>
      </c>
      <c r="N43" s="1" t="s">
        <v>657</v>
      </c>
      <c r="O43" s="1">
        <v>42</v>
      </c>
      <c r="P43" s="12" t="str">
        <f t="shared" si="2"/>
        <v>PE of Spring,Graph Interpretation</v>
      </c>
      <c r="Q43" s="1">
        <v>4211</v>
      </c>
      <c r="R43" s="1" t="str">
        <f t="shared" si="1"/>
        <v>2002_06</v>
      </c>
      <c r="T43" s="1"/>
      <c r="BA43" s="1">
        <v>1</v>
      </c>
      <c r="BX43" s="1">
        <v>1</v>
      </c>
    </row>
    <row r="44" spans="1:77" x14ac:dyDescent="0.2">
      <c r="A44" t="str">
        <f t="shared" si="3"/>
        <v>2002_06_043</v>
      </c>
      <c r="B44" s="1">
        <v>2002</v>
      </c>
      <c r="C44" s="1">
        <v>6</v>
      </c>
      <c r="D44" s="1">
        <v>43</v>
      </c>
      <c r="E44" t="s">
        <v>7</v>
      </c>
      <c r="F44" t="s">
        <v>548</v>
      </c>
      <c r="G44" s="1">
        <v>1</v>
      </c>
      <c r="H44" s="11" t="str">
        <f t="shared" si="0"/>
        <v>2002_06_043.gif</v>
      </c>
      <c r="I44"/>
      <c r="J44"/>
      <c r="L44" s="1" t="b">
        <v>0</v>
      </c>
      <c r="M44" s="1">
        <v>0</v>
      </c>
      <c r="N44" s="1" t="s">
        <v>657</v>
      </c>
      <c r="O44" s="1">
        <v>43</v>
      </c>
      <c r="P44" s="12" t="str">
        <f t="shared" si="2"/>
        <v>Gravitational PE,Graph Interpretation</v>
      </c>
      <c r="Q44" s="1">
        <v>4212</v>
      </c>
      <c r="R44" s="1" t="str">
        <f t="shared" si="1"/>
        <v>2002_06</v>
      </c>
      <c r="T44" s="1"/>
      <c r="AY44" s="1">
        <v>1</v>
      </c>
      <c r="BX44" s="1">
        <v>1</v>
      </c>
    </row>
    <row r="45" spans="1:77" x14ac:dyDescent="0.2">
      <c r="A45" t="str">
        <f t="shared" si="3"/>
        <v>2002_06_044</v>
      </c>
      <c r="B45" s="1">
        <v>2002</v>
      </c>
      <c r="C45" s="1">
        <v>6</v>
      </c>
      <c r="D45" s="1">
        <v>44</v>
      </c>
      <c r="E45" t="s">
        <v>3</v>
      </c>
      <c r="G45" s="1">
        <v>4</v>
      </c>
      <c r="H45" s="11" t="str">
        <f t="shared" si="0"/>
        <v>2002_06_044.gif</v>
      </c>
      <c r="I45"/>
      <c r="J45"/>
      <c r="L45" s="1" t="b">
        <v>0</v>
      </c>
      <c r="M45" s="1">
        <v>0</v>
      </c>
      <c r="N45" s="1" t="s">
        <v>657</v>
      </c>
      <c r="O45" s="1">
        <v>44</v>
      </c>
      <c r="P45" s="12" t="str">
        <f t="shared" si="2"/>
        <v>Adding Vectors</v>
      </c>
      <c r="Q45" s="1">
        <v>4213</v>
      </c>
      <c r="R45" s="1" t="str">
        <f t="shared" si="1"/>
        <v>2002_06</v>
      </c>
      <c r="T45" s="1"/>
      <c r="AD45" s="1">
        <v>1</v>
      </c>
    </row>
    <row r="46" spans="1:77" x14ac:dyDescent="0.2">
      <c r="A46" t="str">
        <f t="shared" si="3"/>
        <v>2002_06_045</v>
      </c>
      <c r="B46" s="1">
        <v>2002</v>
      </c>
      <c r="C46" s="1">
        <v>6</v>
      </c>
      <c r="D46" s="1">
        <v>45</v>
      </c>
      <c r="E46" t="s">
        <v>9</v>
      </c>
      <c r="G46" s="1">
        <v>1</v>
      </c>
      <c r="H46" s="11" t="str">
        <f t="shared" si="0"/>
        <v>2002_06_045.gif</v>
      </c>
      <c r="I46"/>
      <c r="J46"/>
      <c r="L46" s="1" t="b">
        <v>0</v>
      </c>
      <c r="M46" s="1">
        <v>0</v>
      </c>
      <c r="N46" s="1" t="s">
        <v>657</v>
      </c>
      <c r="O46" s="1">
        <v>45</v>
      </c>
      <c r="P46" s="12" t="str">
        <f t="shared" si="2"/>
        <v>Refraction and Snell's Law</v>
      </c>
      <c r="Q46" s="1">
        <v>4214</v>
      </c>
      <c r="R46" s="1" t="str">
        <f t="shared" si="1"/>
        <v>2002_06</v>
      </c>
      <c r="T46" s="1"/>
      <c r="BJ46" s="1">
        <v>1</v>
      </c>
    </row>
    <row r="47" spans="1:77" x14ac:dyDescent="0.2">
      <c r="A47" t="s">
        <v>47</v>
      </c>
      <c r="B47" s="1">
        <v>2002</v>
      </c>
      <c r="C47" s="1">
        <v>8</v>
      </c>
      <c r="D47" s="1">
        <v>1</v>
      </c>
      <c r="E47" t="s">
        <v>5</v>
      </c>
      <c r="G47" s="1">
        <v>4</v>
      </c>
      <c r="H47" s="11" t="str">
        <f t="shared" si="0"/>
        <v>2002_08_001.gif</v>
      </c>
      <c r="I47"/>
      <c r="J47"/>
      <c r="L47" s="1" t="b">
        <v>0</v>
      </c>
      <c r="M47" s="1">
        <v>0</v>
      </c>
      <c r="N47" s="1" t="s">
        <v>601</v>
      </c>
      <c r="O47" s="1">
        <v>46</v>
      </c>
      <c r="P47" s="12" t="str">
        <f t="shared" si="2"/>
        <v>Newton's 2nd Law (F=MA)</v>
      </c>
      <c r="Q47" s="1">
        <v>4239</v>
      </c>
      <c r="R47" s="1" t="str">
        <f t="shared" si="1"/>
        <v>2002_08</v>
      </c>
      <c r="T47" s="1"/>
      <c r="AS47" s="1">
        <v>1</v>
      </c>
    </row>
    <row r="48" spans="1:77" x14ac:dyDescent="0.2">
      <c r="A48" t="s">
        <v>48</v>
      </c>
      <c r="B48" s="1">
        <v>2002</v>
      </c>
      <c r="C48" s="1">
        <v>8</v>
      </c>
      <c r="D48" s="1">
        <v>2</v>
      </c>
      <c r="E48" t="s">
        <v>2</v>
      </c>
      <c r="G48" s="1">
        <v>2</v>
      </c>
      <c r="H48" s="11" t="str">
        <f t="shared" si="0"/>
        <v>2002_08_002.gif</v>
      </c>
      <c r="I48"/>
      <c r="J48"/>
      <c r="L48" s="1" t="b">
        <v>0</v>
      </c>
      <c r="M48" s="1">
        <v>0</v>
      </c>
      <c r="N48" s="1" t="s">
        <v>601</v>
      </c>
      <c r="O48" s="1">
        <v>47</v>
      </c>
      <c r="P48" s="12" t="str">
        <f t="shared" si="2"/>
        <v>Horizontal Constant Acceleration Problems</v>
      </c>
      <c r="Q48" s="1">
        <v>4240</v>
      </c>
      <c r="R48" s="1" t="str">
        <f t="shared" si="1"/>
        <v>2002_08</v>
      </c>
      <c r="T48" s="1"/>
      <c r="AB48" s="1">
        <v>1</v>
      </c>
    </row>
    <row r="49" spans="1:77" x14ac:dyDescent="0.2">
      <c r="A49" t="s">
        <v>49</v>
      </c>
      <c r="B49" s="1">
        <v>2002</v>
      </c>
      <c r="C49" s="1">
        <v>8</v>
      </c>
      <c r="D49" s="1">
        <v>3</v>
      </c>
      <c r="E49" t="s">
        <v>2</v>
      </c>
      <c r="G49" s="1">
        <v>3</v>
      </c>
      <c r="H49" s="11" t="str">
        <f t="shared" si="0"/>
        <v>2002_08_003.gif</v>
      </c>
      <c r="I49"/>
      <c r="J49"/>
      <c r="L49" s="1" t="b">
        <v>1</v>
      </c>
      <c r="M49" s="1">
        <v>0</v>
      </c>
      <c r="N49" s="1" t="s">
        <v>601</v>
      </c>
      <c r="O49" s="1">
        <v>48</v>
      </c>
      <c r="P49" s="12" t="str">
        <f t="shared" si="2"/>
        <v>Horizontal Constant Acceleration Problems</v>
      </c>
      <c r="Q49" s="1">
        <v>4241</v>
      </c>
      <c r="R49" s="1" t="str">
        <f t="shared" si="1"/>
        <v>2002_08</v>
      </c>
      <c r="T49" s="1"/>
      <c r="AB49" s="1">
        <v>1</v>
      </c>
    </row>
    <row r="50" spans="1:77" x14ac:dyDescent="0.2">
      <c r="A50" t="s">
        <v>50</v>
      </c>
      <c r="B50" s="1">
        <v>2002</v>
      </c>
      <c r="C50" s="1">
        <v>8</v>
      </c>
      <c r="D50" s="1">
        <v>4</v>
      </c>
      <c r="E50" t="s">
        <v>4</v>
      </c>
      <c r="G50" s="1">
        <v>4</v>
      </c>
      <c r="H50" s="11" t="str">
        <f t="shared" si="0"/>
        <v>2002_08_004.gif</v>
      </c>
      <c r="I50"/>
      <c r="J50"/>
      <c r="L50" s="1" t="b">
        <v>0</v>
      </c>
      <c r="M50" s="1">
        <v>0</v>
      </c>
      <c r="N50" s="1" t="s">
        <v>601</v>
      </c>
      <c r="O50" s="1">
        <v>49</v>
      </c>
      <c r="P50" s="12" t="str">
        <f t="shared" si="2"/>
        <v>Centripetal Motion - Calculation</v>
      </c>
      <c r="Q50" s="1">
        <v>4242</v>
      </c>
      <c r="R50" s="1" t="str">
        <f t="shared" si="1"/>
        <v>2002_08</v>
      </c>
      <c r="T50" s="1"/>
      <c r="AM50" s="1">
        <v>1</v>
      </c>
    </row>
    <row r="51" spans="1:77" x14ac:dyDescent="0.2">
      <c r="A51" t="s">
        <v>51</v>
      </c>
      <c r="B51" s="1">
        <v>2002</v>
      </c>
      <c r="C51" s="1">
        <v>8</v>
      </c>
      <c r="D51" s="1">
        <v>5</v>
      </c>
      <c r="E51" t="s">
        <v>5</v>
      </c>
      <c r="G51" s="1">
        <v>3</v>
      </c>
      <c r="H51" s="11" t="str">
        <f t="shared" si="0"/>
        <v>2002_08_005.gif</v>
      </c>
      <c r="I51"/>
      <c r="J51"/>
      <c r="L51" s="1" t="b">
        <v>0</v>
      </c>
      <c r="M51" s="1">
        <v>0</v>
      </c>
      <c r="N51" s="1" t="s">
        <v>601</v>
      </c>
      <c r="O51" s="1">
        <v>50</v>
      </c>
      <c r="P51" s="12" t="str">
        <f t="shared" si="2"/>
        <v>Inclined Plane</v>
      </c>
      <c r="Q51" s="1">
        <v>4243</v>
      </c>
      <c r="R51" s="1" t="str">
        <f t="shared" si="1"/>
        <v>2002_08</v>
      </c>
      <c r="T51" s="1"/>
      <c r="AO51" s="1">
        <v>1</v>
      </c>
    </row>
    <row r="52" spans="1:77" x14ac:dyDescent="0.2">
      <c r="A52" t="s">
        <v>52</v>
      </c>
      <c r="B52" s="1">
        <v>2002</v>
      </c>
      <c r="C52" s="1">
        <v>8</v>
      </c>
      <c r="D52" s="1">
        <v>6</v>
      </c>
      <c r="E52" t="s">
        <v>5</v>
      </c>
      <c r="F52" t="s">
        <v>548</v>
      </c>
      <c r="G52" s="1">
        <v>3</v>
      </c>
      <c r="H52" s="11" t="str">
        <f t="shared" si="0"/>
        <v>2002_08_006.gif</v>
      </c>
      <c r="I52"/>
      <c r="J52"/>
      <c r="L52" s="1" t="b">
        <v>0</v>
      </c>
      <c r="M52" s="1">
        <v>0</v>
      </c>
      <c r="N52" s="1" t="s">
        <v>601</v>
      </c>
      <c r="O52" s="1">
        <v>51</v>
      </c>
      <c r="P52" s="12" t="str">
        <f t="shared" si="2"/>
        <v>Law of Gravity,Mathematical Relationships (Numberless Problems)</v>
      </c>
      <c r="Q52" s="1">
        <v>4244</v>
      </c>
      <c r="R52" s="1" t="str">
        <f t="shared" si="1"/>
        <v>2002_08</v>
      </c>
      <c r="T52" s="1"/>
      <c r="AQ52" s="1">
        <v>1</v>
      </c>
      <c r="BY52" s="1">
        <v>1</v>
      </c>
    </row>
    <row r="53" spans="1:77" x14ac:dyDescent="0.2">
      <c r="A53" t="s">
        <v>53</v>
      </c>
      <c r="B53" s="1">
        <v>2002</v>
      </c>
      <c r="C53" s="1">
        <v>8</v>
      </c>
      <c r="D53" s="1">
        <v>7</v>
      </c>
      <c r="E53" t="s">
        <v>3</v>
      </c>
      <c r="G53" s="1">
        <v>1</v>
      </c>
      <c r="H53" s="11" t="str">
        <f t="shared" si="0"/>
        <v>2002_08_007.gif</v>
      </c>
      <c r="I53"/>
      <c r="J53"/>
      <c r="L53" s="1" t="b">
        <v>0</v>
      </c>
      <c r="M53" s="1">
        <v>0</v>
      </c>
      <c r="N53" s="1" t="s">
        <v>601</v>
      </c>
      <c r="O53" s="1">
        <v>52</v>
      </c>
      <c r="P53" s="12" t="str">
        <f t="shared" si="2"/>
        <v>Vector vs. Scalar</v>
      </c>
      <c r="Q53" s="1">
        <v>4245</v>
      </c>
      <c r="R53" s="1" t="str">
        <f t="shared" si="1"/>
        <v>2002_08</v>
      </c>
      <c r="T53" s="1"/>
      <c r="AF53" s="1">
        <v>1</v>
      </c>
    </row>
    <row r="54" spans="1:77" x14ac:dyDescent="0.2">
      <c r="A54" t="s">
        <v>54</v>
      </c>
      <c r="B54" s="1">
        <v>2002</v>
      </c>
      <c r="C54" s="1">
        <v>8</v>
      </c>
      <c r="D54" s="1">
        <v>8</v>
      </c>
      <c r="E54" t="s">
        <v>7</v>
      </c>
      <c r="G54" s="1">
        <v>1</v>
      </c>
      <c r="H54" s="11" t="str">
        <f t="shared" si="0"/>
        <v>2002_08_008.gif</v>
      </c>
      <c r="I54"/>
      <c r="J54"/>
      <c r="L54" s="1" t="b">
        <v>0</v>
      </c>
      <c r="M54" s="1">
        <v>0</v>
      </c>
      <c r="N54" s="1" t="s">
        <v>601</v>
      </c>
      <c r="O54" s="1">
        <v>53</v>
      </c>
      <c r="P54" s="12" t="str">
        <f t="shared" si="2"/>
        <v>Conservation of Energy,Gravitational PE,Work/Power</v>
      </c>
      <c r="Q54" s="1">
        <v>4246</v>
      </c>
      <c r="R54" s="1" t="str">
        <f t="shared" si="1"/>
        <v>2002_08</v>
      </c>
      <c r="T54" s="1"/>
      <c r="AX54" s="1">
        <v>1</v>
      </c>
      <c r="AY54" s="1">
        <v>1</v>
      </c>
      <c r="BB54" s="1">
        <v>1</v>
      </c>
    </row>
    <row r="55" spans="1:77" x14ac:dyDescent="0.2">
      <c r="A55" t="s">
        <v>55</v>
      </c>
      <c r="B55" s="1">
        <v>2002</v>
      </c>
      <c r="C55" s="1">
        <v>8</v>
      </c>
      <c r="D55" s="1">
        <v>9</v>
      </c>
      <c r="E55" t="s">
        <v>7</v>
      </c>
      <c r="F55" t="s">
        <v>548</v>
      </c>
      <c r="G55" s="1">
        <v>1</v>
      </c>
      <c r="H55" s="11" t="str">
        <f t="shared" si="0"/>
        <v>2002_08_009.gif</v>
      </c>
      <c r="I55"/>
      <c r="J55"/>
      <c r="L55" s="1" t="b">
        <v>0</v>
      </c>
      <c r="M55" s="1">
        <v>0</v>
      </c>
      <c r="N55" s="1" t="s">
        <v>601</v>
      </c>
      <c r="O55" s="1">
        <v>54</v>
      </c>
      <c r="P55" s="12" t="str">
        <f t="shared" si="2"/>
        <v>Kinetic Energy,Mathematical Relationships (Numberless Problems)</v>
      </c>
      <c r="Q55" s="1">
        <v>4247</v>
      </c>
      <c r="R55" s="1" t="str">
        <f t="shared" si="1"/>
        <v>2002_08</v>
      </c>
      <c r="T55" s="1"/>
      <c r="AZ55" s="1">
        <v>1</v>
      </c>
      <c r="BY55" s="1">
        <v>1</v>
      </c>
    </row>
    <row r="56" spans="1:77" x14ac:dyDescent="0.2">
      <c r="A56" t="s">
        <v>56</v>
      </c>
      <c r="B56" s="1">
        <v>2002</v>
      </c>
      <c r="C56" s="1">
        <v>8</v>
      </c>
      <c r="D56" s="1">
        <v>10</v>
      </c>
      <c r="E56" t="s">
        <v>7</v>
      </c>
      <c r="G56" s="1">
        <v>2</v>
      </c>
      <c r="H56" s="11" t="str">
        <f t="shared" si="0"/>
        <v>2002_08_010.gif</v>
      </c>
      <c r="I56"/>
      <c r="J56"/>
      <c r="L56" s="1" t="b">
        <v>0</v>
      </c>
      <c r="M56" s="1">
        <v>0</v>
      </c>
      <c r="N56" s="1" t="s">
        <v>601</v>
      </c>
      <c r="O56" s="1">
        <v>55</v>
      </c>
      <c r="P56" s="12" t="str">
        <f t="shared" si="2"/>
        <v>PE of Spring</v>
      </c>
      <c r="Q56" s="1">
        <v>4248</v>
      </c>
      <c r="R56" s="1" t="str">
        <f t="shared" si="1"/>
        <v>2002_08</v>
      </c>
      <c r="T56" s="1"/>
      <c r="BA56" s="1">
        <v>1</v>
      </c>
    </row>
    <row r="57" spans="1:77" x14ac:dyDescent="0.2">
      <c r="A57" t="s">
        <v>57</v>
      </c>
      <c r="B57" s="1">
        <v>2002</v>
      </c>
      <c r="C57" s="1">
        <v>8</v>
      </c>
      <c r="D57" s="1">
        <v>11</v>
      </c>
      <c r="E57" t="s">
        <v>10</v>
      </c>
      <c r="G57" s="1">
        <v>2</v>
      </c>
      <c r="H57" s="11" t="str">
        <f t="shared" si="0"/>
        <v>2002_08_011.gif</v>
      </c>
      <c r="I57"/>
      <c r="J57"/>
      <c r="L57" s="1" t="b">
        <v>0</v>
      </c>
      <c r="M57" s="1">
        <v>0</v>
      </c>
      <c r="N57" s="1" t="s">
        <v>601</v>
      </c>
      <c r="O57" s="1">
        <v>56</v>
      </c>
      <c r="P57" s="12" t="str">
        <f t="shared" si="2"/>
        <v>Induction, Conduction, Polarization</v>
      </c>
      <c r="Q57" s="1">
        <v>4249</v>
      </c>
      <c r="R57" s="1" t="str">
        <f t="shared" si="1"/>
        <v>2002_08</v>
      </c>
      <c r="T57" s="1"/>
      <c r="BM57" s="1">
        <v>1</v>
      </c>
    </row>
    <row r="58" spans="1:77" x14ac:dyDescent="0.2">
      <c r="A58" t="s">
        <v>58</v>
      </c>
      <c r="B58" s="1">
        <v>2002</v>
      </c>
      <c r="C58" s="1">
        <v>8</v>
      </c>
      <c r="D58" s="1">
        <v>12</v>
      </c>
      <c r="E58" t="s">
        <v>7</v>
      </c>
      <c r="G58" s="1">
        <v>1</v>
      </c>
      <c r="H58" s="11" t="str">
        <f t="shared" si="0"/>
        <v>2002_08_012.gif</v>
      </c>
      <c r="I58"/>
      <c r="J58"/>
      <c r="L58" s="1" t="b">
        <v>0</v>
      </c>
      <c r="M58" s="1">
        <v>0</v>
      </c>
      <c r="N58" s="1" t="s">
        <v>601</v>
      </c>
      <c r="O58" s="1">
        <v>57</v>
      </c>
      <c r="P58" s="12" t="str">
        <f t="shared" si="2"/>
        <v>PE of Spring</v>
      </c>
      <c r="Q58" s="1">
        <v>4250</v>
      </c>
      <c r="R58" s="1" t="str">
        <f t="shared" si="1"/>
        <v>2002_08</v>
      </c>
      <c r="T58" s="1"/>
      <c r="BA58" s="1">
        <v>1</v>
      </c>
    </row>
    <row r="59" spans="1:77" x14ac:dyDescent="0.2">
      <c r="A59" t="s">
        <v>59</v>
      </c>
      <c r="B59" s="1">
        <v>2002</v>
      </c>
      <c r="C59" s="1">
        <v>8</v>
      </c>
      <c r="D59" s="1">
        <v>13</v>
      </c>
      <c r="E59" t="s">
        <v>11</v>
      </c>
      <c r="G59" s="1">
        <v>2</v>
      </c>
      <c r="H59" s="11" t="str">
        <f t="shared" si="0"/>
        <v>2002_08_013.gif</v>
      </c>
      <c r="I59"/>
      <c r="J59"/>
      <c r="L59" s="1" t="b">
        <v>0</v>
      </c>
      <c r="M59" s="1">
        <v>0</v>
      </c>
      <c r="N59" s="1" t="s">
        <v>601</v>
      </c>
      <c r="O59" s="1">
        <v>58</v>
      </c>
      <c r="P59" s="12" t="str">
        <f t="shared" si="2"/>
        <v>Ohm's Law</v>
      </c>
      <c r="Q59" s="1">
        <v>4251</v>
      </c>
      <c r="R59" s="1" t="str">
        <f t="shared" si="1"/>
        <v>2002_08</v>
      </c>
      <c r="T59" s="1"/>
      <c r="BQ59" s="1">
        <v>1</v>
      </c>
    </row>
    <row r="60" spans="1:77" x14ac:dyDescent="0.2">
      <c r="A60" t="s">
        <v>60</v>
      </c>
      <c r="B60" s="1">
        <v>2002</v>
      </c>
      <c r="C60" s="1">
        <v>8</v>
      </c>
      <c r="D60" s="1">
        <v>14</v>
      </c>
      <c r="E60" t="s">
        <v>11</v>
      </c>
      <c r="G60" s="1">
        <v>4</v>
      </c>
      <c r="H60" s="11" t="str">
        <f t="shared" si="0"/>
        <v>2002_08_014.gif</v>
      </c>
      <c r="I60"/>
      <c r="J60"/>
      <c r="L60" s="1" t="b">
        <v>0</v>
      </c>
      <c r="M60" s="1">
        <v>0</v>
      </c>
      <c r="N60" s="1" t="s">
        <v>601</v>
      </c>
      <c r="O60" s="1">
        <v>59</v>
      </c>
      <c r="P60" s="12" t="str">
        <f t="shared" si="2"/>
        <v>Series and Parallel</v>
      </c>
      <c r="Q60" s="1">
        <v>4252</v>
      </c>
      <c r="R60" s="1" t="str">
        <f t="shared" si="1"/>
        <v>2002_08</v>
      </c>
      <c r="T60" s="1"/>
      <c r="BS60" s="1">
        <v>1</v>
      </c>
    </row>
    <row r="61" spans="1:77" x14ac:dyDescent="0.2">
      <c r="A61" t="s">
        <v>61</v>
      </c>
      <c r="B61" s="1">
        <v>2002</v>
      </c>
      <c r="C61" s="1">
        <v>8</v>
      </c>
      <c r="D61" s="1">
        <v>15</v>
      </c>
      <c r="E61" t="s">
        <v>8</v>
      </c>
      <c r="G61" s="1">
        <v>1</v>
      </c>
      <c r="H61" s="11" t="str">
        <f t="shared" si="0"/>
        <v>2002_08_015.gif</v>
      </c>
      <c r="I61"/>
      <c r="J61"/>
      <c r="L61" s="1" t="b">
        <v>0</v>
      </c>
      <c r="M61" s="1">
        <v>0</v>
      </c>
      <c r="N61" s="1" t="s">
        <v>601</v>
      </c>
      <c r="O61" s="1">
        <v>60</v>
      </c>
      <c r="P61" s="12" t="str">
        <f t="shared" si="2"/>
        <v>Wave Vocabulary</v>
      </c>
      <c r="Q61" s="1">
        <v>4253</v>
      </c>
      <c r="R61" s="1" t="str">
        <f t="shared" si="1"/>
        <v>2002_08</v>
      </c>
      <c r="T61" s="1"/>
      <c r="BF61" s="1">
        <v>1</v>
      </c>
    </row>
    <row r="62" spans="1:77" x14ac:dyDescent="0.2">
      <c r="A62" t="s">
        <v>62</v>
      </c>
      <c r="B62" s="1">
        <v>2002</v>
      </c>
      <c r="C62" s="1">
        <v>8</v>
      </c>
      <c r="D62" s="1">
        <v>16</v>
      </c>
      <c r="E62" t="s">
        <v>8</v>
      </c>
      <c r="G62" s="1">
        <v>4</v>
      </c>
      <c r="H62" s="11" t="str">
        <f t="shared" si="0"/>
        <v>2002_08_016.gif</v>
      </c>
      <c r="I62"/>
      <c r="J62"/>
      <c r="L62" s="1" t="b">
        <v>0</v>
      </c>
      <c r="M62" s="1">
        <v>0</v>
      </c>
      <c r="N62" s="1" t="s">
        <v>601</v>
      </c>
      <c r="O62" s="1">
        <v>61</v>
      </c>
      <c r="P62" s="12" t="str">
        <f t="shared" si="2"/>
        <v>Wave Vocabulary</v>
      </c>
      <c r="Q62" s="1">
        <v>4254</v>
      </c>
      <c r="R62" s="1" t="str">
        <f t="shared" si="1"/>
        <v>2002_08</v>
      </c>
      <c r="T62" s="1"/>
      <c r="BF62" s="1">
        <v>1</v>
      </c>
    </row>
    <row r="63" spans="1:77" x14ac:dyDescent="0.2">
      <c r="A63" t="s">
        <v>63</v>
      </c>
      <c r="B63" s="1">
        <v>2002</v>
      </c>
      <c r="C63" s="1">
        <v>8</v>
      </c>
      <c r="D63" s="1">
        <v>17</v>
      </c>
      <c r="E63" t="s">
        <v>8</v>
      </c>
      <c r="G63" s="1">
        <v>2</v>
      </c>
      <c r="H63" s="11" t="str">
        <f t="shared" si="0"/>
        <v>2002_08_017.gif</v>
      </c>
      <c r="I63"/>
      <c r="J63"/>
      <c r="L63" s="1" t="b">
        <v>0</v>
      </c>
      <c r="M63" s="1">
        <v>0</v>
      </c>
      <c r="N63" s="1" t="s">
        <v>601</v>
      </c>
      <c r="O63" s="1">
        <v>62</v>
      </c>
      <c r="P63" s="12" t="str">
        <f t="shared" si="2"/>
        <v>Wave Vocabulary</v>
      </c>
      <c r="Q63" s="1">
        <v>4255</v>
      </c>
      <c r="R63" s="1" t="str">
        <f t="shared" si="1"/>
        <v>2002_08</v>
      </c>
      <c r="T63" s="1"/>
      <c r="BF63" s="1">
        <v>1</v>
      </c>
    </row>
    <row r="64" spans="1:77" x14ac:dyDescent="0.2">
      <c r="A64" t="s">
        <v>64</v>
      </c>
      <c r="B64" s="1">
        <v>2002</v>
      </c>
      <c r="C64" s="1">
        <v>8</v>
      </c>
      <c r="D64" s="1">
        <v>18</v>
      </c>
      <c r="E64" t="s">
        <v>9</v>
      </c>
      <c r="G64" s="1">
        <v>3</v>
      </c>
      <c r="H64" s="11" t="str">
        <f t="shared" si="0"/>
        <v>2002_08_018.gif</v>
      </c>
      <c r="I64"/>
      <c r="J64"/>
      <c r="L64" s="1" t="b">
        <v>0</v>
      </c>
      <c r="M64" s="1">
        <v>0</v>
      </c>
      <c r="N64" s="1" t="s">
        <v>601</v>
      </c>
      <c r="O64" s="1">
        <v>63</v>
      </c>
      <c r="P64" s="12" t="str">
        <f t="shared" si="2"/>
        <v>Light and Sound</v>
      </c>
      <c r="Q64" s="1">
        <v>4256</v>
      </c>
      <c r="R64" s="1" t="str">
        <f t="shared" si="1"/>
        <v>2002_08</v>
      </c>
      <c r="T64" s="1"/>
      <c r="BI64" s="1">
        <v>1</v>
      </c>
    </row>
    <row r="65" spans="1:78" x14ac:dyDescent="0.2">
      <c r="A65" t="s">
        <v>65</v>
      </c>
      <c r="B65" s="1">
        <v>2002</v>
      </c>
      <c r="C65" s="1">
        <v>8</v>
      </c>
      <c r="D65" s="1">
        <v>19</v>
      </c>
      <c r="E65" t="s">
        <v>9</v>
      </c>
      <c r="G65" s="1">
        <v>3</v>
      </c>
      <c r="H65" s="11" t="str">
        <f t="shared" si="0"/>
        <v>2002_08_019.gif</v>
      </c>
      <c r="I65"/>
      <c r="J65"/>
      <c r="L65" s="1" t="b">
        <v>0</v>
      </c>
      <c r="M65" s="1">
        <v>0</v>
      </c>
      <c r="N65" s="1" t="s">
        <v>601</v>
      </c>
      <c r="O65" s="1">
        <v>64</v>
      </c>
      <c r="P65" s="12" t="str">
        <f t="shared" si="2"/>
        <v>Diffraction</v>
      </c>
      <c r="Q65" s="1">
        <v>4257</v>
      </c>
      <c r="R65" s="1" t="str">
        <f t="shared" si="1"/>
        <v>2002_08</v>
      </c>
      <c r="T65" s="1"/>
      <c r="BG65" s="1">
        <v>1</v>
      </c>
    </row>
    <row r="66" spans="1:78" x14ac:dyDescent="0.2">
      <c r="A66" t="s">
        <v>66</v>
      </c>
      <c r="B66" s="1">
        <v>2002</v>
      </c>
      <c r="C66" s="1">
        <v>8</v>
      </c>
      <c r="D66" s="1">
        <v>20</v>
      </c>
      <c r="E66" t="s">
        <v>8</v>
      </c>
      <c r="G66" s="1">
        <v>2</v>
      </c>
      <c r="H66" s="11" t="str">
        <f t="shared" ref="H66:H129" si="4">HYPERLINK(A66&amp;".gif")</f>
        <v>2002_08_020.gif</v>
      </c>
      <c r="I66"/>
      <c r="J66"/>
      <c r="L66" s="1" t="b">
        <v>0</v>
      </c>
      <c r="M66" s="1">
        <v>0</v>
      </c>
      <c r="N66" s="1" t="s">
        <v>601</v>
      </c>
      <c r="O66" s="1">
        <v>65</v>
      </c>
      <c r="P66" s="12" t="str">
        <f t="shared" si="2"/>
        <v>Superposition and Standing Waves</v>
      </c>
      <c r="Q66" s="1">
        <v>4258</v>
      </c>
      <c r="R66" s="1" t="str">
        <f t="shared" si="1"/>
        <v>2002_08</v>
      </c>
      <c r="T66" s="1"/>
      <c r="BD66" s="1">
        <v>1</v>
      </c>
    </row>
    <row r="67" spans="1:78" x14ac:dyDescent="0.2">
      <c r="A67" t="s">
        <v>67</v>
      </c>
      <c r="B67" s="1">
        <v>2002</v>
      </c>
      <c r="C67" s="1">
        <v>8</v>
      </c>
      <c r="D67" s="1">
        <v>21</v>
      </c>
      <c r="E67" t="s">
        <v>10</v>
      </c>
      <c r="G67" s="1">
        <v>3</v>
      </c>
      <c r="H67" s="11" t="str">
        <f t="shared" si="4"/>
        <v>2002_08_021.gif</v>
      </c>
      <c r="I67"/>
      <c r="J67"/>
      <c r="L67" s="1" t="b">
        <v>0</v>
      </c>
      <c r="M67" s="1">
        <v>0</v>
      </c>
      <c r="N67" s="1" t="s">
        <v>601</v>
      </c>
      <c r="O67" s="1">
        <v>66</v>
      </c>
      <c r="P67" s="12" t="str">
        <f t="shared" si="2"/>
        <v>Electric Fields and Potential</v>
      </c>
      <c r="Q67" s="1">
        <v>4259</v>
      </c>
      <c r="R67" s="1" t="str">
        <f t="shared" ref="R67:R130" si="5">B67&amp;"_"&amp;TEXT(C67,"00")</f>
        <v>2002_08</v>
      </c>
      <c r="T67" s="1"/>
      <c r="BN67" s="1">
        <v>1</v>
      </c>
    </row>
    <row r="68" spans="1:78" x14ac:dyDescent="0.2">
      <c r="A68" t="s">
        <v>68</v>
      </c>
      <c r="B68" s="1">
        <v>2002</v>
      </c>
      <c r="C68" s="1">
        <v>8</v>
      </c>
      <c r="D68" s="1">
        <v>22</v>
      </c>
      <c r="E68" t="s">
        <v>10</v>
      </c>
      <c r="G68" s="1">
        <v>2</v>
      </c>
      <c r="H68" s="11" t="str">
        <f t="shared" si="4"/>
        <v>2002_08_022.gif</v>
      </c>
      <c r="I68"/>
      <c r="J68"/>
      <c r="L68" s="1" t="b">
        <v>0</v>
      </c>
      <c r="M68" s="1">
        <v>0</v>
      </c>
      <c r="N68" s="1" t="s">
        <v>601</v>
      </c>
      <c r="O68" s="1">
        <v>67</v>
      </c>
      <c r="P68" s="12" t="str">
        <f t="shared" si="2"/>
        <v>Conservation of Charge</v>
      </c>
      <c r="Q68" s="1">
        <v>4260</v>
      </c>
      <c r="R68" s="1" t="str">
        <f t="shared" si="5"/>
        <v>2002_08</v>
      </c>
      <c r="T68" s="1"/>
      <c r="BK68" s="1">
        <v>1</v>
      </c>
    </row>
    <row r="69" spans="1:78" x14ac:dyDescent="0.2">
      <c r="A69" t="s">
        <v>69</v>
      </c>
      <c r="B69" s="1">
        <v>2002</v>
      </c>
      <c r="C69" s="1">
        <v>8</v>
      </c>
      <c r="D69" s="1">
        <v>23</v>
      </c>
      <c r="E69" t="s">
        <v>13</v>
      </c>
      <c r="G69" s="1">
        <v>3</v>
      </c>
      <c r="H69" s="11" t="str">
        <f t="shared" si="4"/>
        <v>2002_08_023.gif</v>
      </c>
      <c r="I69"/>
      <c r="J69"/>
      <c r="L69" s="1" t="b">
        <v>0</v>
      </c>
      <c r="M69" s="1">
        <v>0</v>
      </c>
      <c r="N69" s="1" t="s">
        <v>601</v>
      </c>
      <c r="O69" s="1">
        <v>68</v>
      </c>
      <c r="P69" s="12" t="str">
        <f t="shared" si="2"/>
        <v>Energy/Frequency of Photon</v>
      </c>
      <c r="Q69" s="1">
        <v>4261</v>
      </c>
      <c r="R69" s="1" t="str">
        <f t="shared" si="5"/>
        <v>2002_08</v>
      </c>
      <c r="T69" s="1"/>
      <c r="BU69" s="1">
        <v>1</v>
      </c>
    </row>
    <row r="70" spans="1:78" x14ac:dyDescent="0.2">
      <c r="A70" t="s">
        <v>70</v>
      </c>
      <c r="B70" s="1">
        <v>2002</v>
      </c>
      <c r="C70" s="1">
        <v>8</v>
      </c>
      <c r="D70" s="1">
        <v>24</v>
      </c>
      <c r="E70" t="s">
        <v>13</v>
      </c>
      <c r="G70" s="1">
        <v>1</v>
      </c>
      <c r="H70" s="11" t="str">
        <f t="shared" si="4"/>
        <v>2002_08_024.gif</v>
      </c>
      <c r="I70"/>
      <c r="J70"/>
      <c r="L70" s="1" t="b">
        <v>0</v>
      </c>
      <c r="M70" s="1">
        <v>0</v>
      </c>
      <c r="N70" s="1" t="s">
        <v>601</v>
      </c>
      <c r="O70" s="1">
        <v>69</v>
      </c>
      <c r="P70" s="12" t="str">
        <f t="shared" si="2"/>
        <v>Particle Physics</v>
      </c>
      <c r="Q70" s="1">
        <v>4262</v>
      </c>
      <c r="R70" s="1" t="str">
        <f t="shared" si="5"/>
        <v>2002_08</v>
      </c>
      <c r="T70" s="1"/>
      <c r="BW70" s="1">
        <v>1</v>
      </c>
    </row>
    <row r="71" spans="1:78" x14ac:dyDescent="0.2">
      <c r="A71" t="s">
        <v>71</v>
      </c>
      <c r="B71" s="1">
        <v>2002</v>
      </c>
      <c r="C71" s="1">
        <v>8</v>
      </c>
      <c r="D71" s="1">
        <v>25</v>
      </c>
      <c r="E71" t="s">
        <v>1</v>
      </c>
      <c r="F71" t="s">
        <v>6</v>
      </c>
      <c r="G71" s="1">
        <v>4</v>
      </c>
      <c r="H71" s="11" t="str">
        <f t="shared" si="4"/>
        <v>2002_08_025.gif</v>
      </c>
      <c r="I71"/>
      <c r="J71"/>
      <c r="L71" s="1" t="b">
        <v>0</v>
      </c>
      <c r="M71" s="1">
        <v>0</v>
      </c>
      <c r="N71" s="1" t="s">
        <v>601</v>
      </c>
      <c r="O71" s="1">
        <v>70</v>
      </c>
      <c r="P71" s="12" t="str">
        <f t="shared" si="2"/>
        <v>Units,Impulse</v>
      </c>
      <c r="Q71" s="1">
        <v>4263</v>
      </c>
      <c r="R71" s="1" t="str">
        <f t="shared" si="5"/>
        <v>2002_08</v>
      </c>
      <c r="T71" s="1"/>
      <c r="V71" s="1">
        <v>1</v>
      </c>
      <c r="AV71" s="1">
        <v>1</v>
      </c>
    </row>
    <row r="72" spans="1:78" x14ac:dyDescent="0.2">
      <c r="A72" t="s">
        <v>72</v>
      </c>
      <c r="B72" s="1">
        <v>2002</v>
      </c>
      <c r="C72" s="1">
        <v>8</v>
      </c>
      <c r="D72" s="1">
        <v>26</v>
      </c>
      <c r="E72" t="s">
        <v>5</v>
      </c>
      <c r="G72" s="1">
        <v>3</v>
      </c>
      <c r="H72" s="11" t="str">
        <f t="shared" si="4"/>
        <v>2002_08_026.gif</v>
      </c>
      <c r="I72"/>
      <c r="J72"/>
      <c r="L72" s="1" t="b">
        <v>0</v>
      </c>
      <c r="M72" s="1">
        <v>0</v>
      </c>
      <c r="N72" s="1" t="s">
        <v>601</v>
      </c>
      <c r="O72" s="1">
        <v>71</v>
      </c>
      <c r="P72" s="12" t="str">
        <f t="shared" si="2"/>
        <v>Law of Gravity</v>
      </c>
      <c r="Q72" s="1">
        <v>4264</v>
      </c>
      <c r="R72" s="1" t="str">
        <f t="shared" si="5"/>
        <v>2002_08</v>
      </c>
      <c r="T72" s="1"/>
      <c r="AQ72" s="1">
        <v>1</v>
      </c>
    </row>
    <row r="73" spans="1:78" x14ac:dyDescent="0.2">
      <c r="A73" t="s">
        <v>73</v>
      </c>
      <c r="B73" s="1">
        <v>2002</v>
      </c>
      <c r="C73" s="1">
        <v>8</v>
      </c>
      <c r="D73" s="1">
        <v>27</v>
      </c>
      <c r="E73" t="s">
        <v>6</v>
      </c>
      <c r="G73" s="1">
        <v>3</v>
      </c>
      <c r="H73" s="11" t="str">
        <f t="shared" si="4"/>
        <v>2002_08_027.gif</v>
      </c>
      <c r="I73"/>
      <c r="J73"/>
      <c r="L73" s="1" t="b">
        <v>0</v>
      </c>
      <c r="M73" s="1">
        <v>0</v>
      </c>
      <c r="N73" s="1" t="s">
        <v>601</v>
      </c>
      <c r="O73" s="1">
        <v>72</v>
      </c>
      <c r="P73" s="12" t="str">
        <f t="shared" si="2"/>
        <v>Impulse</v>
      </c>
      <c r="Q73" s="1">
        <v>4265</v>
      </c>
      <c r="R73" s="1" t="str">
        <f t="shared" si="5"/>
        <v>2002_08</v>
      </c>
      <c r="T73" s="1"/>
      <c r="AV73" s="1">
        <v>1</v>
      </c>
    </row>
    <row r="74" spans="1:78" x14ac:dyDescent="0.2">
      <c r="A74" t="s">
        <v>74</v>
      </c>
      <c r="B74" s="1">
        <v>2002</v>
      </c>
      <c r="C74" s="1">
        <v>8</v>
      </c>
      <c r="D74" s="1">
        <v>28</v>
      </c>
      <c r="E74" t="s">
        <v>5</v>
      </c>
      <c r="G74" s="1">
        <v>1</v>
      </c>
      <c r="H74" s="11" t="str">
        <f t="shared" si="4"/>
        <v>2002_08_028.gif</v>
      </c>
      <c r="I74"/>
      <c r="J74"/>
      <c r="L74" s="1" t="b">
        <v>0</v>
      </c>
      <c r="M74" s="1">
        <v>0</v>
      </c>
      <c r="N74" s="1" t="s">
        <v>601</v>
      </c>
      <c r="O74" s="1">
        <v>73</v>
      </c>
      <c r="P74" s="12" t="str">
        <f t="shared" si="2"/>
        <v>Newton's 2nd Law (F=MA),Weight and Mass</v>
      </c>
      <c r="Q74" s="1">
        <v>4266</v>
      </c>
      <c r="R74" s="1" t="str">
        <f t="shared" si="5"/>
        <v>2002_08</v>
      </c>
      <c r="T74" s="1"/>
      <c r="AS74" s="1">
        <v>1</v>
      </c>
      <c r="AT74" s="1">
        <v>1</v>
      </c>
    </row>
    <row r="75" spans="1:78" x14ac:dyDescent="0.2">
      <c r="A75" t="s">
        <v>75</v>
      </c>
      <c r="B75" s="1">
        <v>2002</v>
      </c>
      <c r="C75" s="1">
        <v>8</v>
      </c>
      <c r="D75" s="1">
        <v>29</v>
      </c>
      <c r="E75" t="s">
        <v>7</v>
      </c>
      <c r="G75" s="1">
        <v>1</v>
      </c>
      <c r="H75" s="11" t="str">
        <f t="shared" si="4"/>
        <v>2002_08_029.gif</v>
      </c>
      <c r="I75"/>
      <c r="J75"/>
      <c r="L75" s="1" t="b">
        <v>0</v>
      </c>
      <c r="M75" s="1">
        <v>0</v>
      </c>
      <c r="N75" s="1" t="s">
        <v>601</v>
      </c>
      <c r="O75" s="1">
        <v>74</v>
      </c>
      <c r="P75" s="12" t="str">
        <f t="shared" ref="P75:P138" si="6">concatenateif(U75:DI75,1,$U$1:$DI$1)</f>
        <v>Work/Power</v>
      </c>
      <c r="Q75" s="1">
        <v>4267</v>
      </c>
      <c r="R75" s="1" t="str">
        <f t="shared" si="5"/>
        <v>2002_08</v>
      </c>
      <c r="T75" s="1"/>
      <c r="BB75" s="1">
        <v>1</v>
      </c>
    </row>
    <row r="76" spans="1:78" x14ac:dyDescent="0.2">
      <c r="A76" t="s">
        <v>76</v>
      </c>
      <c r="B76" s="1">
        <v>2002</v>
      </c>
      <c r="C76" s="1">
        <v>8</v>
      </c>
      <c r="D76" s="1">
        <v>30</v>
      </c>
      <c r="E76" t="s">
        <v>588</v>
      </c>
      <c r="F76" t="s">
        <v>12</v>
      </c>
      <c r="G76" s="1">
        <v>4</v>
      </c>
      <c r="H76" s="11" t="str">
        <f t="shared" si="4"/>
        <v>2002_08_030.gif</v>
      </c>
      <c r="I76"/>
      <c r="J76"/>
      <c r="L76" s="1" t="b">
        <v>0</v>
      </c>
      <c r="M76" s="1">
        <v>0</v>
      </c>
      <c r="N76" s="1" t="s">
        <v>601</v>
      </c>
      <c r="O76" s="1">
        <v>75</v>
      </c>
      <c r="P76" s="12" t="str">
        <f t="shared" si="6"/>
        <v>Magnetism</v>
      </c>
      <c r="Q76" s="1">
        <v>4268</v>
      </c>
      <c r="R76" s="1" t="str">
        <f t="shared" si="5"/>
        <v>2002_08</v>
      </c>
      <c r="T76" s="1"/>
      <c r="BZ76" s="1">
        <v>1</v>
      </c>
    </row>
    <row r="77" spans="1:78" x14ac:dyDescent="0.2">
      <c r="A77" t="s">
        <v>77</v>
      </c>
      <c r="B77" s="1">
        <v>2002</v>
      </c>
      <c r="C77" s="1">
        <v>8</v>
      </c>
      <c r="D77" s="1">
        <v>31</v>
      </c>
      <c r="E77" t="s">
        <v>5</v>
      </c>
      <c r="G77" s="1">
        <v>3</v>
      </c>
      <c r="H77" s="11" t="str">
        <f t="shared" si="4"/>
        <v>2002_08_031.gif</v>
      </c>
      <c r="I77"/>
      <c r="J77"/>
      <c r="L77" s="1" t="b">
        <v>0</v>
      </c>
      <c r="M77" s="1">
        <v>0</v>
      </c>
      <c r="N77" s="1" t="s">
        <v>601</v>
      </c>
      <c r="O77" s="1">
        <v>76</v>
      </c>
      <c r="P77" s="12" t="str">
        <f t="shared" si="6"/>
        <v>Newton's 1st Law (Inertia),Newton's 2nd Law (F=MA)</v>
      </c>
      <c r="Q77" s="1">
        <v>4269</v>
      </c>
      <c r="R77" s="1" t="str">
        <f t="shared" si="5"/>
        <v>2002_08</v>
      </c>
      <c r="T77" s="1"/>
      <c r="AR77" s="1">
        <v>1</v>
      </c>
      <c r="AS77" s="1">
        <v>1</v>
      </c>
    </row>
    <row r="78" spans="1:78" x14ac:dyDescent="0.2">
      <c r="A78" t="s">
        <v>78</v>
      </c>
      <c r="B78" s="1">
        <v>2002</v>
      </c>
      <c r="C78" s="1">
        <v>8</v>
      </c>
      <c r="D78" s="1">
        <v>32</v>
      </c>
      <c r="E78" t="s">
        <v>2</v>
      </c>
      <c r="F78" t="s">
        <v>8</v>
      </c>
      <c r="G78" s="1">
        <v>2</v>
      </c>
      <c r="H78" s="11" t="str">
        <f t="shared" si="4"/>
        <v>2002_08_032.gif</v>
      </c>
      <c r="I78"/>
      <c r="J78"/>
      <c r="L78" s="1" t="b">
        <v>0</v>
      </c>
      <c r="M78" s="1">
        <v>0</v>
      </c>
      <c r="N78" s="1" t="s">
        <v>601</v>
      </c>
      <c r="O78" s="1">
        <v>77</v>
      </c>
      <c r="P78" s="12" t="str">
        <f t="shared" si="6"/>
        <v>Basic Motion Concepts,Wave Vocabulary</v>
      </c>
      <c r="Q78" s="1">
        <v>4270</v>
      </c>
      <c r="R78" s="1" t="str">
        <f t="shared" si="5"/>
        <v>2002_08</v>
      </c>
      <c r="T78" s="1"/>
      <c r="Z78" s="1">
        <v>1</v>
      </c>
      <c r="BF78" s="1">
        <v>1</v>
      </c>
    </row>
    <row r="79" spans="1:78" x14ac:dyDescent="0.2">
      <c r="A79" t="s">
        <v>79</v>
      </c>
      <c r="B79" s="1">
        <v>2002</v>
      </c>
      <c r="C79" s="1">
        <v>8</v>
      </c>
      <c r="D79" s="1">
        <v>33</v>
      </c>
      <c r="E79" t="s">
        <v>9</v>
      </c>
      <c r="G79" s="1">
        <v>1</v>
      </c>
      <c r="H79" s="11" t="str">
        <f t="shared" si="4"/>
        <v>2002_08_033.gif</v>
      </c>
      <c r="I79"/>
      <c r="J79"/>
      <c r="L79" s="1" t="b">
        <v>0</v>
      </c>
      <c r="M79" s="1">
        <v>0</v>
      </c>
      <c r="N79" s="1" t="s">
        <v>601</v>
      </c>
      <c r="O79" s="1">
        <v>78</v>
      </c>
      <c r="P79" s="12" t="str">
        <f t="shared" si="6"/>
        <v>Doppler Effect</v>
      </c>
      <c r="Q79" s="1">
        <v>4271</v>
      </c>
      <c r="R79" s="1" t="str">
        <f t="shared" si="5"/>
        <v>2002_08</v>
      </c>
      <c r="T79" s="1"/>
      <c r="BH79" s="1">
        <v>1</v>
      </c>
    </row>
    <row r="80" spans="1:78" x14ac:dyDescent="0.2">
      <c r="A80" t="s">
        <v>80</v>
      </c>
      <c r="B80" s="1">
        <v>2002</v>
      </c>
      <c r="C80" s="1">
        <v>8</v>
      </c>
      <c r="D80" s="1">
        <v>34</v>
      </c>
      <c r="E80" t="s">
        <v>11</v>
      </c>
      <c r="G80" s="1">
        <v>1</v>
      </c>
      <c r="H80" s="11" t="str">
        <f t="shared" si="4"/>
        <v>2002_08_034.gif</v>
      </c>
      <c r="I80"/>
      <c r="J80"/>
      <c r="L80" s="1" t="b">
        <v>0</v>
      </c>
      <c r="M80" s="1">
        <v>0</v>
      </c>
      <c r="N80" s="1" t="s">
        <v>601</v>
      </c>
      <c r="O80" s="1">
        <v>79</v>
      </c>
      <c r="P80" s="12" t="str">
        <f t="shared" si="6"/>
        <v>Series and Parallel</v>
      </c>
      <c r="Q80" s="1">
        <v>4272</v>
      </c>
      <c r="R80" s="1" t="str">
        <f t="shared" si="5"/>
        <v>2002_08</v>
      </c>
      <c r="T80" s="1"/>
      <c r="BS80" s="1">
        <v>1</v>
      </c>
    </row>
    <row r="81" spans="1:75" x14ac:dyDescent="0.2">
      <c r="A81" t="s">
        <v>81</v>
      </c>
      <c r="B81" s="1">
        <v>2002</v>
      </c>
      <c r="C81" s="1">
        <v>8</v>
      </c>
      <c r="D81" s="1">
        <v>35</v>
      </c>
      <c r="E81" t="s">
        <v>10</v>
      </c>
      <c r="G81" s="1">
        <v>1</v>
      </c>
      <c r="H81" s="11" t="str">
        <f t="shared" si="4"/>
        <v>2002_08_035.gif</v>
      </c>
      <c r="I81"/>
      <c r="J81"/>
      <c r="L81" s="1" t="b">
        <v>0</v>
      </c>
      <c r="M81" s="1">
        <v>0</v>
      </c>
      <c r="N81" s="1" t="s">
        <v>601</v>
      </c>
      <c r="O81" s="1">
        <v>80</v>
      </c>
      <c r="P81" s="12" t="str">
        <f t="shared" si="6"/>
        <v>Coulomb's Law</v>
      </c>
      <c r="Q81" s="1">
        <v>4273</v>
      </c>
      <c r="R81" s="1" t="str">
        <f t="shared" si="5"/>
        <v>2002_08</v>
      </c>
      <c r="T81" s="1"/>
      <c r="BL81" s="1">
        <v>1</v>
      </c>
    </row>
    <row r="82" spans="1:75" x14ac:dyDescent="0.2">
      <c r="A82" t="str">
        <f t="shared" ref="A82:A93" si="7">B82 &amp; "_" &amp; TEXT(C82,"00") &amp; "_" &amp; TEXT(D82,"000")</f>
        <v>2002_08_036</v>
      </c>
      <c r="B82" s="1">
        <v>2002</v>
      </c>
      <c r="C82" s="1">
        <v>8</v>
      </c>
      <c r="D82" s="1">
        <v>36</v>
      </c>
      <c r="E82" t="s">
        <v>6</v>
      </c>
      <c r="G82" s="1">
        <v>2</v>
      </c>
      <c r="H82" s="11" t="str">
        <f t="shared" si="4"/>
        <v>2002_08_036.gif</v>
      </c>
      <c r="I82"/>
      <c r="J82"/>
      <c r="L82" s="1" t="b">
        <v>0</v>
      </c>
      <c r="M82" s="1">
        <v>0</v>
      </c>
      <c r="N82" s="1" t="s">
        <v>657</v>
      </c>
      <c r="O82" s="1">
        <v>81</v>
      </c>
      <c r="P82" s="12" t="str">
        <f t="shared" si="6"/>
        <v>Conservation of Momentum</v>
      </c>
      <c r="Q82" s="1">
        <v>4274</v>
      </c>
      <c r="R82" s="1" t="str">
        <f t="shared" si="5"/>
        <v>2002_08</v>
      </c>
      <c r="T82" s="1"/>
      <c r="AU82" s="1">
        <v>1</v>
      </c>
    </row>
    <row r="83" spans="1:75" x14ac:dyDescent="0.2">
      <c r="A83" t="str">
        <f t="shared" si="7"/>
        <v>2002_08_037</v>
      </c>
      <c r="B83" s="1">
        <v>2002</v>
      </c>
      <c r="C83" s="1">
        <v>8</v>
      </c>
      <c r="D83" s="1">
        <v>37</v>
      </c>
      <c r="E83" t="s">
        <v>5</v>
      </c>
      <c r="G83" s="1">
        <v>2</v>
      </c>
      <c r="H83" s="11" t="str">
        <f t="shared" si="4"/>
        <v>2002_08_037.gif</v>
      </c>
      <c r="I83"/>
      <c r="J83"/>
      <c r="L83" s="1" t="b">
        <v>0</v>
      </c>
      <c r="M83" s="1">
        <v>0</v>
      </c>
      <c r="N83" s="1" t="s">
        <v>657</v>
      </c>
      <c r="O83" s="1">
        <v>82</v>
      </c>
      <c r="P83" s="12" t="str">
        <f t="shared" si="6"/>
        <v>Inclined Plane</v>
      </c>
      <c r="Q83" s="1">
        <v>4275</v>
      </c>
      <c r="R83" s="1" t="str">
        <f t="shared" si="5"/>
        <v>2002_08</v>
      </c>
      <c r="T83" s="1"/>
      <c r="AO83" s="1">
        <v>1</v>
      </c>
    </row>
    <row r="84" spans="1:75" x14ac:dyDescent="0.2">
      <c r="A84" t="str">
        <f t="shared" si="7"/>
        <v>2002_08_038</v>
      </c>
      <c r="B84" s="1">
        <v>2002</v>
      </c>
      <c r="C84" s="1">
        <v>8</v>
      </c>
      <c r="D84" s="1">
        <v>38</v>
      </c>
      <c r="E84" t="s">
        <v>4</v>
      </c>
      <c r="G84" s="1">
        <v>3</v>
      </c>
      <c r="H84" s="11" t="str">
        <f t="shared" si="4"/>
        <v>2002_08_038.gif</v>
      </c>
      <c r="I84"/>
      <c r="J84"/>
      <c r="L84" s="1" t="b">
        <v>0</v>
      </c>
      <c r="M84" s="1">
        <v>0</v>
      </c>
      <c r="N84" s="1" t="s">
        <v>657</v>
      </c>
      <c r="O84" s="1">
        <v>83</v>
      </c>
      <c r="P84" s="12" t="str">
        <f t="shared" si="6"/>
        <v>Projectiles at an Angle</v>
      </c>
      <c r="Q84" s="1">
        <v>4276</v>
      </c>
      <c r="R84" s="1" t="str">
        <f t="shared" si="5"/>
        <v>2002_08</v>
      </c>
      <c r="T84" s="1"/>
      <c r="AH84" s="1">
        <v>1</v>
      </c>
    </row>
    <row r="85" spans="1:75" x14ac:dyDescent="0.2">
      <c r="A85" t="str">
        <f t="shared" si="7"/>
        <v>2002_08_039</v>
      </c>
      <c r="B85" s="1">
        <v>2002</v>
      </c>
      <c r="C85" s="1">
        <v>8</v>
      </c>
      <c r="D85" s="1">
        <v>39</v>
      </c>
      <c r="E85" t="s">
        <v>2</v>
      </c>
      <c r="G85" s="1">
        <v>3</v>
      </c>
      <c r="H85" s="11" t="str">
        <f t="shared" si="4"/>
        <v>2002_08_039.gif</v>
      </c>
      <c r="I85"/>
      <c r="J85"/>
      <c r="L85" s="1" t="b">
        <v>0</v>
      </c>
      <c r="M85" s="1">
        <v>0</v>
      </c>
      <c r="N85" s="1" t="s">
        <v>657</v>
      </c>
      <c r="O85" s="1">
        <v>84</v>
      </c>
      <c r="P85" s="12" t="str">
        <f t="shared" si="6"/>
        <v>DT/VT Graphs</v>
      </c>
      <c r="Q85" s="1">
        <v>4277</v>
      </c>
      <c r="R85" s="1" t="str">
        <f t="shared" si="5"/>
        <v>2002_08</v>
      </c>
      <c r="T85" s="1"/>
      <c r="W85" s="1">
        <v>1</v>
      </c>
    </row>
    <row r="86" spans="1:75" x14ac:dyDescent="0.2">
      <c r="A86" t="str">
        <f t="shared" si="7"/>
        <v>2002_08_040</v>
      </c>
      <c r="B86" s="1">
        <v>2002</v>
      </c>
      <c r="C86" s="1">
        <v>8</v>
      </c>
      <c r="D86" s="1">
        <v>40</v>
      </c>
      <c r="E86" t="s">
        <v>2</v>
      </c>
      <c r="F86" t="s">
        <v>3</v>
      </c>
      <c r="G86" s="1">
        <v>2</v>
      </c>
      <c r="H86" s="11" t="str">
        <f t="shared" si="4"/>
        <v>2002_08_040.gif</v>
      </c>
      <c r="I86"/>
      <c r="J86"/>
      <c r="L86" s="1" t="b">
        <v>0</v>
      </c>
      <c r="M86" s="1">
        <v>0</v>
      </c>
      <c r="N86" s="1" t="s">
        <v>657</v>
      </c>
      <c r="O86" s="1">
        <v>85</v>
      </c>
      <c r="P86" s="12" t="str">
        <f t="shared" si="6"/>
        <v>Basic Motion Concepts,Vector Components</v>
      </c>
      <c r="Q86" s="1">
        <v>4278</v>
      </c>
      <c r="R86" s="1" t="str">
        <f t="shared" si="5"/>
        <v>2002_08</v>
      </c>
      <c r="T86" s="1"/>
      <c r="Z86" s="1">
        <v>1</v>
      </c>
      <c r="AE86" s="1">
        <v>1</v>
      </c>
    </row>
    <row r="87" spans="1:75" x14ac:dyDescent="0.2">
      <c r="A87" t="str">
        <f t="shared" si="7"/>
        <v>2002_08_041</v>
      </c>
      <c r="B87" s="1">
        <v>2002</v>
      </c>
      <c r="C87" s="1">
        <v>8</v>
      </c>
      <c r="D87" s="1">
        <v>41</v>
      </c>
      <c r="E87" t="s">
        <v>11</v>
      </c>
      <c r="G87" s="1">
        <v>1</v>
      </c>
      <c r="H87" s="11" t="str">
        <f t="shared" si="4"/>
        <v>2002_08_041.gif</v>
      </c>
      <c r="I87"/>
      <c r="J87"/>
      <c r="L87" s="1" t="b">
        <v>0</v>
      </c>
      <c r="M87" s="1">
        <v>0</v>
      </c>
      <c r="N87" s="1" t="s">
        <v>657</v>
      </c>
      <c r="O87" s="1">
        <v>86</v>
      </c>
      <c r="P87" s="12" t="str">
        <f t="shared" si="6"/>
        <v>Electrical Meters</v>
      </c>
      <c r="Q87" s="1">
        <v>4279</v>
      </c>
      <c r="R87" s="1" t="str">
        <f t="shared" si="5"/>
        <v>2002_08</v>
      </c>
      <c r="T87" s="1"/>
      <c r="BT87" s="1">
        <v>1</v>
      </c>
    </row>
    <row r="88" spans="1:75" x14ac:dyDescent="0.2">
      <c r="A88" t="str">
        <f t="shared" si="7"/>
        <v>2002_08_042</v>
      </c>
      <c r="B88" s="1">
        <v>2002</v>
      </c>
      <c r="C88" s="1">
        <v>8</v>
      </c>
      <c r="D88" s="1">
        <v>42</v>
      </c>
      <c r="E88" t="s">
        <v>9</v>
      </c>
      <c r="G88" s="1">
        <v>2</v>
      </c>
      <c r="H88" s="11" t="str">
        <f t="shared" si="4"/>
        <v>2002_08_042.gif</v>
      </c>
      <c r="I88"/>
      <c r="J88"/>
      <c r="L88" s="1" t="b">
        <v>0</v>
      </c>
      <c r="M88" s="1">
        <v>0</v>
      </c>
      <c r="N88" s="1" t="s">
        <v>657</v>
      </c>
      <c r="O88" s="1">
        <v>87</v>
      </c>
      <c r="P88" s="12" t="str">
        <f t="shared" si="6"/>
        <v>Refraction and Snell's Law</v>
      </c>
      <c r="Q88" s="1">
        <v>4280</v>
      </c>
      <c r="R88" s="1" t="str">
        <f t="shared" si="5"/>
        <v>2002_08</v>
      </c>
      <c r="T88" s="1"/>
      <c r="BJ88" s="1">
        <v>1</v>
      </c>
    </row>
    <row r="89" spans="1:75" x14ac:dyDescent="0.2">
      <c r="A89" t="str">
        <f t="shared" si="7"/>
        <v>2002_08_043</v>
      </c>
      <c r="B89" s="1">
        <v>2002</v>
      </c>
      <c r="C89" s="1">
        <v>8</v>
      </c>
      <c r="D89" s="1">
        <v>43</v>
      </c>
      <c r="E89" t="s">
        <v>11</v>
      </c>
      <c r="G89" s="1">
        <v>4</v>
      </c>
      <c r="H89" s="11" t="str">
        <f t="shared" si="4"/>
        <v>2002_08_043.gif</v>
      </c>
      <c r="I89"/>
      <c r="J89"/>
      <c r="L89" s="1" t="b">
        <v>0</v>
      </c>
      <c r="M89" s="1">
        <v>0</v>
      </c>
      <c r="N89" s="1" t="s">
        <v>657</v>
      </c>
      <c r="O89" s="1">
        <v>88</v>
      </c>
      <c r="P89" s="12" t="str">
        <f t="shared" si="6"/>
        <v>Electrical Power</v>
      </c>
      <c r="Q89" s="1">
        <v>4281</v>
      </c>
      <c r="R89" s="1" t="str">
        <f t="shared" si="5"/>
        <v>2002_08</v>
      </c>
      <c r="T89" s="1"/>
      <c r="BP89" s="1">
        <v>1</v>
      </c>
    </row>
    <row r="90" spans="1:75" x14ac:dyDescent="0.2">
      <c r="A90" t="str">
        <f t="shared" si="7"/>
        <v>2002_08_044</v>
      </c>
      <c r="B90" s="1">
        <v>2002</v>
      </c>
      <c r="C90" s="1">
        <v>8</v>
      </c>
      <c r="D90" s="1">
        <v>44</v>
      </c>
      <c r="E90" t="s">
        <v>13</v>
      </c>
      <c r="G90" s="1">
        <v>2</v>
      </c>
      <c r="H90" s="11" t="str">
        <f t="shared" si="4"/>
        <v>2002_08_044.gif</v>
      </c>
      <c r="I90"/>
      <c r="J90"/>
      <c r="L90" s="1" t="b">
        <v>0</v>
      </c>
      <c r="M90" s="1">
        <v>0</v>
      </c>
      <c r="N90" s="1" t="s">
        <v>657</v>
      </c>
      <c r="O90" s="1">
        <v>89</v>
      </c>
      <c r="P90" s="12" t="str">
        <f t="shared" si="6"/>
        <v>Particle Physics</v>
      </c>
      <c r="Q90" s="1">
        <v>4282</v>
      </c>
      <c r="R90" s="1" t="str">
        <f t="shared" si="5"/>
        <v>2002_08</v>
      </c>
      <c r="T90" s="1"/>
      <c r="BW90" s="1">
        <v>1</v>
      </c>
    </row>
    <row r="91" spans="1:75" x14ac:dyDescent="0.2">
      <c r="A91" t="str">
        <f t="shared" si="7"/>
        <v>2002_08_045</v>
      </c>
      <c r="B91" s="1">
        <v>2002</v>
      </c>
      <c r="C91" s="1">
        <v>8</v>
      </c>
      <c r="D91" s="1">
        <v>45</v>
      </c>
      <c r="E91" t="s">
        <v>11</v>
      </c>
      <c r="G91" s="1">
        <v>1</v>
      </c>
      <c r="H91" s="11" t="str">
        <f t="shared" si="4"/>
        <v>2002_08_045.gif</v>
      </c>
      <c r="I91"/>
      <c r="J91"/>
      <c r="L91" s="1" t="b">
        <v>0</v>
      </c>
      <c r="M91" s="1">
        <v>0</v>
      </c>
      <c r="N91" s="1" t="s">
        <v>657</v>
      </c>
      <c r="O91" s="1">
        <v>90</v>
      </c>
      <c r="P91" s="12" t="str">
        <f t="shared" si="6"/>
        <v>Resistance of Wire</v>
      </c>
      <c r="Q91" s="1">
        <v>4283</v>
      </c>
      <c r="R91" s="1" t="str">
        <f t="shared" si="5"/>
        <v>2002_08</v>
      </c>
      <c r="T91" s="1"/>
      <c r="BR91" s="1">
        <v>1</v>
      </c>
    </row>
    <row r="92" spans="1:75" x14ac:dyDescent="0.2">
      <c r="A92" t="str">
        <f t="shared" si="7"/>
        <v>2002_08_046</v>
      </c>
      <c r="B92" s="1">
        <v>2002</v>
      </c>
      <c r="C92" s="1">
        <v>8</v>
      </c>
      <c r="D92" s="1">
        <v>46</v>
      </c>
      <c r="E92" t="s">
        <v>11</v>
      </c>
      <c r="G92" s="1">
        <v>4</v>
      </c>
      <c r="H92" s="11" t="str">
        <f t="shared" si="4"/>
        <v>2002_08_046.gif</v>
      </c>
      <c r="I92"/>
      <c r="J92"/>
      <c r="L92" s="1" t="b">
        <v>0</v>
      </c>
      <c r="M92" s="1">
        <v>0</v>
      </c>
      <c r="N92" s="1" t="s">
        <v>657</v>
      </c>
      <c r="O92" s="1">
        <v>91</v>
      </c>
      <c r="P92" s="12" t="str">
        <f t="shared" si="6"/>
        <v>Resistance of Wire</v>
      </c>
      <c r="Q92" s="1">
        <v>4284</v>
      </c>
      <c r="R92" s="1" t="str">
        <f t="shared" si="5"/>
        <v>2002_08</v>
      </c>
      <c r="T92" s="1"/>
      <c r="BR92" s="1">
        <v>1</v>
      </c>
    </row>
    <row r="93" spans="1:75" x14ac:dyDescent="0.2">
      <c r="A93" t="str">
        <f t="shared" si="7"/>
        <v>2002_08_047</v>
      </c>
      <c r="B93" s="1">
        <v>2002</v>
      </c>
      <c r="C93" s="1">
        <v>8</v>
      </c>
      <c r="D93" s="1">
        <v>47</v>
      </c>
      <c r="E93" t="s">
        <v>13</v>
      </c>
      <c r="G93" s="1">
        <v>1</v>
      </c>
      <c r="H93" s="11" t="str">
        <f t="shared" si="4"/>
        <v>2002_08_047.gif</v>
      </c>
      <c r="I93"/>
      <c r="J93"/>
      <c r="L93" s="1" t="b">
        <v>0</v>
      </c>
      <c r="M93" s="1">
        <v>0</v>
      </c>
      <c r="N93" s="1" t="s">
        <v>657</v>
      </c>
      <c r="O93" s="1">
        <v>92</v>
      </c>
      <c r="P93" s="12" t="str">
        <f t="shared" si="6"/>
        <v>Energy/Mass Equivalency</v>
      </c>
      <c r="Q93" s="1">
        <v>4285</v>
      </c>
      <c r="R93" s="1" t="str">
        <f t="shared" si="5"/>
        <v>2002_08</v>
      </c>
      <c r="T93" s="1"/>
      <c r="BV93" s="1">
        <v>1</v>
      </c>
    </row>
    <row r="94" spans="1:75" x14ac:dyDescent="0.2">
      <c r="A94" t="s">
        <v>82</v>
      </c>
      <c r="B94" s="1">
        <v>2003</v>
      </c>
      <c r="C94" s="1">
        <v>1</v>
      </c>
      <c r="D94" s="1">
        <v>1</v>
      </c>
      <c r="E94" t="s">
        <v>3</v>
      </c>
      <c r="G94" s="1">
        <v>3</v>
      </c>
      <c r="H94" s="11" t="str">
        <f t="shared" si="4"/>
        <v>2003_01_001.gif</v>
      </c>
      <c r="I94"/>
      <c r="J94"/>
      <c r="L94" s="1" t="b">
        <v>0</v>
      </c>
      <c r="M94" s="1">
        <v>0</v>
      </c>
      <c r="N94" s="1" t="s">
        <v>601</v>
      </c>
      <c r="O94" s="1">
        <v>93</v>
      </c>
      <c r="P94" s="12" t="str">
        <f t="shared" si="6"/>
        <v>Vector vs. Scalar</v>
      </c>
      <c r="Q94" s="1">
        <v>4306</v>
      </c>
      <c r="R94" s="1" t="str">
        <f t="shared" si="5"/>
        <v>2003_01</v>
      </c>
      <c r="T94" s="1"/>
      <c r="AF94" s="1">
        <v>1</v>
      </c>
    </row>
    <row r="95" spans="1:75" x14ac:dyDescent="0.2">
      <c r="A95" t="s">
        <v>83</v>
      </c>
      <c r="B95" s="1">
        <v>2003</v>
      </c>
      <c r="C95" s="1">
        <v>1</v>
      </c>
      <c r="D95" s="1">
        <v>2</v>
      </c>
      <c r="E95" t="s">
        <v>2</v>
      </c>
      <c r="F95" t="s">
        <v>3</v>
      </c>
      <c r="G95" s="1">
        <v>1</v>
      </c>
      <c r="H95" s="11" t="str">
        <f t="shared" si="4"/>
        <v>2003_01_002.gif</v>
      </c>
      <c r="I95"/>
      <c r="J95"/>
      <c r="L95" s="1" t="b">
        <v>0</v>
      </c>
      <c r="M95" s="1">
        <v>0</v>
      </c>
      <c r="N95" s="1" t="s">
        <v>601</v>
      </c>
      <c r="O95" s="1">
        <v>94</v>
      </c>
      <c r="P95" s="12" t="str">
        <f t="shared" si="6"/>
        <v>Basic Motion Concepts,Vector vs. Scalar</v>
      </c>
      <c r="Q95" s="1">
        <v>4307</v>
      </c>
      <c r="R95" s="1" t="str">
        <f t="shared" si="5"/>
        <v>2003_01</v>
      </c>
      <c r="T95" s="1"/>
      <c r="Z95" s="1">
        <v>1</v>
      </c>
      <c r="AF95" s="1">
        <v>1</v>
      </c>
    </row>
    <row r="96" spans="1:75" x14ac:dyDescent="0.2">
      <c r="A96" t="s">
        <v>84</v>
      </c>
      <c r="B96" s="1">
        <v>2003</v>
      </c>
      <c r="C96" s="1">
        <v>1</v>
      </c>
      <c r="D96" s="1">
        <v>3</v>
      </c>
      <c r="E96" t="s">
        <v>2</v>
      </c>
      <c r="G96" s="1">
        <v>3</v>
      </c>
      <c r="H96" s="11" t="str">
        <f t="shared" si="4"/>
        <v>2003_01_003.gif</v>
      </c>
      <c r="I96"/>
      <c r="J96"/>
      <c r="L96" s="1" t="b">
        <v>0</v>
      </c>
      <c r="M96" s="1">
        <v>0</v>
      </c>
      <c r="N96" s="1" t="s">
        <v>601</v>
      </c>
      <c r="O96" s="1">
        <v>95</v>
      </c>
      <c r="P96" s="12" t="str">
        <f t="shared" si="6"/>
        <v>Vertical Constant Acceleration Problems</v>
      </c>
      <c r="Q96" s="1">
        <v>4308</v>
      </c>
      <c r="R96" s="1" t="str">
        <f t="shared" si="5"/>
        <v>2003_01</v>
      </c>
      <c r="T96" s="1"/>
      <c r="AC96" s="1">
        <v>1</v>
      </c>
    </row>
    <row r="97" spans="1:77" x14ac:dyDescent="0.2">
      <c r="A97" t="s">
        <v>85</v>
      </c>
      <c r="B97" s="1">
        <v>2003</v>
      </c>
      <c r="C97" s="1">
        <v>1</v>
      </c>
      <c r="D97" s="1">
        <v>4</v>
      </c>
      <c r="E97" t="s">
        <v>5</v>
      </c>
      <c r="G97" s="1">
        <v>4</v>
      </c>
      <c r="H97" s="11" t="str">
        <f t="shared" si="4"/>
        <v>2003_01_004.gif</v>
      </c>
      <c r="I97"/>
      <c r="J97"/>
      <c r="L97" s="1" t="b">
        <v>0</v>
      </c>
      <c r="M97" s="1">
        <v>0</v>
      </c>
      <c r="N97" s="1" t="s">
        <v>601</v>
      </c>
      <c r="O97" s="1">
        <v>96</v>
      </c>
      <c r="P97" s="12" t="str">
        <f t="shared" si="6"/>
        <v>Newton's 1st Law (Inertia),Newton's 2nd Law (F=MA)</v>
      </c>
      <c r="Q97" s="1">
        <v>4309</v>
      </c>
      <c r="R97" s="1" t="str">
        <f t="shared" si="5"/>
        <v>2003_01</v>
      </c>
      <c r="T97" s="1"/>
      <c r="AR97" s="1">
        <v>1</v>
      </c>
      <c r="AS97" s="1">
        <v>1</v>
      </c>
    </row>
    <row r="98" spans="1:77" x14ac:dyDescent="0.2">
      <c r="A98" t="s">
        <v>86</v>
      </c>
      <c r="B98" s="1">
        <v>2003</v>
      </c>
      <c r="C98" s="1">
        <v>1</v>
      </c>
      <c r="D98" s="1">
        <v>5</v>
      </c>
      <c r="E98" t="s">
        <v>5</v>
      </c>
      <c r="G98" s="1">
        <v>2</v>
      </c>
      <c r="H98" s="11" t="str">
        <f t="shared" si="4"/>
        <v>2003_01_005.gif</v>
      </c>
      <c r="I98"/>
      <c r="J98"/>
      <c r="L98" s="1" t="b">
        <v>0</v>
      </c>
      <c r="M98" s="1">
        <v>0</v>
      </c>
      <c r="N98" s="1" t="s">
        <v>601</v>
      </c>
      <c r="O98" s="1">
        <v>97</v>
      </c>
      <c r="P98" s="12" t="str">
        <f t="shared" si="6"/>
        <v>Newton's 2nd Law (F=MA)</v>
      </c>
      <c r="Q98" s="1">
        <v>4310</v>
      </c>
      <c r="R98" s="1" t="str">
        <f t="shared" si="5"/>
        <v>2003_01</v>
      </c>
      <c r="T98" s="1"/>
      <c r="AS98" s="1">
        <v>1</v>
      </c>
    </row>
    <row r="99" spans="1:77" x14ac:dyDescent="0.2">
      <c r="A99" t="s">
        <v>87</v>
      </c>
      <c r="B99" s="1">
        <v>2003</v>
      </c>
      <c r="C99" s="1">
        <v>1</v>
      </c>
      <c r="D99" s="1">
        <v>6</v>
      </c>
      <c r="E99" t="s">
        <v>5</v>
      </c>
      <c r="F99" t="s">
        <v>548</v>
      </c>
      <c r="G99" s="1">
        <v>1</v>
      </c>
      <c r="H99" s="11" t="str">
        <f t="shared" si="4"/>
        <v>2003_01_006.gif</v>
      </c>
      <c r="I99"/>
      <c r="J99"/>
      <c r="L99" s="1" t="b">
        <v>0</v>
      </c>
      <c r="M99" s="1">
        <v>0</v>
      </c>
      <c r="N99" s="1" t="s">
        <v>601</v>
      </c>
      <c r="O99" s="1">
        <v>98</v>
      </c>
      <c r="P99" s="12" t="str">
        <f t="shared" si="6"/>
        <v>Newton's 2nd Law (F=MA),Graph Interpretation</v>
      </c>
      <c r="Q99" s="1">
        <v>4311</v>
      </c>
      <c r="R99" s="1" t="str">
        <f t="shared" si="5"/>
        <v>2003_01</v>
      </c>
      <c r="T99" s="1"/>
      <c r="AS99" s="1">
        <v>1</v>
      </c>
      <c r="BX99" s="1">
        <v>1</v>
      </c>
    </row>
    <row r="100" spans="1:77" x14ac:dyDescent="0.2">
      <c r="A100" t="s">
        <v>88</v>
      </c>
      <c r="B100" s="1">
        <v>2003</v>
      </c>
      <c r="C100" s="1">
        <v>1</v>
      </c>
      <c r="D100" s="1">
        <v>7</v>
      </c>
      <c r="E100" t="s">
        <v>6</v>
      </c>
      <c r="G100" s="1">
        <v>4</v>
      </c>
      <c r="H100" s="11" t="str">
        <f t="shared" si="4"/>
        <v>2003_01_007.gif</v>
      </c>
      <c r="I100"/>
      <c r="J100"/>
      <c r="L100" s="1" t="b">
        <v>0</v>
      </c>
      <c r="M100" s="1">
        <v>0</v>
      </c>
      <c r="N100" s="1" t="s">
        <v>601</v>
      </c>
      <c r="O100" s="1">
        <v>99</v>
      </c>
      <c r="P100" s="12" t="str">
        <f t="shared" si="6"/>
        <v>Impulse</v>
      </c>
      <c r="Q100" s="1">
        <v>4312</v>
      </c>
      <c r="R100" s="1" t="str">
        <f t="shared" si="5"/>
        <v>2003_01</v>
      </c>
      <c r="T100" s="1"/>
      <c r="AV100" s="1">
        <v>1</v>
      </c>
    </row>
    <row r="101" spans="1:77" x14ac:dyDescent="0.2">
      <c r="A101" t="s">
        <v>89</v>
      </c>
      <c r="B101" s="1">
        <v>2003</v>
      </c>
      <c r="C101" s="1">
        <v>1</v>
      </c>
      <c r="D101" s="1">
        <v>8</v>
      </c>
      <c r="E101" t="s">
        <v>5</v>
      </c>
      <c r="G101" s="1">
        <v>2</v>
      </c>
      <c r="H101" s="11" t="str">
        <f t="shared" si="4"/>
        <v>2003_01_008.gif</v>
      </c>
      <c r="I101"/>
      <c r="J101"/>
      <c r="L101" s="1" t="b">
        <v>0</v>
      </c>
      <c r="M101" s="1">
        <v>0</v>
      </c>
      <c r="N101" s="1" t="s">
        <v>601</v>
      </c>
      <c r="O101" s="1">
        <v>100</v>
      </c>
      <c r="P101" s="12" t="str">
        <f t="shared" si="6"/>
        <v>Hooke's Law</v>
      </c>
      <c r="Q101" s="1">
        <v>4313</v>
      </c>
      <c r="R101" s="1" t="str">
        <f t="shared" si="5"/>
        <v>2003_01</v>
      </c>
      <c r="T101" s="1"/>
      <c r="AP101" s="1">
        <v>1</v>
      </c>
    </row>
    <row r="102" spans="1:77" x14ac:dyDescent="0.2">
      <c r="A102" t="s">
        <v>90</v>
      </c>
      <c r="B102" s="1">
        <v>2003</v>
      </c>
      <c r="C102" s="1">
        <v>1</v>
      </c>
      <c r="D102" s="1">
        <v>9</v>
      </c>
      <c r="E102" t="s">
        <v>4</v>
      </c>
      <c r="G102" s="1">
        <v>2</v>
      </c>
      <c r="H102" s="11" t="str">
        <f t="shared" si="4"/>
        <v>2003_01_009.gif</v>
      </c>
      <c r="I102"/>
      <c r="J102"/>
      <c r="L102" s="1" t="b">
        <v>0</v>
      </c>
      <c r="M102" s="1">
        <v>0</v>
      </c>
      <c r="N102" s="1" t="s">
        <v>601</v>
      </c>
      <c r="O102" s="1">
        <v>101</v>
      </c>
      <c r="P102" s="12" t="str">
        <f t="shared" si="6"/>
        <v>Centripetal Motion - Calculation</v>
      </c>
      <c r="Q102" s="1">
        <v>4314</v>
      </c>
      <c r="R102" s="1" t="str">
        <f t="shared" si="5"/>
        <v>2003_01</v>
      </c>
      <c r="T102" s="1"/>
      <c r="AM102" s="1">
        <v>1</v>
      </c>
    </row>
    <row r="103" spans="1:77" x14ac:dyDescent="0.2">
      <c r="A103" t="s">
        <v>91</v>
      </c>
      <c r="B103" s="1">
        <v>2003</v>
      </c>
      <c r="C103" s="1">
        <v>1</v>
      </c>
      <c r="D103" s="1">
        <v>10</v>
      </c>
      <c r="E103" t="s">
        <v>4</v>
      </c>
      <c r="G103" s="1">
        <v>1</v>
      </c>
      <c r="H103" s="11" t="str">
        <f t="shared" si="4"/>
        <v>2003_01_010.gif</v>
      </c>
      <c r="I103"/>
      <c r="J103"/>
      <c r="L103" s="1" t="b">
        <v>0</v>
      </c>
      <c r="M103" s="1">
        <v>0</v>
      </c>
      <c r="N103" s="1" t="s">
        <v>601</v>
      </c>
      <c r="O103" s="1">
        <v>102</v>
      </c>
      <c r="P103" s="12" t="str">
        <f t="shared" si="6"/>
        <v>Centripetal Motion - Direction F,A,V</v>
      </c>
      <c r="Q103" s="1">
        <v>4315</v>
      </c>
      <c r="R103" s="1" t="str">
        <f t="shared" si="5"/>
        <v>2003_01</v>
      </c>
      <c r="T103" s="1"/>
      <c r="AL103" s="1">
        <v>1</v>
      </c>
    </row>
    <row r="104" spans="1:77" x14ac:dyDescent="0.2">
      <c r="A104" t="s">
        <v>92</v>
      </c>
      <c r="B104" s="1">
        <v>2003</v>
      </c>
      <c r="C104" s="1">
        <v>1</v>
      </c>
      <c r="D104" s="1">
        <v>11</v>
      </c>
      <c r="E104" t="s">
        <v>3</v>
      </c>
      <c r="F104" t="s">
        <v>5</v>
      </c>
      <c r="G104" s="1">
        <v>3</v>
      </c>
      <c r="H104" s="11" t="str">
        <f t="shared" si="4"/>
        <v>2003_01_011.gif</v>
      </c>
      <c r="I104"/>
      <c r="J104"/>
      <c r="L104" s="1" t="b">
        <v>0</v>
      </c>
      <c r="M104" s="1">
        <v>0</v>
      </c>
      <c r="N104" s="1" t="s">
        <v>601</v>
      </c>
      <c r="O104" s="1">
        <v>103</v>
      </c>
      <c r="P104" s="12" t="str">
        <f t="shared" si="6"/>
        <v>Vector Components,Friction</v>
      </c>
      <c r="Q104" s="1">
        <v>4316</v>
      </c>
      <c r="R104" s="1" t="str">
        <f t="shared" si="5"/>
        <v>2003_01</v>
      </c>
      <c r="T104" s="1"/>
      <c r="AE104" s="1">
        <v>1</v>
      </c>
      <c r="AN104" s="1">
        <v>1</v>
      </c>
    </row>
    <row r="105" spans="1:77" x14ac:dyDescent="0.2">
      <c r="A105" t="s">
        <v>93</v>
      </c>
      <c r="B105" s="1">
        <v>2003</v>
      </c>
      <c r="C105" s="1">
        <v>1</v>
      </c>
      <c r="D105" s="1">
        <v>12</v>
      </c>
      <c r="E105" t="s">
        <v>5</v>
      </c>
      <c r="G105" s="1">
        <v>2</v>
      </c>
      <c r="H105" s="11" t="str">
        <f t="shared" si="4"/>
        <v>2003_01_012.gif</v>
      </c>
      <c r="I105"/>
      <c r="J105"/>
      <c r="L105" s="1" t="b">
        <v>0</v>
      </c>
      <c r="M105" s="1">
        <v>0</v>
      </c>
      <c r="N105" s="1" t="s">
        <v>601</v>
      </c>
      <c r="O105" s="1">
        <v>104</v>
      </c>
      <c r="P105" s="12" t="str">
        <f t="shared" si="6"/>
        <v>Friction</v>
      </c>
      <c r="Q105" s="1">
        <v>4317</v>
      </c>
      <c r="R105" s="1" t="str">
        <f t="shared" si="5"/>
        <v>2003_01</v>
      </c>
      <c r="T105" s="1"/>
      <c r="AN105" s="1">
        <v>1</v>
      </c>
    </row>
    <row r="106" spans="1:77" x14ac:dyDescent="0.2">
      <c r="A106" t="s">
        <v>94</v>
      </c>
      <c r="B106" s="1">
        <v>2003</v>
      </c>
      <c r="C106" s="1">
        <v>1</v>
      </c>
      <c r="D106" s="1">
        <v>13</v>
      </c>
      <c r="E106" t="s">
        <v>6</v>
      </c>
      <c r="G106" s="1">
        <v>3</v>
      </c>
      <c r="H106" s="11" t="str">
        <f t="shared" si="4"/>
        <v>2003_01_013.gif</v>
      </c>
      <c r="I106"/>
      <c r="J106"/>
      <c r="L106" s="1" t="b">
        <v>0</v>
      </c>
      <c r="M106" s="1">
        <v>0</v>
      </c>
      <c r="N106" s="1" t="s">
        <v>601</v>
      </c>
      <c r="O106" s="1">
        <v>105</v>
      </c>
      <c r="P106" s="12" t="str">
        <f t="shared" si="6"/>
        <v>Conservation of Momentum</v>
      </c>
      <c r="Q106" s="1">
        <v>4318</v>
      </c>
      <c r="R106" s="1" t="str">
        <f t="shared" si="5"/>
        <v>2003_01</v>
      </c>
      <c r="T106" s="1"/>
      <c r="AU106" s="1">
        <v>1</v>
      </c>
    </row>
    <row r="107" spans="1:77" x14ac:dyDescent="0.2">
      <c r="A107" t="s">
        <v>95</v>
      </c>
      <c r="B107" s="1">
        <v>2003</v>
      </c>
      <c r="C107" s="1">
        <v>1</v>
      </c>
      <c r="D107" s="1">
        <v>14</v>
      </c>
      <c r="E107" t="s">
        <v>5</v>
      </c>
      <c r="F107" t="s">
        <v>548</v>
      </c>
      <c r="G107" s="1">
        <v>1</v>
      </c>
      <c r="H107" s="11" t="str">
        <f t="shared" si="4"/>
        <v>2003_01_014.gif</v>
      </c>
      <c r="I107"/>
      <c r="J107"/>
      <c r="L107" s="1" t="b">
        <v>0</v>
      </c>
      <c r="M107" s="1">
        <v>0</v>
      </c>
      <c r="N107" s="1" t="s">
        <v>601</v>
      </c>
      <c r="O107" s="1">
        <v>106</v>
      </c>
      <c r="P107" s="12" t="str">
        <f t="shared" si="6"/>
        <v>Law of Gravity,Mathematical Relationships (Numberless Problems)</v>
      </c>
      <c r="Q107" s="1">
        <v>4319</v>
      </c>
      <c r="R107" s="1" t="str">
        <f t="shared" si="5"/>
        <v>2003_01</v>
      </c>
      <c r="T107" s="1"/>
      <c r="AQ107" s="1">
        <v>1</v>
      </c>
      <c r="BY107" s="1">
        <v>1</v>
      </c>
    </row>
    <row r="108" spans="1:77" x14ac:dyDescent="0.2">
      <c r="A108" t="s">
        <v>96</v>
      </c>
      <c r="B108" s="1">
        <v>2003</v>
      </c>
      <c r="C108" s="1">
        <v>1</v>
      </c>
      <c r="D108" s="1">
        <v>15</v>
      </c>
      <c r="E108" t="s">
        <v>7</v>
      </c>
      <c r="G108" s="1">
        <v>3</v>
      </c>
      <c r="H108" s="11" t="str">
        <f t="shared" si="4"/>
        <v>2003_01_015.gif</v>
      </c>
      <c r="I108"/>
      <c r="J108"/>
      <c r="L108" s="1" t="b">
        <v>0</v>
      </c>
      <c r="M108" s="1">
        <v>0</v>
      </c>
      <c r="N108" s="1" t="s">
        <v>601</v>
      </c>
      <c r="O108" s="1">
        <v>107</v>
      </c>
      <c r="P108" s="12" t="str">
        <f t="shared" si="6"/>
        <v>Gravitational PE</v>
      </c>
      <c r="Q108" s="1">
        <v>4320</v>
      </c>
      <c r="R108" s="1" t="str">
        <f t="shared" si="5"/>
        <v>2003_01</v>
      </c>
      <c r="T108" s="1"/>
      <c r="AY108" s="1">
        <v>1</v>
      </c>
    </row>
    <row r="109" spans="1:77" x14ac:dyDescent="0.2">
      <c r="A109" t="s">
        <v>97</v>
      </c>
      <c r="B109" s="1">
        <v>2003</v>
      </c>
      <c r="C109" s="1">
        <v>1</v>
      </c>
      <c r="D109" s="1">
        <v>16</v>
      </c>
      <c r="E109" t="s">
        <v>7</v>
      </c>
      <c r="G109" s="1">
        <v>2</v>
      </c>
      <c r="H109" s="11" t="str">
        <f t="shared" si="4"/>
        <v>2003_01_016.gif</v>
      </c>
      <c r="I109"/>
      <c r="J109"/>
      <c r="L109" s="1" t="b">
        <v>0</v>
      </c>
      <c r="M109" s="1">
        <v>0</v>
      </c>
      <c r="N109" s="1" t="s">
        <v>601</v>
      </c>
      <c r="O109" s="1">
        <v>108</v>
      </c>
      <c r="P109" s="12" t="str">
        <f t="shared" si="6"/>
        <v>Conservation of Energy</v>
      </c>
      <c r="Q109" s="1">
        <v>4321</v>
      </c>
      <c r="R109" s="1" t="str">
        <f t="shared" si="5"/>
        <v>2003_01</v>
      </c>
      <c r="T109" s="1"/>
      <c r="AX109" s="1">
        <v>1</v>
      </c>
    </row>
    <row r="110" spans="1:77" x14ac:dyDescent="0.2">
      <c r="A110" t="s">
        <v>98</v>
      </c>
      <c r="B110" s="1">
        <v>2003</v>
      </c>
      <c r="C110" s="1">
        <v>1</v>
      </c>
      <c r="D110" s="1">
        <v>17</v>
      </c>
      <c r="E110" t="s">
        <v>10</v>
      </c>
      <c r="G110" s="1">
        <v>3</v>
      </c>
      <c r="H110" s="11" t="str">
        <f t="shared" si="4"/>
        <v>2003_01_017.gif</v>
      </c>
      <c r="I110"/>
      <c r="J110"/>
      <c r="L110" s="1" t="b">
        <v>0</v>
      </c>
      <c r="M110" s="1">
        <v>0</v>
      </c>
      <c r="N110" s="1" t="s">
        <v>601</v>
      </c>
      <c r="O110" s="1">
        <v>109</v>
      </c>
      <c r="P110" s="12" t="str">
        <f t="shared" si="6"/>
        <v>Electric Fields and Potential</v>
      </c>
      <c r="Q110" s="1">
        <v>4322</v>
      </c>
      <c r="R110" s="1" t="str">
        <f t="shared" si="5"/>
        <v>2003_01</v>
      </c>
      <c r="T110" s="1"/>
      <c r="BN110" s="1">
        <v>1</v>
      </c>
    </row>
    <row r="111" spans="1:77" x14ac:dyDescent="0.2">
      <c r="A111" t="s">
        <v>99</v>
      </c>
      <c r="B111" s="1">
        <v>2003</v>
      </c>
      <c r="C111" s="1">
        <v>1</v>
      </c>
      <c r="D111" s="1">
        <v>18</v>
      </c>
      <c r="E111" t="s">
        <v>7</v>
      </c>
      <c r="G111" s="1">
        <v>3</v>
      </c>
      <c r="H111" s="11" t="str">
        <f t="shared" si="4"/>
        <v>2003_01_018.gif</v>
      </c>
      <c r="I111"/>
      <c r="J111"/>
      <c r="L111" s="1" t="b">
        <v>0</v>
      </c>
      <c r="M111" s="1">
        <v>0</v>
      </c>
      <c r="N111" s="1" t="s">
        <v>601</v>
      </c>
      <c r="O111" s="1">
        <v>110</v>
      </c>
      <c r="P111" s="12" t="str">
        <f t="shared" si="6"/>
        <v>Work/Power</v>
      </c>
      <c r="Q111" s="1">
        <v>4323</v>
      </c>
      <c r="R111" s="1" t="str">
        <f t="shared" si="5"/>
        <v>2003_01</v>
      </c>
      <c r="T111" s="1"/>
      <c r="BB111" s="1">
        <v>1</v>
      </c>
    </row>
    <row r="112" spans="1:77" x14ac:dyDescent="0.2">
      <c r="A112" t="s">
        <v>100</v>
      </c>
      <c r="B112" s="1">
        <v>2003</v>
      </c>
      <c r="C112" s="1">
        <v>1</v>
      </c>
      <c r="D112" s="1">
        <v>19</v>
      </c>
      <c r="E112" t="s">
        <v>10</v>
      </c>
      <c r="G112" s="1">
        <v>4</v>
      </c>
      <c r="H112" s="11" t="str">
        <f t="shared" si="4"/>
        <v>2003_01_019.gif</v>
      </c>
      <c r="I112"/>
      <c r="J112"/>
      <c r="L112" s="1" t="b">
        <v>0</v>
      </c>
      <c r="M112" s="1">
        <v>0</v>
      </c>
      <c r="N112" s="1" t="s">
        <v>601</v>
      </c>
      <c r="O112" s="1">
        <v>111</v>
      </c>
      <c r="P112" s="12" t="str">
        <f t="shared" si="6"/>
        <v>Induction, Conduction, Polarization</v>
      </c>
      <c r="Q112" s="1">
        <v>4324</v>
      </c>
      <c r="R112" s="1" t="str">
        <f t="shared" si="5"/>
        <v>2003_01</v>
      </c>
      <c r="T112" s="1"/>
      <c r="BM112" s="1">
        <v>1</v>
      </c>
    </row>
    <row r="113" spans="1:77" x14ac:dyDescent="0.2">
      <c r="A113" t="s">
        <v>101</v>
      </c>
      <c r="B113" s="1">
        <v>2003</v>
      </c>
      <c r="C113" s="1">
        <v>1</v>
      </c>
      <c r="D113" s="1">
        <v>20</v>
      </c>
      <c r="E113" t="s">
        <v>10</v>
      </c>
      <c r="F113" t="s">
        <v>548</v>
      </c>
      <c r="G113" s="1">
        <v>1</v>
      </c>
      <c r="H113" s="11" t="str">
        <f t="shared" si="4"/>
        <v>2003_01_020.gif</v>
      </c>
      <c r="I113"/>
      <c r="J113"/>
      <c r="L113" s="1" t="b">
        <v>0</v>
      </c>
      <c r="M113" s="1">
        <v>0</v>
      </c>
      <c r="N113" s="1" t="s">
        <v>601</v>
      </c>
      <c r="O113" s="1">
        <v>112</v>
      </c>
      <c r="P113" s="12" t="str">
        <f t="shared" si="6"/>
        <v>Coulomb's Law,Graph Interpretation,Mathematical Relationships (Numberless Problems)</v>
      </c>
      <c r="Q113" s="1">
        <v>4325</v>
      </c>
      <c r="R113" s="1" t="str">
        <f t="shared" si="5"/>
        <v>2003_01</v>
      </c>
      <c r="T113" s="1"/>
      <c r="BL113" s="1">
        <v>1</v>
      </c>
      <c r="BX113" s="1">
        <v>1</v>
      </c>
      <c r="BY113" s="1">
        <v>1</v>
      </c>
    </row>
    <row r="114" spans="1:77" x14ac:dyDescent="0.2">
      <c r="A114" t="s">
        <v>102</v>
      </c>
      <c r="B114" s="1">
        <v>2003</v>
      </c>
      <c r="C114" s="1">
        <v>1</v>
      </c>
      <c r="D114" s="1">
        <v>21</v>
      </c>
      <c r="E114" t="s">
        <v>10</v>
      </c>
      <c r="G114" s="1">
        <v>1</v>
      </c>
      <c r="H114" s="11" t="str">
        <f t="shared" si="4"/>
        <v>2003_01_021.gif</v>
      </c>
      <c r="I114"/>
      <c r="J114"/>
      <c r="L114" s="1" t="b">
        <v>0</v>
      </c>
      <c r="M114" s="1">
        <v>0</v>
      </c>
      <c r="N114" s="1" t="s">
        <v>601</v>
      </c>
      <c r="O114" s="1">
        <v>113</v>
      </c>
      <c r="P114" s="12" t="str">
        <f t="shared" si="6"/>
        <v>Induction, Conduction, Polarization</v>
      </c>
      <c r="Q114" s="1">
        <v>4326</v>
      </c>
      <c r="R114" s="1" t="str">
        <f t="shared" si="5"/>
        <v>2003_01</v>
      </c>
      <c r="T114" s="1"/>
      <c r="BM114" s="1">
        <v>1</v>
      </c>
    </row>
    <row r="115" spans="1:77" x14ac:dyDescent="0.2">
      <c r="A115" t="s">
        <v>103</v>
      </c>
      <c r="B115" s="1">
        <v>2003</v>
      </c>
      <c r="C115" s="1">
        <v>1</v>
      </c>
      <c r="D115" s="1">
        <v>22</v>
      </c>
      <c r="E115" t="s">
        <v>11</v>
      </c>
      <c r="G115" s="1">
        <v>2</v>
      </c>
      <c r="H115" s="11" t="str">
        <f t="shared" si="4"/>
        <v>2003_01_022.gif</v>
      </c>
      <c r="I115"/>
      <c r="J115"/>
      <c r="L115" s="1" t="b">
        <v>0</v>
      </c>
      <c r="M115" s="1">
        <v>0</v>
      </c>
      <c r="N115" s="1" t="s">
        <v>601</v>
      </c>
      <c r="O115" s="1">
        <v>114</v>
      </c>
      <c r="P115" s="12" t="str">
        <f t="shared" si="6"/>
        <v>Electrical Definitions</v>
      </c>
      <c r="Q115" s="1">
        <v>4327</v>
      </c>
      <c r="R115" s="1" t="str">
        <f t="shared" si="5"/>
        <v>2003_01</v>
      </c>
      <c r="T115" s="1"/>
      <c r="BO115" s="1">
        <v>1</v>
      </c>
    </row>
    <row r="116" spans="1:77" x14ac:dyDescent="0.2">
      <c r="A116" t="s">
        <v>104</v>
      </c>
      <c r="B116" s="1">
        <v>2003</v>
      </c>
      <c r="C116" s="1">
        <v>1</v>
      </c>
      <c r="D116" s="1">
        <v>23</v>
      </c>
      <c r="E116" t="s">
        <v>10</v>
      </c>
      <c r="G116" s="1">
        <v>4</v>
      </c>
      <c r="H116" s="11" t="str">
        <f t="shared" si="4"/>
        <v>2003_01_023.gif</v>
      </c>
      <c r="I116"/>
      <c r="J116"/>
      <c r="L116" s="1" t="b">
        <v>0</v>
      </c>
      <c r="M116" s="1">
        <v>0</v>
      </c>
      <c r="N116" s="1" t="s">
        <v>601</v>
      </c>
      <c r="O116" s="1">
        <v>115</v>
      </c>
      <c r="P116" s="12" t="str">
        <f t="shared" si="6"/>
        <v>Electric Fields and Potential</v>
      </c>
      <c r="Q116" s="1">
        <v>4328</v>
      </c>
      <c r="R116" s="1" t="str">
        <f t="shared" si="5"/>
        <v>2003_01</v>
      </c>
      <c r="T116" s="1"/>
      <c r="BN116" s="1">
        <v>1</v>
      </c>
    </row>
    <row r="117" spans="1:77" x14ac:dyDescent="0.2">
      <c r="A117" t="s">
        <v>105</v>
      </c>
      <c r="B117" s="1">
        <v>2003</v>
      </c>
      <c r="C117" s="1">
        <v>1</v>
      </c>
      <c r="D117" s="1">
        <v>24</v>
      </c>
      <c r="E117" t="s">
        <v>8</v>
      </c>
      <c r="G117" s="1">
        <v>1</v>
      </c>
      <c r="H117" s="11" t="str">
        <f t="shared" si="4"/>
        <v>2003_01_024.gif</v>
      </c>
      <c r="I117"/>
      <c r="J117"/>
      <c r="L117" s="1" t="b">
        <v>0</v>
      </c>
      <c r="M117" s="1">
        <v>0</v>
      </c>
      <c r="N117" s="1" t="s">
        <v>601</v>
      </c>
      <c r="O117" s="1">
        <v>116</v>
      </c>
      <c r="P117" s="12" t="str">
        <f t="shared" si="6"/>
        <v>Wave Vocabulary</v>
      </c>
      <c r="Q117" s="1">
        <v>4329</v>
      </c>
      <c r="R117" s="1" t="str">
        <f t="shared" si="5"/>
        <v>2003_01</v>
      </c>
      <c r="T117" s="1"/>
      <c r="BF117" s="1">
        <v>1</v>
      </c>
    </row>
    <row r="118" spans="1:77" x14ac:dyDescent="0.2">
      <c r="A118" t="s">
        <v>106</v>
      </c>
      <c r="B118" s="1">
        <v>2003</v>
      </c>
      <c r="C118" s="1">
        <v>1</v>
      </c>
      <c r="D118" s="1">
        <v>25</v>
      </c>
      <c r="E118" t="s">
        <v>11</v>
      </c>
      <c r="F118" t="s">
        <v>548</v>
      </c>
      <c r="G118" s="1">
        <v>2</v>
      </c>
      <c r="H118" s="11" t="str">
        <f t="shared" si="4"/>
        <v>2003_01_025.gif</v>
      </c>
      <c r="I118"/>
      <c r="J118"/>
      <c r="L118" s="1" t="b">
        <v>0</v>
      </c>
      <c r="M118" s="1">
        <v>0</v>
      </c>
      <c r="N118" s="1" t="s">
        <v>601</v>
      </c>
      <c r="O118" s="1">
        <v>117</v>
      </c>
      <c r="P118" s="12" t="str">
        <f t="shared" si="6"/>
        <v>Electrical Power,Mathematical Relationships (Numberless Problems)</v>
      </c>
      <c r="Q118" s="1">
        <v>4330</v>
      </c>
      <c r="R118" s="1" t="str">
        <f t="shared" si="5"/>
        <v>2003_01</v>
      </c>
      <c r="T118" s="1"/>
      <c r="BP118" s="1">
        <v>1</v>
      </c>
      <c r="BY118" s="1">
        <v>1</v>
      </c>
    </row>
    <row r="119" spans="1:77" x14ac:dyDescent="0.2">
      <c r="A119" t="s">
        <v>107</v>
      </c>
      <c r="B119" s="1">
        <v>2003</v>
      </c>
      <c r="C119" s="1">
        <v>1</v>
      </c>
      <c r="D119" s="1">
        <v>26</v>
      </c>
      <c r="E119" t="s">
        <v>11</v>
      </c>
      <c r="G119" s="1">
        <v>4</v>
      </c>
      <c r="H119" s="11" t="str">
        <f t="shared" si="4"/>
        <v>2003_01_026.gif</v>
      </c>
      <c r="I119"/>
      <c r="J119"/>
      <c r="L119" s="1" t="b">
        <v>0</v>
      </c>
      <c r="M119" s="1">
        <v>0</v>
      </c>
      <c r="N119" s="1" t="s">
        <v>601</v>
      </c>
      <c r="O119" s="1">
        <v>118</v>
      </c>
      <c r="P119" s="12" t="str">
        <f t="shared" si="6"/>
        <v>Electrical Power</v>
      </c>
      <c r="Q119" s="1">
        <v>4331</v>
      </c>
      <c r="R119" s="1" t="str">
        <f t="shared" si="5"/>
        <v>2003_01</v>
      </c>
      <c r="T119" s="1"/>
      <c r="BP119" s="1">
        <v>1</v>
      </c>
    </row>
    <row r="120" spans="1:77" x14ac:dyDescent="0.2">
      <c r="A120" t="s">
        <v>108</v>
      </c>
      <c r="B120" s="1">
        <v>2003</v>
      </c>
      <c r="C120" s="1">
        <v>1</v>
      </c>
      <c r="D120" s="1">
        <v>27</v>
      </c>
      <c r="E120" t="s">
        <v>8</v>
      </c>
      <c r="G120" s="1">
        <v>4</v>
      </c>
      <c r="H120" s="11" t="str">
        <f t="shared" si="4"/>
        <v>2003_01_027.gif</v>
      </c>
      <c r="I120"/>
      <c r="J120"/>
      <c r="L120" s="1" t="b">
        <v>0</v>
      </c>
      <c r="M120" s="1">
        <v>0</v>
      </c>
      <c r="N120" s="1" t="s">
        <v>601</v>
      </c>
      <c r="O120" s="1">
        <v>119</v>
      </c>
      <c r="P120" s="12" t="str">
        <f t="shared" si="6"/>
        <v>Wave Vocabulary</v>
      </c>
      <c r="Q120" s="1">
        <v>4332</v>
      </c>
      <c r="R120" s="1" t="str">
        <f t="shared" si="5"/>
        <v>2003_01</v>
      </c>
      <c r="T120" s="1"/>
      <c r="BF120" s="1">
        <v>1</v>
      </c>
    </row>
    <row r="121" spans="1:77" x14ac:dyDescent="0.2">
      <c r="A121" t="s">
        <v>109</v>
      </c>
      <c r="B121" s="1">
        <v>2003</v>
      </c>
      <c r="C121" s="1">
        <v>1</v>
      </c>
      <c r="D121" s="1">
        <v>28</v>
      </c>
      <c r="E121" t="s">
        <v>8</v>
      </c>
      <c r="G121" s="1">
        <v>2</v>
      </c>
      <c r="H121" s="11" t="str">
        <f t="shared" si="4"/>
        <v>2003_01_028.gif</v>
      </c>
      <c r="I121"/>
      <c r="J121"/>
      <c r="L121" s="1" t="b">
        <v>0</v>
      </c>
      <c r="M121" s="1">
        <v>0</v>
      </c>
      <c r="N121" s="1" t="s">
        <v>601</v>
      </c>
      <c r="O121" s="1">
        <v>120</v>
      </c>
      <c r="P121" s="12" t="str">
        <f t="shared" si="6"/>
        <v>Wave Vocabulary</v>
      </c>
      <c r="Q121" s="1">
        <v>4333</v>
      </c>
      <c r="R121" s="1" t="str">
        <f t="shared" si="5"/>
        <v>2003_01</v>
      </c>
      <c r="T121" s="1"/>
      <c r="BF121" s="1">
        <v>1</v>
      </c>
    </row>
    <row r="122" spans="1:77" x14ac:dyDescent="0.2">
      <c r="A122" t="s">
        <v>110</v>
      </c>
      <c r="B122" s="1">
        <v>2003</v>
      </c>
      <c r="C122" s="1">
        <v>1</v>
      </c>
      <c r="D122" s="1">
        <v>29</v>
      </c>
      <c r="E122" t="s">
        <v>8</v>
      </c>
      <c r="G122" s="1">
        <v>1</v>
      </c>
      <c r="H122" s="11" t="str">
        <f t="shared" si="4"/>
        <v>2003_01_029.gif</v>
      </c>
      <c r="I122"/>
      <c r="J122"/>
      <c r="L122" s="1" t="b">
        <v>0</v>
      </c>
      <c r="M122" s="1">
        <v>0</v>
      </c>
      <c r="N122" s="1" t="s">
        <v>601</v>
      </c>
      <c r="O122" s="1">
        <v>121</v>
      </c>
      <c r="P122" s="12" t="str">
        <f t="shared" si="6"/>
        <v>V=FxLamda,Wave Vocabulary</v>
      </c>
      <c r="Q122" s="1">
        <v>4334</v>
      </c>
      <c r="R122" s="1" t="str">
        <f t="shared" si="5"/>
        <v>2003_01</v>
      </c>
      <c r="T122" s="1"/>
      <c r="BE122" s="1">
        <v>1</v>
      </c>
      <c r="BF122" s="1">
        <v>1</v>
      </c>
    </row>
    <row r="123" spans="1:77" x14ac:dyDescent="0.2">
      <c r="A123" t="s">
        <v>111</v>
      </c>
      <c r="B123" s="1">
        <v>2003</v>
      </c>
      <c r="C123" s="1">
        <v>1</v>
      </c>
      <c r="D123" s="1">
        <v>30</v>
      </c>
      <c r="E123" t="s">
        <v>9</v>
      </c>
      <c r="G123" s="1">
        <v>4</v>
      </c>
      <c r="H123" s="11" t="str">
        <f t="shared" si="4"/>
        <v>2003_01_030.gif</v>
      </c>
      <c r="I123"/>
      <c r="J123"/>
      <c r="L123" s="1" t="b">
        <v>0</v>
      </c>
      <c r="M123" s="1">
        <v>0</v>
      </c>
      <c r="N123" s="1" t="s">
        <v>601</v>
      </c>
      <c r="O123" s="1">
        <v>122</v>
      </c>
      <c r="P123" s="12" t="str">
        <f t="shared" si="6"/>
        <v>Refraction and Snell's Law</v>
      </c>
      <c r="Q123" s="1">
        <v>4335</v>
      </c>
      <c r="R123" s="1" t="str">
        <f t="shared" si="5"/>
        <v>2003_01</v>
      </c>
      <c r="T123" s="1"/>
      <c r="BJ123" s="1">
        <v>1</v>
      </c>
    </row>
    <row r="124" spans="1:77" x14ac:dyDescent="0.2">
      <c r="A124" t="s">
        <v>112</v>
      </c>
      <c r="B124" s="1">
        <v>2003</v>
      </c>
      <c r="C124" s="1">
        <v>1</v>
      </c>
      <c r="D124" s="1">
        <v>31</v>
      </c>
      <c r="E124" t="s">
        <v>8</v>
      </c>
      <c r="G124" s="1">
        <v>3</v>
      </c>
      <c r="H124" s="11" t="str">
        <f t="shared" si="4"/>
        <v>2003_01_031.gif</v>
      </c>
      <c r="I124"/>
      <c r="J124"/>
      <c r="L124" s="1" t="b">
        <v>0</v>
      </c>
      <c r="M124" s="1">
        <v>0</v>
      </c>
      <c r="N124" s="1" t="s">
        <v>601</v>
      </c>
      <c r="O124" s="1">
        <v>123</v>
      </c>
      <c r="P124" s="12" t="str">
        <f t="shared" si="6"/>
        <v>V=FxLamda</v>
      </c>
      <c r="Q124" s="1">
        <v>4336</v>
      </c>
      <c r="R124" s="1" t="str">
        <f t="shared" si="5"/>
        <v>2003_01</v>
      </c>
      <c r="T124" s="1"/>
      <c r="BE124" s="1">
        <v>1</v>
      </c>
    </row>
    <row r="125" spans="1:77" x14ac:dyDescent="0.2">
      <c r="A125" t="s">
        <v>113</v>
      </c>
      <c r="B125" s="1">
        <v>2003</v>
      </c>
      <c r="C125" s="1">
        <v>1</v>
      </c>
      <c r="D125" s="1">
        <v>32</v>
      </c>
      <c r="E125" t="s">
        <v>9</v>
      </c>
      <c r="G125" s="1">
        <v>2</v>
      </c>
      <c r="H125" s="11" t="str">
        <f t="shared" si="4"/>
        <v>2003_01_032.gif</v>
      </c>
      <c r="I125"/>
      <c r="J125"/>
      <c r="L125" s="1" t="b">
        <v>0</v>
      </c>
      <c r="M125" s="1">
        <v>0</v>
      </c>
      <c r="N125" s="1" t="s">
        <v>601</v>
      </c>
      <c r="O125" s="1">
        <v>124</v>
      </c>
      <c r="P125" s="12" t="str">
        <f t="shared" si="6"/>
        <v>Doppler Effect</v>
      </c>
      <c r="Q125" s="1">
        <v>4337</v>
      </c>
      <c r="R125" s="1" t="str">
        <f t="shared" si="5"/>
        <v>2003_01</v>
      </c>
      <c r="T125" s="1"/>
      <c r="BH125" s="1">
        <v>1</v>
      </c>
    </row>
    <row r="126" spans="1:77" x14ac:dyDescent="0.2">
      <c r="A126" t="s">
        <v>114</v>
      </c>
      <c r="B126" s="1">
        <v>2003</v>
      </c>
      <c r="C126" s="1">
        <v>1</v>
      </c>
      <c r="D126" s="1">
        <v>33</v>
      </c>
      <c r="E126" t="s">
        <v>8</v>
      </c>
      <c r="G126" s="1">
        <v>2</v>
      </c>
      <c r="H126" s="11" t="str">
        <f t="shared" si="4"/>
        <v>2003_01_033.gif</v>
      </c>
      <c r="I126"/>
      <c r="J126"/>
      <c r="L126" s="1" t="b">
        <v>0</v>
      </c>
      <c r="M126" s="1">
        <v>0</v>
      </c>
      <c r="N126" s="1" t="s">
        <v>601</v>
      </c>
      <c r="O126" s="1">
        <v>125</v>
      </c>
      <c r="P126" s="12" t="str">
        <f t="shared" si="6"/>
        <v>Superposition and Standing Waves</v>
      </c>
      <c r="Q126" s="1">
        <v>4338</v>
      </c>
      <c r="R126" s="1" t="str">
        <f t="shared" si="5"/>
        <v>2003_01</v>
      </c>
      <c r="T126" s="1"/>
      <c r="BD126" s="1">
        <v>1</v>
      </c>
    </row>
    <row r="127" spans="1:77" x14ac:dyDescent="0.2">
      <c r="A127" t="s">
        <v>115</v>
      </c>
      <c r="B127" s="1">
        <v>2003</v>
      </c>
      <c r="C127" s="1">
        <v>1</v>
      </c>
      <c r="D127" s="1">
        <v>34</v>
      </c>
      <c r="E127" t="s">
        <v>10</v>
      </c>
      <c r="G127" s="1">
        <v>4</v>
      </c>
      <c r="H127" s="11" t="str">
        <f t="shared" si="4"/>
        <v>2003_01_034.gif</v>
      </c>
      <c r="I127"/>
      <c r="J127"/>
      <c r="L127" s="1" t="b">
        <v>0</v>
      </c>
      <c r="M127" s="1">
        <v>0</v>
      </c>
      <c r="N127" s="1" t="s">
        <v>601</v>
      </c>
      <c r="O127" s="1">
        <v>126</v>
      </c>
      <c r="P127" s="12" t="str">
        <f t="shared" si="6"/>
        <v>Conservation of Charge</v>
      </c>
      <c r="Q127" s="1">
        <v>4339</v>
      </c>
      <c r="R127" s="1" t="str">
        <f t="shared" si="5"/>
        <v>2003_01</v>
      </c>
      <c r="T127" s="1"/>
      <c r="BK127" s="1">
        <v>1</v>
      </c>
    </row>
    <row r="128" spans="1:77" x14ac:dyDescent="0.2">
      <c r="A128" t="s">
        <v>116</v>
      </c>
      <c r="B128" s="1">
        <v>2003</v>
      </c>
      <c r="C128" s="1">
        <v>1</v>
      </c>
      <c r="D128" s="1">
        <v>35</v>
      </c>
      <c r="E128" t="s">
        <v>1</v>
      </c>
      <c r="F128" t="s">
        <v>11</v>
      </c>
      <c r="G128" s="1">
        <v>4</v>
      </c>
      <c r="H128" s="11" t="str">
        <f t="shared" si="4"/>
        <v>2003_01_035.gif</v>
      </c>
      <c r="I128"/>
      <c r="J128"/>
      <c r="L128" s="1" t="b">
        <v>0</v>
      </c>
      <c r="M128" s="1">
        <v>0</v>
      </c>
      <c r="N128" s="1" t="s">
        <v>601</v>
      </c>
      <c r="O128" s="1">
        <v>127</v>
      </c>
      <c r="P128" s="12" t="str">
        <f t="shared" si="6"/>
        <v>Units,Electrical Power</v>
      </c>
      <c r="Q128" s="1">
        <v>4340</v>
      </c>
      <c r="R128" s="1" t="str">
        <f t="shared" si="5"/>
        <v>2003_01</v>
      </c>
      <c r="T128" s="1"/>
      <c r="V128" s="1">
        <v>1</v>
      </c>
      <c r="BP128" s="1">
        <v>1</v>
      </c>
    </row>
    <row r="129" spans="1:78" x14ac:dyDescent="0.2">
      <c r="A129" t="str">
        <f t="shared" ref="A129:A143" si="8">B129 &amp; "_" &amp; TEXT(C129,"00") &amp; "_" &amp; TEXT(D129,"000")</f>
        <v>2003_01_036</v>
      </c>
      <c r="B129" s="1">
        <v>2003</v>
      </c>
      <c r="C129" s="1">
        <v>1</v>
      </c>
      <c r="D129" s="1">
        <v>36</v>
      </c>
      <c r="E129" t="s">
        <v>3</v>
      </c>
      <c r="G129" s="1">
        <v>4</v>
      </c>
      <c r="H129" s="11" t="str">
        <f t="shared" si="4"/>
        <v>2003_01_036.gif</v>
      </c>
      <c r="I129"/>
      <c r="J129"/>
      <c r="L129" s="1" t="b">
        <v>0</v>
      </c>
      <c r="M129" s="1">
        <v>0</v>
      </c>
      <c r="N129" s="1" t="s">
        <v>657</v>
      </c>
      <c r="O129" s="1">
        <v>128</v>
      </c>
      <c r="P129" s="12" t="str">
        <f t="shared" si="6"/>
        <v>Adding Vectors</v>
      </c>
      <c r="Q129" s="1">
        <v>4341</v>
      </c>
      <c r="R129" s="1" t="str">
        <f t="shared" si="5"/>
        <v>2003_01</v>
      </c>
      <c r="T129" s="1"/>
      <c r="AD129" s="1">
        <v>1</v>
      </c>
    </row>
    <row r="130" spans="1:78" x14ac:dyDescent="0.2">
      <c r="A130" t="str">
        <f t="shared" si="8"/>
        <v>2003_01_037</v>
      </c>
      <c r="B130" s="1">
        <v>2003</v>
      </c>
      <c r="C130" s="1">
        <v>1</v>
      </c>
      <c r="D130" s="1">
        <v>37</v>
      </c>
      <c r="E130" t="s">
        <v>3</v>
      </c>
      <c r="G130" s="1">
        <v>1</v>
      </c>
      <c r="H130" s="11" t="str">
        <f t="shared" ref="H130:H193" si="9">HYPERLINK(A130&amp;".gif")</f>
        <v>2003_01_037.gif</v>
      </c>
      <c r="I130"/>
      <c r="J130"/>
      <c r="L130" s="1" t="b">
        <v>0</v>
      </c>
      <c r="M130" s="1">
        <v>0</v>
      </c>
      <c r="N130" s="1" t="s">
        <v>657</v>
      </c>
      <c r="O130" s="1">
        <v>129</v>
      </c>
      <c r="P130" s="12" t="str">
        <f t="shared" si="6"/>
        <v>Vector Components</v>
      </c>
      <c r="Q130" s="1">
        <v>4342</v>
      </c>
      <c r="R130" s="1" t="str">
        <f t="shared" si="5"/>
        <v>2003_01</v>
      </c>
      <c r="T130" s="1"/>
      <c r="AE130" s="1">
        <v>1</v>
      </c>
    </row>
    <row r="131" spans="1:78" x14ac:dyDescent="0.2">
      <c r="A131" t="str">
        <f t="shared" si="8"/>
        <v>2003_01_038</v>
      </c>
      <c r="B131" s="1">
        <v>2003</v>
      </c>
      <c r="C131" s="1">
        <v>1</v>
      </c>
      <c r="D131" s="1">
        <v>38</v>
      </c>
      <c r="E131" t="s">
        <v>1</v>
      </c>
      <c r="G131" s="1">
        <v>3</v>
      </c>
      <c r="H131" s="11" t="str">
        <f t="shared" si="9"/>
        <v>2003_01_038.gif</v>
      </c>
      <c r="I131"/>
      <c r="J131"/>
      <c r="L131" s="1" t="b">
        <v>0</v>
      </c>
      <c r="M131" s="1">
        <v>0</v>
      </c>
      <c r="N131" s="1" t="s">
        <v>657</v>
      </c>
      <c r="O131" s="1">
        <v>130</v>
      </c>
      <c r="P131" s="12" t="str">
        <f t="shared" si="6"/>
        <v>Estimation</v>
      </c>
      <c r="Q131" s="1">
        <v>4343</v>
      </c>
      <c r="R131" s="1" t="str">
        <f t="shared" ref="R131:R194" si="10">B131&amp;"_"&amp;TEXT(C131,"00")</f>
        <v>2003_01</v>
      </c>
      <c r="T131" s="1"/>
      <c r="U131" s="1">
        <v>1</v>
      </c>
    </row>
    <row r="132" spans="1:78" x14ac:dyDescent="0.2">
      <c r="A132" t="str">
        <f t="shared" si="8"/>
        <v>2003_01_039</v>
      </c>
      <c r="B132" s="1">
        <v>2003</v>
      </c>
      <c r="C132" s="1">
        <v>1</v>
      </c>
      <c r="D132" s="1">
        <v>39</v>
      </c>
      <c r="E132" t="s">
        <v>7</v>
      </c>
      <c r="G132" s="1">
        <v>2</v>
      </c>
      <c r="H132" s="11" t="str">
        <f t="shared" si="9"/>
        <v>2003_01_039.gif</v>
      </c>
      <c r="I132"/>
      <c r="J132"/>
      <c r="L132" s="1" t="b">
        <v>0</v>
      </c>
      <c r="M132" s="1">
        <v>0</v>
      </c>
      <c r="N132" s="1" t="s">
        <v>657</v>
      </c>
      <c r="O132" s="1">
        <v>131</v>
      </c>
      <c r="P132" s="12" t="str">
        <f t="shared" si="6"/>
        <v>Conservation of Energy</v>
      </c>
      <c r="Q132" s="1">
        <v>4344</v>
      </c>
      <c r="R132" s="1" t="str">
        <f t="shared" si="10"/>
        <v>2003_01</v>
      </c>
      <c r="T132" s="1"/>
      <c r="AX132" s="1">
        <v>1</v>
      </c>
    </row>
    <row r="133" spans="1:78" x14ac:dyDescent="0.2">
      <c r="A133" t="str">
        <f t="shared" si="8"/>
        <v>2003_01_040</v>
      </c>
      <c r="B133" s="1">
        <v>2003</v>
      </c>
      <c r="C133" s="1">
        <v>1</v>
      </c>
      <c r="D133" s="1">
        <v>40</v>
      </c>
      <c r="E133" t="s">
        <v>9</v>
      </c>
      <c r="F133" t="s">
        <v>13</v>
      </c>
      <c r="G133" s="1">
        <v>2</v>
      </c>
      <c r="H133" s="11" t="str">
        <f t="shared" si="9"/>
        <v>2003_01_040.gif</v>
      </c>
      <c r="I133"/>
      <c r="J133"/>
      <c r="L133" s="1" t="b">
        <v>0</v>
      </c>
      <c r="M133" s="1">
        <v>0</v>
      </c>
      <c r="N133" s="1" t="s">
        <v>657</v>
      </c>
      <c r="O133" s="1">
        <v>132</v>
      </c>
      <c r="P133" s="12" t="str">
        <f t="shared" si="6"/>
        <v>Light and Sound,Energy/Frequency of Photon</v>
      </c>
      <c r="Q133" s="1">
        <v>4345</v>
      </c>
      <c r="R133" s="1" t="str">
        <f t="shared" si="10"/>
        <v>2003_01</v>
      </c>
      <c r="T133" s="1"/>
      <c r="BI133" s="1">
        <v>1</v>
      </c>
      <c r="BU133" s="1">
        <v>1</v>
      </c>
    </row>
    <row r="134" spans="1:78" x14ac:dyDescent="0.2">
      <c r="A134" t="str">
        <f t="shared" si="8"/>
        <v>2003_01_041</v>
      </c>
      <c r="B134" s="1">
        <v>2003</v>
      </c>
      <c r="C134" s="1">
        <v>1</v>
      </c>
      <c r="D134" s="1">
        <v>41</v>
      </c>
      <c r="E134" t="s">
        <v>7</v>
      </c>
      <c r="G134" s="1">
        <v>2</v>
      </c>
      <c r="H134" s="11" t="str">
        <f t="shared" si="9"/>
        <v>2003_01_041.gif</v>
      </c>
      <c r="I134"/>
      <c r="J134"/>
      <c r="L134" s="1" t="b">
        <v>0</v>
      </c>
      <c r="M134" s="1">
        <v>0</v>
      </c>
      <c r="N134" s="1" t="s">
        <v>657</v>
      </c>
      <c r="O134" s="1">
        <v>133</v>
      </c>
      <c r="P134" s="12" t="str">
        <f t="shared" si="6"/>
        <v>PE of Spring</v>
      </c>
      <c r="Q134" s="1">
        <v>4346</v>
      </c>
      <c r="R134" s="1" t="str">
        <f t="shared" si="10"/>
        <v>2003_01</v>
      </c>
      <c r="T134" s="1"/>
      <c r="BA134" s="1">
        <v>1</v>
      </c>
    </row>
    <row r="135" spans="1:78" x14ac:dyDescent="0.2">
      <c r="A135" t="str">
        <f t="shared" si="8"/>
        <v>2003_01_042</v>
      </c>
      <c r="B135" s="1">
        <v>2003</v>
      </c>
      <c r="C135" s="1">
        <v>1</v>
      </c>
      <c r="D135" s="1">
        <v>42</v>
      </c>
      <c r="E135" t="s">
        <v>11</v>
      </c>
      <c r="F135" t="s">
        <v>548</v>
      </c>
      <c r="G135" s="1">
        <v>1</v>
      </c>
      <c r="H135" s="11" t="str">
        <f t="shared" si="9"/>
        <v>2003_01_042.gif</v>
      </c>
      <c r="I135"/>
      <c r="J135"/>
      <c r="L135" s="1" t="b">
        <v>0</v>
      </c>
      <c r="M135" s="1">
        <v>0</v>
      </c>
      <c r="N135" s="1" t="s">
        <v>657</v>
      </c>
      <c r="O135" s="1">
        <v>134</v>
      </c>
      <c r="P135" s="12" t="str">
        <f t="shared" si="6"/>
        <v>Ohm's Law,Graph Interpretation</v>
      </c>
      <c r="Q135" s="1">
        <v>4347</v>
      </c>
      <c r="R135" s="1" t="str">
        <f t="shared" si="10"/>
        <v>2003_01</v>
      </c>
      <c r="T135" s="1"/>
      <c r="BQ135" s="1">
        <v>1</v>
      </c>
      <c r="BX135" s="1">
        <v>1</v>
      </c>
    </row>
    <row r="136" spans="1:78" x14ac:dyDescent="0.2">
      <c r="A136" t="str">
        <f t="shared" si="8"/>
        <v>2003_01_043</v>
      </c>
      <c r="B136" s="1">
        <v>2003</v>
      </c>
      <c r="C136" s="1">
        <v>1</v>
      </c>
      <c r="D136" s="1">
        <v>43</v>
      </c>
      <c r="E136" t="s">
        <v>11</v>
      </c>
      <c r="G136" s="1">
        <v>4</v>
      </c>
      <c r="H136" s="11" t="str">
        <f t="shared" si="9"/>
        <v>2003_01_043.gif</v>
      </c>
      <c r="I136"/>
      <c r="J136"/>
      <c r="L136" s="1" t="b">
        <v>0</v>
      </c>
      <c r="M136" s="1">
        <v>0</v>
      </c>
      <c r="N136" s="1" t="s">
        <v>657</v>
      </c>
      <c r="O136" s="1">
        <v>135</v>
      </c>
      <c r="P136" s="12" t="str">
        <f t="shared" si="6"/>
        <v>Series and Parallel</v>
      </c>
      <c r="Q136" s="1">
        <v>4348</v>
      </c>
      <c r="R136" s="1" t="str">
        <f t="shared" si="10"/>
        <v>2003_01</v>
      </c>
      <c r="T136" s="1"/>
      <c r="BS136" s="1">
        <v>1</v>
      </c>
    </row>
    <row r="137" spans="1:78" x14ac:dyDescent="0.2">
      <c r="A137" t="str">
        <f t="shared" si="8"/>
        <v>2003_01_044</v>
      </c>
      <c r="B137" s="1">
        <v>2003</v>
      </c>
      <c r="C137" s="1">
        <v>1</v>
      </c>
      <c r="D137" s="1">
        <v>44</v>
      </c>
      <c r="E137" t="s">
        <v>12</v>
      </c>
      <c r="G137" s="1">
        <v>3</v>
      </c>
      <c r="H137" s="11" t="str">
        <f t="shared" si="9"/>
        <v>2003_01_044.gif</v>
      </c>
      <c r="I137"/>
      <c r="J137"/>
      <c r="L137" s="1" t="b">
        <v>0</v>
      </c>
      <c r="M137" s="1">
        <v>0</v>
      </c>
      <c r="N137" s="1" t="s">
        <v>657</v>
      </c>
      <c r="O137" s="1">
        <v>136</v>
      </c>
      <c r="P137" s="12" t="str">
        <f t="shared" si="6"/>
        <v>Magnetism</v>
      </c>
      <c r="Q137" s="1">
        <v>4349</v>
      </c>
      <c r="R137" s="1" t="str">
        <f t="shared" si="10"/>
        <v>2003_01</v>
      </c>
      <c r="T137" s="1"/>
      <c r="BZ137" s="1">
        <v>1</v>
      </c>
    </row>
    <row r="138" spans="1:78" x14ac:dyDescent="0.2">
      <c r="A138" t="str">
        <f t="shared" si="8"/>
        <v>2003_01_045</v>
      </c>
      <c r="B138" s="1">
        <v>2003</v>
      </c>
      <c r="C138" s="1">
        <v>1</v>
      </c>
      <c r="D138" s="1">
        <v>45</v>
      </c>
      <c r="E138" t="s">
        <v>2</v>
      </c>
      <c r="G138" s="1">
        <v>4</v>
      </c>
      <c r="H138" s="11" t="str">
        <f t="shared" si="9"/>
        <v>2003_01_045.gif</v>
      </c>
      <c r="I138"/>
      <c r="J138"/>
      <c r="L138" s="1" t="b">
        <v>0</v>
      </c>
      <c r="M138" s="1">
        <v>0</v>
      </c>
      <c r="N138" s="1" t="s">
        <v>657</v>
      </c>
      <c r="O138" s="1">
        <v>137</v>
      </c>
      <c r="P138" s="12" t="str">
        <f t="shared" si="6"/>
        <v>DT/VT Graphs</v>
      </c>
      <c r="Q138" s="1">
        <v>4350</v>
      </c>
      <c r="R138" s="1" t="str">
        <f t="shared" si="10"/>
        <v>2003_01</v>
      </c>
      <c r="T138" s="1"/>
      <c r="W138" s="1">
        <v>1</v>
      </c>
    </row>
    <row r="139" spans="1:78" x14ac:dyDescent="0.2">
      <c r="A139" t="str">
        <f t="shared" si="8"/>
        <v>2003_01_046</v>
      </c>
      <c r="B139" s="1">
        <v>2003</v>
      </c>
      <c r="C139" s="1">
        <v>1</v>
      </c>
      <c r="D139" s="1">
        <v>46</v>
      </c>
      <c r="E139" t="s">
        <v>5</v>
      </c>
      <c r="F139" t="s">
        <v>548</v>
      </c>
      <c r="G139" s="1">
        <v>2</v>
      </c>
      <c r="H139" s="11" t="str">
        <f t="shared" si="9"/>
        <v>2003_01_046.gif</v>
      </c>
      <c r="I139"/>
      <c r="J139"/>
      <c r="L139" s="1" t="b">
        <v>0</v>
      </c>
      <c r="M139" s="1">
        <v>0</v>
      </c>
      <c r="N139" s="1" t="s">
        <v>657</v>
      </c>
      <c r="O139" s="1">
        <v>138</v>
      </c>
      <c r="P139" s="12" t="str">
        <f t="shared" ref="P139:P202" si="11">concatenateif(U139:DI139,1,$U$1:$DI$1)</f>
        <v>Hooke's Law,Graph Interpretation</v>
      </c>
      <c r="Q139" s="1">
        <v>4351</v>
      </c>
      <c r="R139" s="1" t="str">
        <f t="shared" si="10"/>
        <v>2003_01</v>
      </c>
      <c r="T139" s="1"/>
      <c r="AP139" s="1">
        <v>1</v>
      </c>
      <c r="BX139" s="1">
        <v>1</v>
      </c>
    </row>
    <row r="140" spans="1:78" x14ac:dyDescent="0.2">
      <c r="A140" t="str">
        <f t="shared" si="8"/>
        <v>2003_01_047</v>
      </c>
      <c r="B140" s="1">
        <v>2003</v>
      </c>
      <c r="C140" s="1">
        <v>1</v>
      </c>
      <c r="D140" s="1">
        <v>47</v>
      </c>
      <c r="E140" t="s">
        <v>11</v>
      </c>
      <c r="G140" s="1">
        <v>2</v>
      </c>
      <c r="H140" s="11" t="str">
        <f t="shared" si="9"/>
        <v>2003_01_047.gif</v>
      </c>
      <c r="I140"/>
      <c r="J140"/>
      <c r="L140" s="1" t="b">
        <v>0</v>
      </c>
      <c r="M140" s="1">
        <v>0</v>
      </c>
      <c r="N140" s="1" t="s">
        <v>657</v>
      </c>
      <c r="O140" s="1">
        <v>139</v>
      </c>
      <c r="P140" s="12" t="str">
        <f t="shared" si="11"/>
        <v>Series and Parallel</v>
      </c>
      <c r="Q140" s="1">
        <v>4352</v>
      </c>
      <c r="R140" s="1" t="str">
        <f t="shared" si="10"/>
        <v>2003_01</v>
      </c>
      <c r="T140" s="1"/>
      <c r="BS140" s="1">
        <v>1</v>
      </c>
    </row>
    <row r="141" spans="1:78" x14ac:dyDescent="0.2">
      <c r="A141" t="str">
        <f t="shared" si="8"/>
        <v>2003_01_048</v>
      </c>
      <c r="B141" s="1">
        <v>2003</v>
      </c>
      <c r="C141" s="1">
        <v>1</v>
      </c>
      <c r="D141" s="1">
        <v>48</v>
      </c>
      <c r="E141" t="s">
        <v>9</v>
      </c>
      <c r="G141" s="1">
        <v>1</v>
      </c>
      <c r="H141" s="11" t="str">
        <f t="shared" si="9"/>
        <v>2003_01_048.gif</v>
      </c>
      <c r="I141"/>
      <c r="J141"/>
      <c r="L141" s="1" t="b">
        <v>0</v>
      </c>
      <c r="M141" s="1">
        <v>0</v>
      </c>
      <c r="N141" s="1" t="s">
        <v>657</v>
      </c>
      <c r="O141" s="1">
        <v>140</v>
      </c>
      <c r="P141" s="12" t="str">
        <f t="shared" si="11"/>
        <v>Refraction and Snell's Law</v>
      </c>
      <c r="Q141" s="1">
        <v>4353</v>
      </c>
      <c r="R141" s="1" t="str">
        <f t="shared" si="10"/>
        <v>2003_01</v>
      </c>
      <c r="T141" s="1"/>
      <c r="BJ141" s="1">
        <v>1</v>
      </c>
    </row>
    <row r="142" spans="1:78" x14ac:dyDescent="0.2">
      <c r="A142" t="str">
        <f t="shared" si="8"/>
        <v>2003_01_049</v>
      </c>
      <c r="B142" s="1">
        <v>2003</v>
      </c>
      <c r="C142" s="1">
        <v>1</v>
      </c>
      <c r="D142" s="1">
        <v>49</v>
      </c>
      <c r="E142" t="s">
        <v>9</v>
      </c>
      <c r="G142" s="1">
        <v>3</v>
      </c>
      <c r="H142" s="11" t="str">
        <f t="shared" si="9"/>
        <v>2003_01_049.gif</v>
      </c>
      <c r="I142"/>
      <c r="J142"/>
      <c r="L142" s="1" t="b">
        <v>0</v>
      </c>
      <c r="M142" s="1">
        <v>0</v>
      </c>
      <c r="N142" s="1" t="s">
        <v>657</v>
      </c>
      <c r="O142" s="1">
        <v>141</v>
      </c>
      <c r="P142" s="12" t="str">
        <f t="shared" si="11"/>
        <v>Refraction and Snell's Law</v>
      </c>
      <c r="Q142" s="1">
        <v>4354</v>
      </c>
      <c r="R142" s="1" t="str">
        <f t="shared" si="10"/>
        <v>2003_01</v>
      </c>
      <c r="T142" s="1"/>
      <c r="BJ142" s="1">
        <v>1</v>
      </c>
    </row>
    <row r="143" spans="1:78" x14ac:dyDescent="0.2">
      <c r="A143" t="str">
        <f t="shared" si="8"/>
        <v>2003_01_050</v>
      </c>
      <c r="B143" s="1">
        <v>2003</v>
      </c>
      <c r="C143" s="1">
        <v>1</v>
      </c>
      <c r="D143" s="1">
        <v>50</v>
      </c>
      <c r="E143" t="s">
        <v>8</v>
      </c>
      <c r="G143" s="1">
        <v>4</v>
      </c>
      <c r="H143" s="11" t="str">
        <f t="shared" si="9"/>
        <v>2003_01_050.gif</v>
      </c>
      <c r="I143"/>
      <c r="J143"/>
      <c r="L143" s="1" t="b">
        <v>0</v>
      </c>
      <c r="M143" s="1">
        <v>0</v>
      </c>
      <c r="N143" s="1" t="s">
        <v>657</v>
      </c>
      <c r="O143" s="1">
        <v>142</v>
      </c>
      <c r="P143" s="12" t="str">
        <f t="shared" si="11"/>
        <v>Superposition and Standing Waves</v>
      </c>
      <c r="Q143" s="1">
        <v>4355</v>
      </c>
      <c r="R143" s="1" t="str">
        <f t="shared" si="10"/>
        <v>2003_01</v>
      </c>
      <c r="T143" s="1"/>
      <c r="BD143" s="1">
        <v>1</v>
      </c>
    </row>
    <row r="144" spans="1:78" x14ac:dyDescent="0.2">
      <c r="A144" t="s">
        <v>117</v>
      </c>
      <c r="B144" s="1">
        <v>2003</v>
      </c>
      <c r="C144" s="1">
        <v>6</v>
      </c>
      <c r="D144" s="1">
        <v>1</v>
      </c>
      <c r="E144" t="s">
        <v>7</v>
      </c>
      <c r="F144" t="s">
        <v>5</v>
      </c>
      <c r="G144" s="1">
        <v>4</v>
      </c>
      <c r="H144" s="11" t="str">
        <f t="shared" si="9"/>
        <v>2003_06_001.gif</v>
      </c>
      <c r="I144"/>
      <c r="J144"/>
      <c r="L144" s="1" t="b">
        <v>0</v>
      </c>
      <c r="M144" s="1">
        <v>0</v>
      </c>
      <c r="N144" s="1" t="s">
        <v>601</v>
      </c>
      <c r="O144" s="1">
        <v>143</v>
      </c>
      <c r="P144" s="12" t="str">
        <f t="shared" si="11"/>
        <v>Inclined Plane,Work/Power</v>
      </c>
      <c r="Q144" s="1">
        <v>4371</v>
      </c>
      <c r="R144" s="1" t="str">
        <f t="shared" si="10"/>
        <v>2003_06</v>
      </c>
      <c r="T144" s="1"/>
      <c r="AO144" s="1">
        <v>1</v>
      </c>
      <c r="BB144" s="1">
        <v>1</v>
      </c>
    </row>
    <row r="145" spans="1:78" x14ac:dyDescent="0.2">
      <c r="A145" t="s">
        <v>118</v>
      </c>
      <c r="B145" s="1">
        <v>2003</v>
      </c>
      <c r="C145" s="1">
        <v>6</v>
      </c>
      <c r="D145" s="1">
        <v>2</v>
      </c>
      <c r="E145" t="s">
        <v>3</v>
      </c>
      <c r="G145" s="1">
        <v>2</v>
      </c>
      <c r="H145" s="11" t="str">
        <f t="shared" si="9"/>
        <v>2003_06_002.gif</v>
      </c>
      <c r="I145"/>
      <c r="J145"/>
      <c r="L145" s="1" t="b">
        <v>0</v>
      </c>
      <c r="M145" s="1">
        <v>0</v>
      </c>
      <c r="N145" s="1" t="s">
        <v>601</v>
      </c>
      <c r="O145" s="1">
        <v>144</v>
      </c>
      <c r="P145" s="12" t="str">
        <f t="shared" si="11"/>
        <v>Vector Components</v>
      </c>
      <c r="Q145" s="1">
        <v>4372</v>
      </c>
      <c r="R145" s="1" t="str">
        <f t="shared" si="10"/>
        <v>2003_06</v>
      </c>
      <c r="T145" s="1"/>
      <c r="AE145" s="1">
        <v>1</v>
      </c>
    </row>
    <row r="146" spans="1:78" x14ac:dyDescent="0.2">
      <c r="A146" t="s">
        <v>119</v>
      </c>
      <c r="B146" s="1">
        <v>2003</v>
      </c>
      <c r="C146" s="1">
        <v>6</v>
      </c>
      <c r="D146" s="1">
        <v>3</v>
      </c>
      <c r="E146" t="s">
        <v>2</v>
      </c>
      <c r="G146" s="1">
        <v>2</v>
      </c>
      <c r="H146" s="11" t="str">
        <f t="shared" si="9"/>
        <v>2003_06_003.gif</v>
      </c>
      <c r="I146"/>
      <c r="J146"/>
      <c r="L146" s="1" t="b">
        <v>0</v>
      </c>
      <c r="M146" s="1">
        <v>0</v>
      </c>
      <c r="N146" s="1" t="s">
        <v>601</v>
      </c>
      <c r="O146" s="1">
        <v>145</v>
      </c>
      <c r="P146" s="12" t="str">
        <f t="shared" si="11"/>
        <v>Horizontal Constant Acceleration Problems</v>
      </c>
      <c r="Q146" s="1">
        <v>4373</v>
      </c>
      <c r="R146" s="1" t="str">
        <f t="shared" si="10"/>
        <v>2003_06</v>
      </c>
      <c r="T146" s="1"/>
      <c r="AB146" s="1">
        <v>1</v>
      </c>
    </row>
    <row r="147" spans="1:78" x14ac:dyDescent="0.2">
      <c r="A147" t="s">
        <v>120</v>
      </c>
      <c r="B147" s="1">
        <v>2003</v>
      </c>
      <c r="C147" s="1">
        <v>6</v>
      </c>
      <c r="D147" s="1">
        <v>4</v>
      </c>
      <c r="E147" t="s">
        <v>4</v>
      </c>
      <c r="F147" t="s">
        <v>3</v>
      </c>
      <c r="G147" s="1">
        <v>4</v>
      </c>
      <c r="H147" s="11" t="str">
        <f t="shared" si="9"/>
        <v>2003_06_004.gif</v>
      </c>
      <c r="I147"/>
      <c r="J147"/>
      <c r="L147" s="1" t="b">
        <v>0</v>
      </c>
      <c r="M147" s="1">
        <v>0</v>
      </c>
      <c r="N147" s="1" t="s">
        <v>601</v>
      </c>
      <c r="O147" s="1">
        <v>146</v>
      </c>
      <c r="P147" s="12" t="str">
        <f t="shared" si="11"/>
        <v>Vector Components,Projectiles at an Angle</v>
      </c>
      <c r="Q147" s="1">
        <v>4374</v>
      </c>
      <c r="R147" s="1" t="str">
        <f t="shared" si="10"/>
        <v>2003_06</v>
      </c>
      <c r="T147" s="1"/>
      <c r="AE147" s="1">
        <v>1</v>
      </c>
      <c r="AH147" s="1">
        <v>1</v>
      </c>
    </row>
    <row r="148" spans="1:78" x14ac:dyDescent="0.2">
      <c r="A148" t="s">
        <v>121</v>
      </c>
      <c r="B148" s="1">
        <v>2003</v>
      </c>
      <c r="C148" s="1">
        <v>6</v>
      </c>
      <c r="D148" s="1">
        <v>5</v>
      </c>
      <c r="E148" t="s">
        <v>5</v>
      </c>
      <c r="G148" s="1">
        <v>1</v>
      </c>
      <c r="H148" s="11" t="str">
        <f t="shared" si="9"/>
        <v>2003_06_005.gif</v>
      </c>
      <c r="I148"/>
      <c r="J148"/>
      <c r="L148" s="1" t="b">
        <v>0</v>
      </c>
      <c r="M148" s="1">
        <v>0</v>
      </c>
      <c r="N148" s="1" t="s">
        <v>601</v>
      </c>
      <c r="O148" s="1">
        <v>147</v>
      </c>
      <c r="P148" s="12" t="str">
        <f t="shared" si="11"/>
        <v>Newton's 2nd Law (F=MA),Weight and Mass</v>
      </c>
      <c r="Q148" s="1">
        <v>4375</v>
      </c>
      <c r="R148" s="1" t="str">
        <f t="shared" si="10"/>
        <v>2003_06</v>
      </c>
      <c r="T148" s="1"/>
      <c r="AS148" s="1">
        <v>1</v>
      </c>
      <c r="AT148" s="1">
        <v>1</v>
      </c>
    </row>
    <row r="149" spans="1:78" x14ac:dyDescent="0.2">
      <c r="A149" t="s">
        <v>122</v>
      </c>
      <c r="B149" s="1">
        <v>2003</v>
      </c>
      <c r="C149" s="1">
        <v>6</v>
      </c>
      <c r="D149" s="1">
        <v>6</v>
      </c>
      <c r="E149" t="s">
        <v>4</v>
      </c>
      <c r="F149" t="s">
        <v>548</v>
      </c>
      <c r="G149" s="1">
        <v>3</v>
      </c>
      <c r="H149" s="11" t="str">
        <f t="shared" si="9"/>
        <v>2003_06_006.gif</v>
      </c>
      <c r="I149"/>
      <c r="J149"/>
      <c r="L149" s="1" t="b">
        <v>0</v>
      </c>
      <c r="M149" s="1">
        <v>0</v>
      </c>
      <c r="N149" s="1" t="s">
        <v>601</v>
      </c>
      <c r="O149" s="1">
        <v>148</v>
      </c>
      <c r="P149" s="12" t="str">
        <f t="shared" si="11"/>
        <v>Horizontal Projectile Range,Mathematical Relationships (Numberless Problems)</v>
      </c>
      <c r="Q149" s="1">
        <v>4376</v>
      </c>
      <c r="R149" s="1" t="str">
        <f t="shared" si="10"/>
        <v>2003_06</v>
      </c>
      <c r="T149" s="1"/>
      <c r="AI149" s="1">
        <v>1</v>
      </c>
      <c r="BY149" s="1">
        <v>1</v>
      </c>
    </row>
    <row r="150" spans="1:78" x14ac:dyDescent="0.2">
      <c r="A150" t="s">
        <v>123</v>
      </c>
      <c r="B150" s="1">
        <v>2003</v>
      </c>
      <c r="C150" s="1">
        <v>6</v>
      </c>
      <c r="D150" s="1">
        <v>7</v>
      </c>
      <c r="E150" t="s">
        <v>4</v>
      </c>
      <c r="G150" s="1">
        <v>2</v>
      </c>
      <c r="H150" s="11" t="str">
        <f t="shared" si="9"/>
        <v>2003_06_007.gif</v>
      </c>
      <c r="I150"/>
      <c r="J150"/>
      <c r="L150" s="1" t="b">
        <v>0</v>
      </c>
      <c r="M150" s="1">
        <v>0</v>
      </c>
      <c r="N150" s="1" t="s">
        <v>601</v>
      </c>
      <c r="O150" s="1">
        <v>149</v>
      </c>
      <c r="P150" s="12" t="str">
        <f t="shared" si="11"/>
        <v>Max Height of Projectile</v>
      </c>
      <c r="Q150" s="1">
        <v>4377</v>
      </c>
      <c r="R150" s="1" t="str">
        <f t="shared" si="10"/>
        <v>2003_06</v>
      </c>
      <c r="T150" s="1"/>
      <c r="AK150" s="1">
        <v>1</v>
      </c>
    </row>
    <row r="151" spans="1:78" x14ac:dyDescent="0.2">
      <c r="A151" t="s">
        <v>124</v>
      </c>
      <c r="B151" s="1">
        <v>2003</v>
      </c>
      <c r="C151" s="1">
        <v>6</v>
      </c>
      <c r="D151" s="1">
        <v>8</v>
      </c>
      <c r="E151" t="s">
        <v>5</v>
      </c>
      <c r="G151" s="1">
        <v>4</v>
      </c>
      <c r="H151" s="11" t="str">
        <f t="shared" si="9"/>
        <v>2003_06_008.gif</v>
      </c>
      <c r="I151"/>
      <c r="J151"/>
      <c r="L151" s="1" t="b">
        <v>0</v>
      </c>
      <c r="M151" s="1">
        <v>0</v>
      </c>
      <c r="N151" s="1" t="s">
        <v>601</v>
      </c>
      <c r="O151" s="1">
        <v>150</v>
      </c>
      <c r="P151" s="12" t="str">
        <f t="shared" si="11"/>
        <v>Newton's 1st Law (Inertia),Newton's 2nd Law (F=MA)</v>
      </c>
      <c r="Q151" s="1">
        <v>4378</v>
      </c>
      <c r="R151" s="1" t="str">
        <f t="shared" si="10"/>
        <v>2003_06</v>
      </c>
      <c r="T151" s="1"/>
      <c r="AR151" s="1">
        <v>1</v>
      </c>
      <c r="AS151" s="1">
        <v>1</v>
      </c>
    </row>
    <row r="152" spans="1:78" x14ac:dyDescent="0.2">
      <c r="A152" t="s">
        <v>125</v>
      </c>
      <c r="B152" s="1">
        <v>2003</v>
      </c>
      <c r="C152" s="1">
        <v>6</v>
      </c>
      <c r="D152" s="1">
        <v>9</v>
      </c>
      <c r="E152" t="s">
        <v>5</v>
      </c>
      <c r="F152" t="s">
        <v>548</v>
      </c>
      <c r="G152" s="1">
        <v>2</v>
      </c>
      <c r="H152" s="11" t="str">
        <f t="shared" si="9"/>
        <v>2003_06_009.gif</v>
      </c>
      <c r="I152"/>
      <c r="J152"/>
      <c r="L152" s="1" t="b">
        <v>0</v>
      </c>
      <c r="M152" s="1">
        <v>0</v>
      </c>
      <c r="N152" s="1" t="s">
        <v>601</v>
      </c>
      <c r="O152" s="1">
        <v>151</v>
      </c>
      <c r="P152" s="12" t="str">
        <f t="shared" si="11"/>
        <v>Law of Gravity,Mathematical Relationships (Numberless Problems)</v>
      </c>
      <c r="Q152" s="1">
        <v>4379</v>
      </c>
      <c r="R152" s="1" t="str">
        <f t="shared" si="10"/>
        <v>2003_06</v>
      </c>
      <c r="T152" s="1"/>
      <c r="AQ152" s="1">
        <v>1</v>
      </c>
      <c r="BY152" s="1">
        <v>1</v>
      </c>
    </row>
    <row r="153" spans="1:78" x14ac:dyDescent="0.2">
      <c r="A153" t="s">
        <v>126</v>
      </c>
      <c r="B153" s="1">
        <v>2003</v>
      </c>
      <c r="C153" s="1">
        <v>6</v>
      </c>
      <c r="D153" s="1">
        <v>10</v>
      </c>
      <c r="E153" t="s">
        <v>7</v>
      </c>
      <c r="G153" s="1">
        <v>1</v>
      </c>
      <c r="H153" s="11" t="str">
        <f t="shared" si="9"/>
        <v>2003_06_010.gif</v>
      </c>
      <c r="I153"/>
      <c r="J153"/>
      <c r="L153" s="1" t="b">
        <v>0</v>
      </c>
      <c r="M153" s="1">
        <v>0</v>
      </c>
      <c r="N153" s="1" t="s">
        <v>601</v>
      </c>
      <c r="O153" s="1">
        <v>152</v>
      </c>
      <c r="P153" s="12" t="str">
        <f t="shared" si="11"/>
        <v>PE of Spring</v>
      </c>
      <c r="Q153" s="1">
        <v>4380</v>
      </c>
      <c r="R153" s="1" t="str">
        <f t="shared" si="10"/>
        <v>2003_06</v>
      </c>
      <c r="T153" s="1"/>
      <c r="BA153" s="1">
        <v>1</v>
      </c>
    </row>
    <row r="154" spans="1:78" x14ac:dyDescent="0.2">
      <c r="A154" t="s">
        <v>127</v>
      </c>
      <c r="B154" s="1">
        <v>2003</v>
      </c>
      <c r="C154" s="1">
        <v>6</v>
      </c>
      <c r="D154" s="1">
        <v>11</v>
      </c>
      <c r="E154" t="s">
        <v>5</v>
      </c>
      <c r="G154" s="1">
        <v>3</v>
      </c>
      <c r="H154" s="11" t="str">
        <f t="shared" si="9"/>
        <v>2003_06_011.gif</v>
      </c>
      <c r="I154"/>
      <c r="J154"/>
      <c r="L154" s="1" t="b">
        <v>0</v>
      </c>
      <c r="M154" s="1">
        <v>0</v>
      </c>
      <c r="N154" s="1" t="s">
        <v>601</v>
      </c>
      <c r="O154" s="1">
        <v>153</v>
      </c>
      <c r="P154" s="12" t="str">
        <f t="shared" si="11"/>
        <v>Newton's 1st Law (Inertia),Newton's 2nd Law (F=MA)</v>
      </c>
      <c r="Q154" s="1">
        <v>4381</v>
      </c>
      <c r="R154" s="1" t="str">
        <f t="shared" si="10"/>
        <v>2003_06</v>
      </c>
      <c r="T154" s="1"/>
      <c r="AR154" s="1">
        <v>1</v>
      </c>
      <c r="AS154" s="1">
        <v>1</v>
      </c>
    </row>
    <row r="155" spans="1:78" x14ac:dyDescent="0.2">
      <c r="A155" t="s">
        <v>128</v>
      </c>
      <c r="B155" s="1">
        <v>2003</v>
      </c>
      <c r="C155" s="1">
        <v>6</v>
      </c>
      <c r="D155" s="1">
        <v>12</v>
      </c>
      <c r="E155" t="s">
        <v>6</v>
      </c>
      <c r="G155" s="1">
        <v>3</v>
      </c>
      <c r="H155" s="11" t="str">
        <f t="shared" si="9"/>
        <v>2003_06_012.gif</v>
      </c>
      <c r="I155"/>
      <c r="J155"/>
      <c r="L155" s="1" t="b">
        <v>0</v>
      </c>
      <c r="M155" s="1">
        <v>0</v>
      </c>
      <c r="N155" s="1" t="s">
        <v>601</v>
      </c>
      <c r="O155" s="1">
        <v>154</v>
      </c>
      <c r="P155" s="12" t="str">
        <f t="shared" si="11"/>
        <v>Conservation of Momentum</v>
      </c>
      <c r="Q155" s="1">
        <v>4382</v>
      </c>
      <c r="R155" s="1" t="str">
        <f t="shared" si="10"/>
        <v>2003_06</v>
      </c>
      <c r="T155" s="1"/>
      <c r="AU155" s="1">
        <v>1</v>
      </c>
    </row>
    <row r="156" spans="1:78" x14ac:dyDescent="0.2">
      <c r="A156" t="s">
        <v>129</v>
      </c>
      <c r="B156" s="1">
        <v>2003</v>
      </c>
      <c r="C156" s="1">
        <v>6</v>
      </c>
      <c r="D156" s="1">
        <v>13</v>
      </c>
      <c r="E156" t="s">
        <v>6</v>
      </c>
      <c r="G156" s="1">
        <v>4</v>
      </c>
      <c r="H156" s="11" t="str">
        <f t="shared" si="9"/>
        <v>2003_06_013.gif</v>
      </c>
      <c r="I156"/>
      <c r="J156"/>
      <c r="L156" s="1" t="b">
        <v>0</v>
      </c>
      <c r="M156" s="1">
        <v>0</v>
      </c>
      <c r="N156" s="1" t="s">
        <v>601</v>
      </c>
      <c r="O156" s="1">
        <v>155</v>
      </c>
      <c r="P156" s="12" t="str">
        <f t="shared" si="11"/>
        <v>Impulse</v>
      </c>
      <c r="Q156" s="1">
        <v>4383</v>
      </c>
      <c r="R156" s="1" t="str">
        <f t="shared" si="10"/>
        <v>2003_06</v>
      </c>
      <c r="T156" s="1"/>
      <c r="AV156" s="1">
        <v>1</v>
      </c>
    </row>
    <row r="157" spans="1:78" x14ac:dyDescent="0.2">
      <c r="A157" t="s">
        <v>130</v>
      </c>
      <c r="B157" s="1">
        <v>2003</v>
      </c>
      <c r="C157" s="1">
        <v>6</v>
      </c>
      <c r="D157" s="1">
        <v>14</v>
      </c>
      <c r="E157" t="s">
        <v>588</v>
      </c>
      <c r="F157" t="s">
        <v>12</v>
      </c>
      <c r="G157" s="1">
        <v>2</v>
      </c>
      <c r="H157" s="11" t="str">
        <f t="shared" si="9"/>
        <v>2003_06_014.gif</v>
      </c>
      <c r="I157"/>
      <c r="J157"/>
      <c r="L157" s="1" t="b">
        <v>0</v>
      </c>
      <c r="M157" s="1">
        <v>0</v>
      </c>
      <c r="N157" s="1" t="s">
        <v>601</v>
      </c>
      <c r="O157" s="1">
        <v>156</v>
      </c>
      <c r="P157" s="12" t="str">
        <f t="shared" si="11"/>
        <v>Magnetism</v>
      </c>
      <c r="Q157" s="1">
        <v>4384</v>
      </c>
      <c r="R157" s="1" t="str">
        <f t="shared" si="10"/>
        <v>2003_06</v>
      </c>
      <c r="T157" s="1"/>
      <c r="BZ157" s="1">
        <v>1</v>
      </c>
    </row>
    <row r="158" spans="1:78" x14ac:dyDescent="0.2">
      <c r="A158" t="s">
        <v>131</v>
      </c>
      <c r="B158" s="1">
        <v>2003</v>
      </c>
      <c r="C158" s="1">
        <v>6</v>
      </c>
      <c r="D158" s="1">
        <v>15</v>
      </c>
      <c r="E158" t="s">
        <v>5</v>
      </c>
      <c r="G158" s="1">
        <v>1</v>
      </c>
      <c r="H158" s="11" t="str">
        <f t="shared" si="9"/>
        <v>2003_06_015.gif</v>
      </c>
      <c r="I158"/>
      <c r="J158"/>
      <c r="L158" s="1" t="b">
        <v>0</v>
      </c>
      <c r="M158" s="1">
        <v>0</v>
      </c>
      <c r="N158" s="1" t="s">
        <v>601</v>
      </c>
      <c r="O158" s="1">
        <v>157</v>
      </c>
      <c r="P158" s="12" t="str">
        <f t="shared" si="11"/>
        <v>Weight and Mass</v>
      </c>
      <c r="Q158" s="1">
        <v>4385</v>
      </c>
      <c r="R158" s="1" t="str">
        <f t="shared" si="10"/>
        <v>2003_06</v>
      </c>
      <c r="T158" s="1"/>
      <c r="AT158" s="1">
        <v>1</v>
      </c>
    </row>
    <row r="159" spans="1:78" x14ac:dyDescent="0.2">
      <c r="A159" t="s">
        <v>132</v>
      </c>
      <c r="B159" s="1">
        <v>2003</v>
      </c>
      <c r="C159" s="1">
        <v>6</v>
      </c>
      <c r="D159" s="1">
        <v>16</v>
      </c>
      <c r="E159" t="s">
        <v>4</v>
      </c>
      <c r="F159" t="s">
        <v>548</v>
      </c>
      <c r="G159" s="1">
        <v>4</v>
      </c>
      <c r="H159" s="11" t="str">
        <f t="shared" si="9"/>
        <v>2003_06_016.gif</v>
      </c>
      <c r="I159"/>
      <c r="J159"/>
      <c r="L159" s="1" t="b">
        <v>0</v>
      </c>
      <c r="M159" s="1">
        <v>0</v>
      </c>
      <c r="N159" s="1" t="s">
        <v>601</v>
      </c>
      <c r="O159" s="1">
        <v>158</v>
      </c>
      <c r="P159" s="12" t="str">
        <f t="shared" si="11"/>
        <v>Centripetal Motion - Calculation,Mathematical Relationships (Numberless Problems)</v>
      </c>
      <c r="Q159" s="1">
        <v>4386</v>
      </c>
      <c r="R159" s="1" t="str">
        <f t="shared" si="10"/>
        <v>2003_06</v>
      </c>
      <c r="T159" s="1"/>
      <c r="AM159" s="1">
        <v>1</v>
      </c>
      <c r="BY159" s="1">
        <v>1</v>
      </c>
    </row>
    <row r="160" spans="1:78" x14ac:dyDescent="0.2">
      <c r="A160" t="s">
        <v>133</v>
      </c>
      <c r="B160" s="1">
        <v>2003</v>
      </c>
      <c r="C160" s="1">
        <v>6</v>
      </c>
      <c r="D160" s="1">
        <v>17</v>
      </c>
      <c r="E160" t="s">
        <v>10</v>
      </c>
      <c r="F160" t="s">
        <v>548</v>
      </c>
      <c r="G160" s="1">
        <v>1</v>
      </c>
      <c r="H160" s="11" t="str">
        <f t="shared" si="9"/>
        <v>2003_06_017.gif</v>
      </c>
      <c r="I160"/>
      <c r="J160"/>
      <c r="L160" s="1" t="b">
        <v>0</v>
      </c>
      <c r="M160" s="1">
        <v>0</v>
      </c>
      <c r="N160" s="1" t="s">
        <v>601</v>
      </c>
      <c r="O160" s="1">
        <v>159</v>
      </c>
      <c r="P160" s="12" t="str">
        <f t="shared" si="11"/>
        <v>Coulomb's Law,Mathematical Relationships (Numberless Problems)</v>
      </c>
      <c r="Q160" s="1">
        <v>4387</v>
      </c>
      <c r="R160" s="1" t="str">
        <f t="shared" si="10"/>
        <v>2003_06</v>
      </c>
      <c r="T160" s="1"/>
      <c r="BL160" s="1">
        <v>1</v>
      </c>
      <c r="BY160" s="1">
        <v>1</v>
      </c>
    </row>
    <row r="161" spans="1:75" x14ac:dyDescent="0.2">
      <c r="A161" t="s">
        <v>134</v>
      </c>
      <c r="B161" s="1">
        <v>2003</v>
      </c>
      <c r="C161" s="1">
        <v>6</v>
      </c>
      <c r="D161" s="1">
        <v>18</v>
      </c>
      <c r="E161" t="s">
        <v>7</v>
      </c>
      <c r="G161" s="1">
        <v>3</v>
      </c>
      <c r="H161" s="11" t="str">
        <f t="shared" si="9"/>
        <v>2003_06_018.gif</v>
      </c>
      <c r="I161"/>
      <c r="J161"/>
      <c r="L161" s="1" t="b">
        <v>0</v>
      </c>
      <c r="M161" s="1">
        <v>0</v>
      </c>
      <c r="N161" s="1" t="s">
        <v>601</v>
      </c>
      <c r="O161" s="1">
        <v>160</v>
      </c>
      <c r="P161" s="12" t="str">
        <f t="shared" si="11"/>
        <v>Conservation of Energy</v>
      </c>
      <c r="Q161" s="1">
        <v>4388</v>
      </c>
      <c r="R161" s="1" t="str">
        <f t="shared" si="10"/>
        <v>2003_06</v>
      </c>
      <c r="T161" s="1"/>
      <c r="AX161" s="1">
        <v>1</v>
      </c>
    </row>
    <row r="162" spans="1:75" x14ac:dyDescent="0.2">
      <c r="A162" t="s">
        <v>135</v>
      </c>
      <c r="B162" s="1">
        <v>2003</v>
      </c>
      <c r="C162" s="1">
        <v>6</v>
      </c>
      <c r="D162" s="1">
        <v>19</v>
      </c>
      <c r="E162" t="s">
        <v>7</v>
      </c>
      <c r="G162" s="1">
        <v>2</v>
      </c>
      <c r="H162" s="11" t="str">
        <f t="shared" si="9"/>
        <v>2003_06_019.gif</v>
      </c>
      <c r="I162"/>
      <c r="J162"/>
      <c r="L162" s="1" t="b">
        <v>0</v>
      </c>
      <c r="M162" s="1">
        <v>0</v>
      </c>
      <c r="N162" s="1" t="s">
        <v>601</v>
      </c>
      <c r="O162" s="1">
        <v>161</v>
      </c>
      <c r="P162" s="12" t="str">
        <f t="shared" si="11"/>
        <v>Conservation of Energy,Gravitational PE</v>
      </c>
      <c r="Q162" s="1">
        <v>4389</v>
      </c>
      <c r="R162" s="1" t="str">
        <f t="shared" si="10"/>
        <v>2003_06</v>
      </c>
      <c r="T162" s="1"/>
      <c r="AX162" s="1">
        <v>1</v>
      </c>
      <c r="AY162" s="1">
        <v>1</v>
      </c>
    </row>
    <row r="163" spans="1:75" x14ac:dyDescent="0.2">
      <c r="A163" t="s">
        <v>136</v>
      </c>
      <c r="B163" s="1">
        <v>2003</v>
      </c>
      <c r="C163" s="1">
        <v>6</v>
      </c>
      <c r="D163" s="1">
        <v>20</v>
      </c>
      <c r="E163" t="s">
        <v>7</v>
      </c>
      <c r="G163" s="1">
        <v>3</v>
      </c>
      <c r="H163" s="11" t="str">
        <f t="shared" si="9"/>
        <v>2003_06_020.gif</v>
      </c>
      <c r="I163"/>
      <c r="J163"/>
      <c r="L163" s="1" t="b">
        <v>0</v>
      </c>
      <c r="M163" s="1">
        <v>0</v>
      </c>
      <c r="N163" s="1" t="s">
        <v>601</v>
      </c>
      <c r="O163" s="1">
        <v>162</v>
      </c>
      <c r="P163" s="12" t="str">
        <f t="shared" si="11"/>
        <v>Work/Power</v>
      </c>
      <c r="Q163" s="1">
        <v>4390</v>
      </c>
      <c r="R163" s="1" t="str">
        <f t="shared" si="10"/>
        <v>2003_06</v>
      </c>
      <c r="T163" s="1"/>
      <c r="BB163" s="1">
        <v>1</v>
      </c>
    </row>
    <row r="164" spans="1:75" x14ac:dyDescent="0.2">
      <c r="A164" t="s">
        <v>137</v>
      </c>
      <c r="B164" s="1">
        <v>2003</v>
      </c>
      <c r="C164" s="1">
        <v>6</v>
      </c>
      <c r="D164" s="1">
        <v>21</v>
      </c>
      <c r="E164" t="s">
        <v>10</v>
      </c>
      <c r="G164" s="1">
        <v>3</v>
      </c>
      <c r="H164" s="11" t="str">
        <f t="shared" si="9"/>
        <v>2003_06_021.gif</v>
      </c>
      <c r="I164"/>
      <c r="J164"/>
      <c r="L164" s="1" t="b">
        <v>0</v>
      </c>
      <c r="M164" s="1">
        <v>0</v>
      </c>
      <c r="N164" s="1" t="s">
        <v>601</v>
      </c>
      <c r="O164" s="1">
        <v>163</v>
      </c>
      <c r="P164" s="12" t="str">
        <f t="shared" si="11"/>
        <v>Electric Fields and Potential</v>
      </c>
      <c r="Q164" s="1">
        <v>4391</v>
      </c>
      <c r="R164" s="1" t="str">
        <f t="shared" si="10"/>
        <v>2003_06</v>
      </c>
      <c r="T164" s="1"/>
      <c r="BN164" s="1">
        <v>1</v>
      </c>
    </row>
    <row r="165" spans="1:75" x14ac:dyDescent="0.2">
      <c r="A165" t="s">
        <v>138</v>
      </c>
      <c r="B165" s="1">
        <v>2003</v>
      </c>
      <c r="C165" s="1">
        <v>6</v>
      </c>
      <c r="D165" s="1">
        <v>22</v>
      </c>
      <c r="E165" t="s">
        <v>10</v>
      </c>
      <c r="G165" s="1">
        <v>2</v>
      </c>
      <c r="H165" s="11" t="str">
        <f t="shared" si="9"/>
        <v>2003_06_022.gif</v>
      </c>
      <c r="I165"/>
      <c r="J165"/>
      <c r="L165" s="1" t="b">
        <v>0</v>
      </c>
      <c r="M165" s="1">
        <v>0</v>
      </c>
      <c r="N165" s="1" t="s">
        <v>601</v>
      </c>
      <c r="O165" s="1">
        <v>164</v>
      </c>
      <c r="P165" s="12" t="str">
        <f t="shared" si="11"/>
        <v>Electric Fields and Potential</v>
      </c>
      <c r="Q165" s="1">
        <v>4392</v>
      </c>
      <c r="R165" s="1" t="str">
        <f t="shared" si="10"/>
        <v>2003_06</v>
      </c>
      <c r="T165" s="1"/>
      <c r="BN165" s="1">
        <v>1</v>
      </c>
    </row>
    <row r="166" spans="1:75" x14ac:dyDescent="0.2">
      <c r="A166" t="s">
        <v>139</v>
      </c>
      <c r="B166" s="1">
        <v>2003</v>
      </c>
      <c r="C166" s="1">
        <v>6</v>
      </c>
      <c r="D166" s="1">
        <v>23</v>
      </c>
      <c r="E166" t="s">
        <v>9</v>
      </c>
      <c r="G166" s="1">
        <v>3</v>
      </c>
      <c r="H166" s="11" t="str">
        <f t="shared" si="9"/>
        <v>2003_06_023.gif</v>
      </c>
      <c r="I166"/>
      <c r="J166"/>
      <c r="L166" s="1" t="b">
        <v>0</v>
      </c>
      <c r="M166" s="1">
        <v>0</v>
      </c>
      <c r="N166" s="1" t="s">
        <v>601</v>
      </c>
      <c r="O166" s="1">
        <v>165</v>
      </c>
      <c r="P166" s="12" t="str">
        <f t="shared" si="11"/>
        <v>Refraction and Snell's Law</v>
      </c>
      <c r="Q166" s="1">
        <v>4393</v>
      </c>
      <c r="R166" s="1" t="str">
        <f t="shared" si="10"/>
        <v>2003_06</v>
      </c>
      <c r="T166" s="1"/>
      <c r="BJ166" s="1">
        <v>1</v>
      </c>
    </row>
    <row r="167" spans="1:75" x14ac:dyDescent="0.2">
      <c r="A167" t="s">
        <v>140</v>
      </c>
      <c r="B167" s="1">
        <v>2003</v>
      </c>
      <c r="C167" s="1">
        <v>6</v>
      </c>
      <c r="D167" s="1">
        <v>24</v>
      </c>
      <c r="E167" t="s">
        <v>11</v>
      </c>
      <c r="G167" s="1">
        <v>3</v>
      </c>
      <c r="H167" s="11" t="str">
        <f t="shared" si="9"/>
        <v>2003_06_024.gif</v>
      </c>
      <c r="I167"/>
      <c r="J167"/>
      <c r="L167" s="1" t="b">
        <v>0</v>
      </c>
      <c r="M167" s="1">
        <v>0</v>
      </c>
      <c r="N167" s="1" t="s">
        <v>601</v>
      </c>
      <c r="O167" s="1">
        <v>166</v>
      </c>
      <c r="P167" s="12" t="str">
        <f t="shared" si="11"/>
        <v>Series and Parallel</v>
      </c>
      <c r="Q167" s="1">
        <v>4394</v>
      </c>
      <c r="R167" s="1" t="str">
        <f t="shared" si="10"/>
        <v>2003_06</v>
      </c>
      <c r="T167" s="1"/>
      <c r="BS167" s="1">
        <v>1</v>
      </c>
    </row>
    <row r="168" spans="1:75" x14ac:dyDescent="0.2">
      <c r="A168" t="s">
        <v>141</v>
      </c>
      <c r="B168" s="1">
        <v>2003</v>
      </c>
      <c r="C168" s="1">
        <v>6</v>
      </c>
      <c r="D168" s="1">
        <v>25</v>
      </c>
      <c r="E168" t="s">
        <v>9</v>
      </c>
      <c r="F168" t="s">
        <v>8</v>
      </c>
      <c r="G168" s="1">
        <v>4</v>
      </c>
      <c r="H168" s="11" t="str">
        <f t="shared" si="9"/>
        <v>2003_06_025.gif</v>
      </c>
      <c r="I168"/>
      <c r="J168"/>
      <c r="L168" s="1" t="b">
        <v>0</v>
      </c>
      <c r="M168" s="1">
        <v>0</v>
      </c>
      <c r="N168" s="1" t="s">
        <v>601</v>
      </c>
      <c r="O168" s="1">
        <v>167</v>
      </c>
      <c r="P168" s="12" t="str">
        <f t="shared" si="11"/>
        <v>Wave Vocabulary,Light and Sound</v>
      </c>
      <c r="Q168" s="1">
        <v>4395</v>
      </c>
      <c r="R168" s="1" t="str">
        <f t="shared" si="10"/>
        <v>2003_06</v>
      </c>
      <c r="T168" s="1"/>
      <c r="BF168" s="1">
        <v>1</v>
      </c>
      <c r="BI168" s="1">
        <v>1</v>
      </c>
    </row>
    <row r="169" spans="1:75" x14ac:dyDescent="0.2">
      <c r="A169" t="s">
        <v>142</v>
      </c>
      <c r="B169" s="1">
        <v>2003</v>
      </c>
      <c r="C169" s="1">
        <v>6</v>
      </c>
      <c r="D169" s="1">
        <v>26</v>
      </c>
      <c r="E169" t="s">
        <v>8</v>
      </c>
      <c r="G169" s="1">
        <v>3</v>
      </c>
      <c r="H169" s="11" t="str">
        <f t="shared" si="9"/>
        <v>2003_06_026.gif</v>
      </c>
      <c r="I169"/>
      <c r="J169"/>
      <c r="L169" s="1" t="b">
        <v>0</v>
      </c>
      <c r="M169" s="1">
        <v>0</v>
      </c>
      <c r="N169" s="1" t="s">
        <v>601</v>
      </c>
      <c r="O169" s="1">
        <v>168</v>
      </c>
      <c r="P169" s="12" t="str">
        <f t="shared" si="11"/>
        <v>Wave Vocabulary</v>
      </c>
      <c r="Q169" s="1">
        <v>4396</v>
      </c>
      <c r="R169" s="1" t="str">
        <f t="shared" si="10"/>
        <v>2003_06</v>
      </c>
      <c r="T169" s="1"/>
      <c r="BF169" s="1">
        <v>1</v>
      </c>
    </row>
    <row r="170" spans="1:75" x14ac:dyDescent="0.2">
      <c r="A170" t="s">
        <v>143</v>
      </c>
      <c r="B170" s="1">
        <v>2003</v>
      </c>
      <c r="C170" s="1">
        <v>6</v>
      </c>
      <c r="D170" s="1">
        <v>27</v>
      </c>
      <c r="E170" t="s">
        <v>9</v>
      </c>
      <c r="G170" s="1">
        <v>2</v>
      </c>
      <c r="H170" s="11" t="str">
        <f t="shared" si="9"/>
        <v>2003_06_027.gif</v>
      </c>
      <c r="I170"/>
      <c r="J170"/>
      <c r="L170" s="1" t="b">
        <v>0</v>
      </c>
      <c r="M170" s="1">
        <v>0</v>
      </c>
      <c r="N170" s="1" t="s">
        <v>601</v>
      </c>
      <c r="O170" s="1">
        <v>169</v>
      </c>
      <c r="P170" s="12" t="str">
        <f t="shared" si="11"/>
        <v>Refraction and Snell's Law</v>
      </c>
      <c r="Q170" s="1">
        <v>4397</v>
      </c>
      <c r="R170" s="1" t="str">
        <f t="shared" si="10"/>
        <v>2003_06</v>
      </c>
      <c r="T170" s="1"/>
      <c r="BJ170" s="1">
        <v>1</v>
      </c>
    </row>
    <row r="171" spans="1:75" x14ac:dyDescent="0.2">
      <c r="A171" t="s">
        <v>144</v>
      </c>
      <c r="B171" s="1">
        <v>2003</v>
      </c>
      <c r="C171" s="1">
        <v>6</v>
      </c>
      <c r="D171" s="1">
        <v>28</v>
      </c>
      <c r="E171" t="s">
        <v>9</v>
      </c>
      <c r="G171" s="1">
        <v>1</v>
      </c>
      <c r="H171" s="11" t="str">
        <f t="shared" si="9"/>
        <v>2003_06_028.gif</v>
      </c>
      <c r="I171"/>
      <c r="J171"/>
      <c r="L171" s="1" t="b">
        <v>0</v>
      </c>
      <c r="M171" s="1">
        <v>0</v>
      </c>
      <c r="N171" s="1" t="s">
        <v>601</v>
      </c>
      <c r="O171" s="1">
        <v>170</v>
      </c>
      <c r="P171" s="12" t="str">
        <f t="shared" si="11"/>
        <v>Diffraction</v>
      </c>
      <c r="Q171" s="1">
        <v>4398</v>
      </c>
      <c r="R171" s="1" t="str">
        <f t="shared" si="10"/>
        <v>2003_06</v>
      </c>
      <c r="T171" s="1"/>
      <c r="BG171" s="1">
        <v>1</v>
      </c>
    </row>
    <row r="172" spans="1:75" x14ac:dyDescent="0.2">
      <c r="A172" t="s">
        <v>145</v>
      </c>
      <c r="B172" s="1">
        <v>2003</v>
      </c>
      <c r="C172" s="1">
        <v>6</v>
      </c>
      <c r="D172" s="1">
        <v>29</v>
      </c>
      <c r="E172" t="s">
        <v>8</v>
      </c>
      <c r="G172" s="1">
        <v>4</v>
      </c>
      <c r="H172" s="11" t="str">
        <f t="shared" si="9"/>
        <v>2003_06_029.gif</v>
      </c>
      <c r="I172"/>
      <c r="J172"/>
      <c r="L172" s="1" t="b">
        <v>0</v>
      </c>
      <c r="M172" s="1">
        <v>0</v>
      </c>
      <c r="N172" s="1" t="s">
        <v>601</v>
      </c>
      <c r="O172" s="1">
        <v>171</v>
      </c>
      <c r="P172" s="12" t="str">
        <f t="shared" si="11"/>
        <v>Superposition and Standing Waves</v>
      </c>
      <c r="Q172" s="1">
        <v>4399</v>
      </c>
      <c r="R172" s="1" t="str">
        <f t="shared" si="10"/>
        <v>2003_06</v>
      </c>
      <c r="T172" s="1"/>
      <c r="BD172" s="1">
        <v>1</v>
      </c>
    </row>
    <row r="173" spans="1:75" x14ac:dyDescent="0.2">
      <c r="A173" t="s">
        <v>146</v>
      </c>
      <c r="B173" s="1">
        <v>2003</v>
      </c>
      <c r="C173" s="1">
        <v>6</v>
      </c>
      <c r="D173" s="1">
        <v>30</v>
      </c>
      <c r="E173" t="s">
        <v>9</v>
      </c>
      <c r="G173" s="1">
        <v>2</v>
      </c>
      <c r="H173" s="11" t="str">
        <f t="shared" si="9"/>
        <v>2003_06_030.gif</v>
      </c>
      <c r="I173"/>
      <c r="J173"/>
      <c r="L173" s="1" t="b">
        <v>0</v>
      </c>
      <c r="M173" s="1">
        <v>0</v>
      </c>
      <c r="N173" s="1" t="s">
        <v>601</v>
      </c>
      <c r="O173" s="1">
        <v>172</v>
      </c>
      <c r="P173" s="12" t="str">
        <f t="shared" si="11"/>
        <v>Doppler Effect</v>
      </c>
      <c r="Q173" s="1">
        <v>4400</v>
      </c>
      <c r="R173" s="1" t="str">
        <f t="shared" si="10"/>
        <v>2003_06</v>
      </c>
      <c r="T173" s="1"/>
      <c r="BH173" s="1">
        <v>1</v>
      </c>
    </row>
    <row r="174" spans="1:75" x14ac:dyDescent="0.2">
      <c r="A174" t="s">
        <v>147</v>
      </c>
      <c r="B174" s="1">
        <v>2003</v>
      </c>
      <c r="C174" s="1">
        <v>6</v>
      </c>
      <c r="D174" s="1">
        <v>31</v>
      </c>
      <c r="E174" t="s">
        <v>13</v>
      </c>
      <c r="G174" s="1">
        <v>2</v>
      </c>
      <c r="H174" s="11" t="str">
        <f t="shared" si="9"/>
        <v>2003_06_031.gif</v>
      </c>
      <c r="I174"/>
      <c r="J174"/>
      <c r="L174" s="1" t="b">
        <v>0</v>
      </c>
      <c r="M174" s="1">
        <v>0</v>
      </c>
      <c r="N174" s="1" t="s">
        <v>601</v>
      </c>
      <c r="O174" s="1">
        <v>173</v>
      </c>
      <c r="P174" s="12" t="str">
        <f t="shared" si="11"/>
        <v>Energy/Frequency of Photon</v>
      </c>
      <c r="Q174" s="1">
        <v>4401</v>
      </c>
      <c r="R174" s="1" t="str">
        <f t="shared" si="10"/>
        <v>2003_06</v>
      </c>
      <c r="T174" s="1"/>
      <c r="BU174" s="1">
        <v>1</v>
      </c>
    </row>
    <row r="175" spans="1:75" x14ac:dyDescent="0.2">
      <c r="A175" t="s">
        <v>148</v>
      </c>
      <c r="B175" s="1">
        <v>2003</v>
      </c>
      <c r="C175" s="1">
        <v>6</v>
      </c>
      <c r="D175" s="1">
        <v>32</v>
      </c>
      <c r="E175" t="s">
        <v>13</v>
      </c>
      <c r="G175" s="1">
        <v>1</v>
      </c>
      <c r="H175" s="11" t="str">
        <f t="shared" si="9"/>
        <v>2003_06_032.gif</v>
      </c>
      <c r="I175"/>
      <c r="J175"/>
      <c r="L175" s="1" t="b">
        <v>0</v>
      </c>
      <c r="M175" s="1">
        <v>0</v>
      </c>
      <c r="N175" s="1" t="s">
        <v>601</v>
      </c>
      <c r="O175" s="1">
        <v>174</v>
      </c>
      <c r="P175" s="12" t="str">
        <f t="shared" si="11"/>
        <v>Energy/Frequency of Photon</v>
      </c>
      <c r="Q175" s="1">
        <v>4402</v>
      </c>
      <c r="R175" s="1" t="str">
        <f t="shared" si="10"/>
        <v>2003_06</v>
      </c>
      <c r="T175" s="1"/>
      <c r="BU175" s="1">
        <v>1</v>
      </c>
    </row>
    <row r="176" spans="1:75" x14ac:dyDescent="0.2">
      <c r="A176" t="s">
        <v>149</v>
      </c>
      <c r="B176" s="1">
        <v>2003</v>
      </c>
      <c r="C176" s="1">
        <v>6</v>
      </c>
      <c r="D176" s="1">
        <v>33</v>
      </c>
      <c r="E176" t="s">
        <v>13</v>
      </c>
      <c r="G176" s="1">
        <v>2</v>
      </c>
      <c r="H176" s="11" t="str">
        <f t="shared" si="9"/>
        <v>2003_06_033.gif</v>
      </c>
      <c r="I176"/>
      <c r="J176"/>
      <c r="L176" s="1" t="b">
        <v>0</v>
      </c>
      <c r="M176" s="1">
        <v>0</v>
      </c>
      <c r="N176" s="1" t="s">
        <v>601</v>
      </c>
      <c r="O176" s="1">
        <v>175</v>
      </c>
      <c r="P176" s="12" t="str">
        <f t="shared" si="11"/>
        <v>Particle Physics</v>
      </c>
      <c r="Q176" s="1">
        <v>4403</v>
      </c>
      <c r="R176" s="1" t="str">
        <f t="shared" si="10"/>
        <v>2003_06</v>
      </c>
      <c r="T176" s="1"/>
      <c r="BW176" s="1">
        <v>1</v>
      </c>
    </row>
    <row r="177" spans="1:76" x14ac:dyDescent="0.2">
      <c r="A177" t="s">
        <v>150</v>
      </c>
      <c r="B177" s="1">
        <v>2003</v>
      </c>
      <c r="C177" s="1">
        <v>6</v>
      </c>
      <c r="D177" s="1">
        <v>34</v>
      </c>
      <c r="E177" t="s">
        <v>13</v>
      </c>
      <c r="G177" s="1">
        <v>4</v>
      </c>
      <c r="H177" s="11" t="str">
        <f t="shared" si="9"/>
        <v>2003_06_034.gif</v>
      </c>
      <c r="I177"/>
      <c r="J177"/>
      <c r="L177" s="1" t="b">
        <v>0</v>
      </c>
      <c r="M177" s="1">
        <v>0</v>
      </c>
      <c r="N177" s="1" t="s">
        <v>601</v>
      </c>
      <c r="O177" s="1">
        <v>176</v>
      </c>
      <c r="P177" s="12" t="str">
        <f t="shared" si="11"/>
        <v>Particle Physics</v>
      </c>
      <c r="Q177" s="1">
        <v>4404</v>
      </c>
      <c r="R177" s="1" t="str">
        <f t="shared" si="10"/>
        <v>2003_06</v>
      </c>
      <c r="T177" s="1"/>
      <c r="BW177" s="1">
        <v>1</v>
      </c>
    </row>
    <row r="178" spans="1:76" x14ac:dyDescent="0.2">
      <c r="A178" t="s">
        <v>151</v>
      </c>
      <c r="B178" s="1">
        <v>2003</v>
      </c>
      <c r="C178" s="1">
        <v>6</v>
      </c>
      <c r="D178" s="1">
        <v>35</v>
      </c>
      <c r="E178" t="s">
        <v>13</v>
      </c>
      <c r="G178" s="1">
        <v>2</v>
      </c>
      <c r="H178" s="11" t="str">
        <f t="shared" si="9"/>
        <v>2003_06_035.gif</v>
      </c>
      <c r="I178"/>
      <c r="J178"/>
      <c r="L178" s="1" t="b">
        <v>0</v>
      </c>
      <c r="M178" s="1">
        <v>0</v>
      </c>
      <c r="N178" s="1" t="s">
        <v>601</v>
      </c>
      <c r="O178" s="1">
        <v>177</v>
      </c>
      <c r="P178" s="12" t="str">
        <f t="shared" si="11"/>
        <v>Energy/Mass Equivalency</v>
      </c>
      <c r="Q178" s="1">
        <v>4405</v>
      </c>
      <c r="R178" s="1" t="str">
        <f t="shared" si="10"/>
        <v>2003_06</v>
      </c>
      <c r="T178" s="1"/>
      <c r="BV178" s="1">
        <v>1</v>
      </c>
    </row>
    <row r="179" spans="1:76" x14ac:dyDescent="0.2">
      <c r="A179" t="str">
        <f t="shared" ref="A179:A190" si="12">B179 &amp; "_" &amp; TEXT(C179,"00") &amp; "_" &amp; TEXT(D179,"000")</f>
        <v>2003_06_036</v>
      </c>
      <c r="B179" s="1">
        <v>2003</v>
      </c>
      <c r="C179" s="1">
        <v>6</v>
      </c>
      <c r="D179" s="1">
        <v>36</v>
      </c>
      <c r="E179" t="s">
        <v>3</v>
      </c>
      <c r="G179" s="1">
        <v>2</v>
      </c>
      <c r="H179" s="11" t="str">
        <f t="shared" si="9"/>
        <v>2003_06_036.gif</v>
      </c>
      <c r="I179"/>
      <c r="J179"/>
      <c r="L179" s="1" t="b">
        <v>0</v>
      </c>
      <c r="M179" s="1">
        <v>0</v>
      </c>
      <c r="N179" s="1" t="s">
        <v>657</v>
      </c>
      <c r="O179" s="1">
        <v>178</v>
      </c>
      <c r="P179" s="12" t="str">
        <f t="shared" si="11"/>
        <v>Adding Vectors</v>
      </c>
      <c r="Q179" s="1">
        <v>4406</v>
      </c>
      <c r="R179" s="1" t="str">
        <f t="shared" si="10"/>
        <v>2003_06</v>
      </c>
      <c r="T179" s="1"/>
      <c r="AD179" s="1">
        <v>1</v>
      </c>
    </row>
    <row r="180" spans="1:76" x14ac:dyDescent="0.2">
      <c r="A180" t="str">
        <f t="shared" si="12"/>
        <v>2003_06_037</v>
      </c>
      <c r="B180" s="1">
        <v>2003</v>
      </c>
      <c r="C180" s="1">
        <v>6</v>
      </c>
      <c r="D180" s="1">
        <v>37</v>
      </c>
      <c r="E180" t="s">
        <v>10</v>
      </c>
      <c r="G180" s="1">
        <v>2</v>
      </c>
      <c r="H180" s="11" t="str">
        <f t="shared" si="9"/>
        <v>2003_06_037.gif</v>
      </c>
      <c r="I180"/>
      <c r="J180"/>
      <c r="L180" s="1" t="b">
        <v>0</v>
      </c>
      <c r="M180" s="1">
        <v>0</v>
      </c>
      <c r="N180" s="1" t="s">
        <v>657</v>
      </c>
      <c r="O180" s="1">
        <v>179</v>
      </c>
      <c r="P180" s="12" t="str">
        <f t="shared" si="11"/>
        <v>Electric Fields and Potential</v>
      </c>
      <c r="Q180" s="1">
        <v>4407</v>
      </c>
      <c r="R180" s="1" t="str">
        <f t="shared" si="10"/>
        <v>2003_06</v>
      </c>
      <c r="T180" s="1"/>
      <c r="BN180" s="1">
        <v>1</v>
      </c>
    </row>
    <row r="181" spans="1:76" x14ac:dyDescent="0.2">
      <c r="A181" t="str">
        <f t="shared" si="12"/>
        <v>2003_06_038</v>
      </c>
      <c r="B181" s="1">
        <v>2003</v>
      </c>
      <c r="C181" s="1">
        <v>6</v>
      </c>
      <c r="D181" s="1">
        <v>38</v>
      </c>
      <c r="E181" t="s">
        <v>1</v>
      </c>
      <c r="G181" s="1">
        <v>3</v>
      </c>
      <c r="H181" s="11" t="str">
        <f t="shared" si="9"/>
        <v>2003_06_038.gif</v>
      </c>
      <c r="I181"/>
      <c r="J181"/>
      <c r="L181" s="1" t="b">
        <v>0</v>
      </c>
      <c r="M181" s="1">
        <v>0</v>
      </c>
      <c r="N181" s="1" t="s">
        <v>657</v>
      </c>
      <c r="O181" s="1">
        <v>180</v>
      </c>
      <c r="P181" s="12" t="str">
        <f t="shared" si="11"/>
        <v>Estimation</v>
      </c>
      <c r="Q181" s="1">
        <v>4408</v>
      </c>
      <c r="R181" s="1" t="str">
        <f t="shared" si="10"/>
        <v>2003_06</v>
      </c>
      <c r="T181" s="1"/>
      <c r="U181" s="1">
        <v>1</v>
      </c>
    </row>
    <row r="182" spans="1:76" x14ac:dyDescent="0.2">
      <c r="A182" t="str">
        <f t="shared" si="12"/>
        <v>2003_06_039</v>
      </c>
      <c r="B182" s="1">
        <v>2003</v>
      </c>
      <c r="C182" s="1">
        <v>6</v>
      </c>
      <c r="D182" s="1">
        <v>39</v>
      </c>
      <c r="E182" t="s">
        <v>9</v>
      </c>
      <c r="G182" s="1">
        <v>3</v>
      </c>
      <c r="H182" s="11" t="str">
        <f t="shared" si="9"/>
        <v>2003_06_039.gif</v>
      </c>
      <c r="I182"/>
      <c r="J182"/>
      <c r="L182" s="1" t="b">
        <v>0</v>
      </c>
      <c r="M182" s="1">
        <v>0</v>
      </c>
      <c r="N182" s="1" t="s">
        <v>657</v>
      </c>
      <c r="O182" s="1">
        <v>181</v>
      </c>
      <c r="P182" s="12" t="str">
        <f t="shared" si="11"/>
        <v>Refraction and Snell's Law</v>
      </c>
      <c r="Q182" s="1">
        <v>4409</v>
      </c>
      <c r="R182" s="1" t="str">
        <f t="shared" si="10"/>
        <v>2003_06</v>
      </c>
      <c r="T182" s="1"/>
      <c r="BJ182" s="1">
        <v>1</v>
      </c>
    </row>
    <row r="183" spans="1:76" x14ac:dyDescent="0.2">
      <c r="A183" t="str">
        <f t="shared" si="12"/>
        <v>2003_06_040</v>
      </c>
      <c r="B183" s="1">
        <v>2003</v>
      </c>
      <c r="C183" s="1">
        <v>6</v>
      </c>
      <c r="D183" s="1">
        <v>40</v>
      </c>
      <c r="E183" t="s">
        <v>11</v>
      </c>
      <c r="F183" t="s">
        <v>548</v>
      </c>
      <c r="G183" s="1">
        <v>3</v>
      </c>
      <c r="H183" s="11" t="str">
        <f t="shared" si="9"/>
        <v>2003_06_040.gif</v>
      </c>
      <c r="I183"/>
      <c r="J183"/>
      <c r="L183" s="1" t="b">
        <v>0</v>
      </c>
      <c r="M183" s="1">
        <v>0</v>
      </c>
      <c r="N183" s="1" t="s">
        <v>657</v>
      </c>
      <c r="O183" s="1">
        <v>182</v>
      </c>
      <c r="P183" s="12" t="str">
        <f t="shared" si="11"/>
        <v>Electrical Power,Graph Interpretation</v>
      </c>
      <c r="Q183" s="1">
        <v>4410</v>
      </c>
      <c r="R183" s="1" t="str">
        <f t="shared" si="10"/>
        <v>2003_06</v>
      </c>
      <c r="T183" s="1"/>
      <c r="BP183" s="1">
        <v>1</v>
      </c>
      <c r="BX183" s="1">
        <v>1</v>
      </c>
    </row>
    <row r="184" spans="1:76" x14ac:dyDescent="0.2">
      <c r="A184" t="str">
        <f t="shared" si="12"/>
        <v>2003_06_041</v>
      </c>
      <c r="B184" s="1">
        <v>2003</v>
      </c>
      <c r="C184" s="1">
        <v>6</v>
      </c>
      <c r="D184" s="1">
        <v>41</v>
      </c>
      <c r="E184" t="s">
        <v>7</v>
      </c>
      <c r="F184" t="s">
        <v>5</v>
      </c>
      <c r="G184" s="1">
        <v>3</v>
      </c>
      <c r="H184" s="11" t="str">
        <f t="shared" si="9"/>
        <v>2003_06_041.gif</v>
      </c>
      <c r="I184"/>
      <c r="J184"/>
      <c r="L184" s="1" t="b">
        <v>0</v>
      </c>
      <c r="M184" s="1">
        <v>0</v>
      </c>
      <c r="N184" s="1" t="s">
        <v>657</v>
      </c>
      <c r="O184" s="1">
        <v>183</v>
      </c>
      <c r="P184" s="12" t="str">
        <f t="shared" si="11"/>
        <v>Law of Gravity,Coulomb's Law</v>
      </c>
      <c r="Q184" s="1">
        <v>4411</v>
      </c>
      <c r="R184" s="1" t="str">
        <f t="shared" si="10"/>
        <v>2003_06</v>
      </c>
      <c r="T184" s="1"/>
      <c r="AQ184" s="1">
        <v>1</v>
      </c>
      <c r="BL184" s="1">
        <v>1</v>
      </c>
    </row>
    <row r="185" spans="1:76" x14ac:dyDescent="0.2">
      <c r="A185" t="str">
        <f t="shared" si="12"/>
        <v>2003_06_042</v>
      </c>
      <c r="B185" s="1">
        <v>2003</v>
      </c>
      <c r="C185" s="1">
        <v>6</v>
      </c>
      <c r="D185" s="1">
        <v>42</v>
      </c>
      <c r="E185" t="s">
        <v>7</v>
      </c>
      <c r="F185" t="s">
        <v>548</v>
      </c>
      <c r="G185" s="1">
        <v>4</v>
      </c>
      <c r="H185" s="11" t="str">
        <f t="shared" si="9"/>
        <v>2003_06_042.gif</v>
      </c>
      <c r="I185"/>
      <c r="J185"/>
      <c r="L185" s="1" t="b">
        <v>0</v>
      </c>
      <c r="M185" s="1">
        <v>0</v>
      </c>
      <c r="N185" s="1" t="s">
        <v>657</v>
      </c>
      <c r="O185" s="1">
        <v>184</v>
      </c>
      <c r="P185" s="12" t="str">
        <f t="shared" si="11"/>
        <v>Kinetic Energy,Graph Interpretation</v>
      </c>
      <c r="Q185" s="1">
        <v>4412</v>
      </c>
      <c r="R185" s="1" t="str">
        <f t="shared" si="10"/>
        <v>2003_06</v>
      </c>
      <c r="T185" s="1"/>
      <c r="AZ185" s="1">
        <v>1</v>
      </c>
      <c r="BX185" s="1">
        <v>1</v>
      </c>
    </row>
    <row r="186" spans="1:76" x14ac:dyDescent="0.2">
      <c r="A186" t="str">
        <f t="shared" si="12"/>
        <v>2003_06_043</v>
      </c>
      <c r="B186" s="1">
        <v>2003</v>
      </c>
      <c r="C186" s="1">
        <v>6</v>
      </c>
      <c r="D186" s="1">
        <v>43</v>
      </c>
      <c r="E186" t="s">
        <v>11</v>
      </c>
      <c r="G186" s="1">
        <v>4</v>
      </c>
      <c r="H186" s="11" t="str">
        <f t="shared" si="9"/>
        <v>2003_06_043.gif</v>
      </c>
      <c r="I186"/>
      <c r="J186"/>
      <c r="L186" s="1" t="b">
        <v>0</v>
      </c>
      <c r="M186" s="1">
        <v>0</v>
      </c>
      <c r="N186" s="1" t="s">
        <v>657</v>
      </c>
      <c r="O186" s="1">
        <v>185</v>
      </c>
      <c r="P186" s="12" t="str">
        <f t="shared" si="11"/>
        <v>Electrical Meters</v>
      </c>
      <c r="Q186" s="1">
        <v>4413</v>
      </c>
      <c r="R186" s="1" t="str">
        <f t="shared" si="10"/>
        <v>2003_06</v>
      </c>
      <c r="T186" s="1"/>
      <c r="BT186" s="1">
        <v>1</v>
      </c>
    </row>
    <row r="187" spans="1:76" x14ac:dyDescent="0.2">
      <c r="A187" t="str">
        <f t="shared" si="12"/>
        <v>2003_06_044</v>
      </c>
      <c r="B187" s="1">
        <v>2003</v>
      </c>
      <c r="C187" s="1">
        <v>6</v>
      </c>
      <c r="D187" s="1">
        <v>44</v>
      </c>
      <c r="E187" t="s">
        <v>11</v>
      </c>
      <c r="G187" s="1">
        <v>4</v>
      </c>
      <c r="H187" s="11" t="str">
        <f t="shared" si="9"/>
        <v>2003_06_044.gif</v>
      </c>
      <c r="I187"/>
      <c r="J187"/>
      <c r="L187" s="1" t="b">
        <v>0</v>
      </c>
      <c r="M187" s="1">
        <v>0</v>
      </c>
      <c r="N187" s="1" t="s">
        <v>657</v>
      </c>
      <c r="O187" s="1">
        <v>186</v>
      </c>
      <c r="P187" s="12" t="str">
        <f t="shared" si="11"/>
        <v>Electrical Power,Series and Parallel</v>
      </c>
      <c r="Q187" s="1">
        <v>4414</v>
      </c>
      <c r="R187" s="1" t="str">
        <f t="shared" si="10"/>
        <v>2003_06</v>
      </c>
      <c r="T187" s="1"/>
      <c r="BP187" s="1">
        <v>1</v>
      </c>
      <c r="BS187" s="1">
        <v>1</v>
      </c>
    </row>
    <row r="188" spans="1:76" x14ac:dyDescent="0.2">
      <c r="A188" t="str">
        <f t="shared" si="12"/>
        <v>2003_06_045</v>
      </c>
      <c r="B188" s="1">
        <v>2003</v>
      </c>
      <c r="C188" s="1">
        <v>6</v>
      </c>
      <c r="D188" s="1">
        <v>45</v>
      </c>
      <c r="E188" t="s">
        <v>8</v>
      </c>
      <c r="G188" s="1">
        <v>3</v>
      </c>
      <c r="H188" s="11" t="str">
        <f t="shared" si="9"/>
        <v>2003_06_045.gif</v>
      </c>
      <c r="I188"/>
      <c r="J188"/>
      <c r="L188" s="1" t="b">
        <v>0</v>
      </c>
      <c r="M188" s="1">
        <v>0</v>
      </c>
      <c r="N188" s="1" t="s">
        <v>657</v>
      </c>
      <c r="O188" s="1">
        <v>187</v>
      </c>
      <c r="P188" s="12" t="str">
        <f t="shared" si="11"/>
        <v>Superposition and Standing Waves</v>
      </c>
      <c r="Q188" s="1">
        <v>4415</v>
      </c>
      <c r="R188" s="1" t="str">
        <f t="shared" si="10"/>
        <v>2003_06</v>
      </c>
      <c r="T188" s="1"/>
      <c r="BD188" s="1">
        <v>1</v>
      </c>
    </row>
    <row r="189" spans="1:76" x14ac:dyDescent="0.2">
      <c r="A189" t="str">
        <f t="shared" si="12"/>
        <v>2003_06_046</v>
      </c>
      <c r="B189" s="1">
        <v>2003</v>
      </c>
      <c r="C189" s="1">
        <v>6</v>
      </c>
      <c r="D189" s="1">
        <v>46</v>
      </c>
      <c r="E189" t="s">
        <v>2</v>
      </c>
      <c r="G189" s="1">
        <v>2</v>
      </c>
      <c r="H189" s="11" t="str">
        <f t="shared" si="9"/>
        <v>2003_06_046.gif</v>
      </c>
      <c r="I189"/>
      <c r="J189"/>
      <c r="L189" s="1" t="b">
        <v>0</v>
      </c>
      <c r="M189" s="1">
        <v>0</v>
      </c>
      <c r="N189" s="1" t="s">
        <v>657</v>
      </c>
      <c r="O189" s="1">
        <v>188</v>
      </c>
      <c r="P189" s="12" t="str">
        <f t="shared" si="11"/>
        <v>DT/VT Graphs</v>
      </c>
      <c r="Q189" s="1">
        <v>4416</v>
      </c>
      <c r="R189" s="1" t="str">
        <f t="shared" si="10"/>
        <v>2003_06</v>
      </c>
      <c r="T189" s="1"/>
      <c r="W189" s="1">
        <v>1</v>
      </c>
    </row>
    <row r="190" spans="1:76" x14ac:dyDescent="0.2">
      <c r="A190" t="str">
        <f t="shared" si="12"/>
        <v>2003_06_047</v>
      </c>
      <c r="B190" s="1">
        <v>2003</v>
      </c>
      <c r="C190" s="1">
        <v>6</v>
      </c>
      <c r="D190" s="1">
        <v>47</v>
      </c>
      <c r="E190" t="s">
        <v>5</v>
      </c>
      <c r="G190" s="1">
        <v>4</v>
      </c>
      <c r="H190" s="11" t="str">
        <f t="shared" si="9"/>
        <v>2003_06_047.gif</v>
      </c>
      <c r="I190"/>
      <c r="J190"/>
      <c r="L190" s="1" t="b">
        <v>0</v>
      </c>
      <c r="M190" s="1">
        <v>0</v>
      </c>
      <c r="N190" s="1" t="s">
        <v>657</v>
      </c>
      <c r="O190" s="1">
        <v>189</v>
      </c>
      <c r="P190" s="12" t="str">
        <f t="shared" si="11"/>
        <v>Newton's 2nd Law (F=MA)</v>
      </c>
      <c r="Q190" s="1">
        <v>4417</v>
      </c>
      <c r="R190" s="1" t="str">
        <f t="shared" si="10"/>
        <v>2003_06</v>
      </c>
      <c r="T190" s="1"/>
      <c r="AS190" s="1">
        <v>1</v>
      </c>
    </row>
    <row r="191" spans="1:76" x14ac:dyDescent="0.2">
      <c r="A191" t="s">
        <v>152</v>
      </c>
      <c r="B191" s="1">
        <v>2004</v>
      </c>
      <c r="C191" s="1">
        <v>1</v>
      </c>
      <c r="D191" s="1">
        <v>1</v>
      </c>
      <c r="E191" t="s">
        <v>2</v>
      </c>
      <c r="F191" t="s">
        <v>3</v>
      </c>
      <c r="G191" s="1">
        <v>1</v>
      </c>
      <c r="H191" s="11" t="str">
        <f t="shared" si="9"/>
        <v>2004_01_001.gif</v>
      </c>
      <c r="I191"/>
      <c r="J191"/>
      <c r="L191" s="1" t="b">
        <v>0</v>
      </c>
      <c r="M191" s="1">
        <v>0</v>
      </c>
      <c r="N191" s="1" t="s">
        <v>601</v>
      </c>
      <c r="O191" s="1">
        <v>190</v>
      </c>
      <c r="P191" s="12" t="str">
        <f t="shared" si="11"/>
        <v>Basic Motion Concepts,Vector vs. Scalar</v>
      </c>
      <c r="Q191" s="1">
        <v>4442</v>
      </c>
      <c r="R191" s="1" t="str">
        <f t="shared" si="10"/>
        <v>2004_01</v>
      </c>
      <c r="T191" s="1"/>
      <c r="Z191" s="1">
        <v>1</v>
      </c>
      <c r="AF191" s="1">
        <v>1</v>
      </c>
    </row>
    <row r="192" spans="1:76" x14ac:dyDescent="0.2">
      <c r="A192" t="s">
        <v>153</v>
      </c>
      <c r="B192" s="1">
        <v>2004</v>
      </c>
      <c r="C192" s="1">
        <v>1</v>
      </c>
      <c r="D192" s="1">
        <v>2</v>
      </c>
      <c r="E192" t="s">
        <v>2</v>
      </c>
      <c r="G192" s="1">
        <v>4</v>
      </c>
      <c r="H192" s="11" t="str">
        <f t="shared" si="9"/>
        <v>2004_01_002.gif</v>
      </c>
      <c r="I192"/>
      <c r="J192"/>
      <c r="L192" s="1" t="b">
        <v>0</v>
      </c>
      <c r="M192" s="1">
        <v>0</v>
      </c>
      <c r="N192" s="1" t="s">
        <v>601</v>
      </c>
      <c r="O192" s="1">
        <v>191</v>
      </c>
      <c r="P192" s="12" t="str">
        <f t="shared" si="11"/>
        <v>Basic Motion Concepts</v>
      </c>
      <c r="Q192" s="1">
        <v>4443</v>
      </c>
      <c r="R192" s="1" t="str">
        <f t="shared" si="10"/>
        <v>2004_01</v>
      </c>
      <c r="T192" s="1"/>
      <c r="Z192" s="1">
        <v>1</v>
      </c>
    </row>
    <row r="193" spans="1:77" x14ac:dyDescent="0.2">
      <c r="A193" t="s">
        <v>154</v>
      </c>
      <c r="B193" s="1">
        <v>2004</v>
      </c>
      <c r="C193" s="1">
        <v>1</v>
      </c>
      <c r="D193" s="1">
        <v>3</v>
      </c>
      <c r="E193" t="s">
        <v>2</v>
      </c>
      <c r="G193" s="1">
        <v>1</v>
      </c>
      <c r="H193" s="11" t="str">
        <f t="shared" si="9"/>
        <v>2004_01_003.gif</v>
      </c>
      <c r="I193"/>
      <c r="J193"/>
      <c r="L193" s="1" t="b">
        <v>0</v>
      </c>
      <c r="M193" s="1">
        <v>0</v>
      </c>
      <c r="N193" s="1" t="s">
        <v>601</v>
      </c>
      <c r="O193" s="1">
        <v>192</v>
      </c>
      <c r="P193" s="12" t="str">
        <f t="shared" si="11"/>
        <v>Horizontal Constant Acceleration Problems</v>
      </c>
      <c r="Q193" s="1">
        <v>4444</v>
      </c>
      <c r="R193" s="1" t="str">
        <f t="shared" si="10"/>
        <v>2004_01</v>
      </c>
      <c r="T193" s="1"/>
      <c r="AB193" s="1">
        <v>1</v>
      </c>
    </row>
    <row r="194" spans="1:77" x14ac:dyDescent="0.2">
      <c r="A194" t="s">
        <v>155</v>
      </c>
      <c r="B194" s="1">
        <v>2004</v>
      </c>
      <c r="C194" s="1">
        <v>1</v>
      </c>
      <c r="D194" s="1">
        <v>4</v>
      </c>
      <c r="E194" t="s">
        <v>2</v>
      </c>
      <c r="G194" s="1">
        <v>1</v>
      </c>
      <c r="H194" s="11" t="str">
        <f t="shared" ref="H194:H257" si="13">HYPERLINK(A194&amp;".gif")</f>
        <v>2004_01_004.gif</v>
      </c>
      <c r="I194"/>
      <c r="J194"/>
      <c r="L194" s="1" t="b">
        <v>0</v>
      </c>
      <c r="M194" s="1">
        <v>0</v>
      </c>
      <c r="N194" s="1" t="s">
        <v>601</v>
      </c>
      <c r="O194" s="1">
        <v>193</v>
      </c>
      <c r="P194" s="12" t="str">
        <f t="shared" si="11"/>
        <v>Vertical Constant Acceleration Problems</v>
      </c>
      <c r="Q194" s="1">
        <v>4445</v>
      </c>
      <c r="R194" s="1" t="str">
        <f t="shared" si="10"/>
        <v>2004_01</v>
      </c>
      <c r="T194" s="1"/>
      <c r="AC194" s="1">
        <v>1</v>
      </c>
    </row>
    <row r="195" spans="1:77" x14ac:dyDescent="0.2">
      <c r="A195" t="s">
        <v>156</v>
      </c>
      <c r="B195" s="1">
        <v>2004</v>
      </c>
      <c r="C195" s="1">
        <v>1</v>
      </c>
      <c r="D195" s="1">
        <v>5</v>
      </c>
      <c r="E195" t="s">
        <v>5</v>
      </c>
      <c r="G195" s="1">
        <v>4</v>
      </c>
      <c r="H195" s="11" t="str">
        <f t="shared" si="13"/>
        <v>2004_01_005.gif</v>
      </c>
      <c r="I195"/>
      <c r="J195"/>
      <c r="L195" s="1" t="b">
        <v>0</v>
      </c>
      <c r="M195" s="1">
        <v>0</v>
      </c>
      <c r="N195" s="1" t="s">
        <v>601</v>
      </c>
      <c r="O195" s="1">
        <v>194</v>
      </c>
      <c r="P195" s="12" t="str">
        <f t="shared" si="11"/>
        <v>Weight and Mass</v>
      </c>
      <c r="Q195" s="1">
        <v>4446</v>
      </c>
      <c r="R195" s="1" t="str">
        <f t="shared" ref="R195:R258" si="14">B195&amp;"_"&amp;TEXT(C195,"00")</f>
        <v>2004_01</v>
      </c>
      <c r="T195" s="1"/>
      <c r="AT195" s="1">
        <v>1</v>
      </c>
    </row>
    <row r="196" spans="1:77" x14ac:dyDescent="0.2">
      <c r="A196" t="s">
        <v>157</v>
      </c>
      <c r="B196" s="1">
        <v>2004</v>
      </c>
      <c r="C196" s="1">
        <v>1</v>
      </c>
      <c r="D196" s="1">
        <v>6</v>
      </c>
      <c r="E196" t="s">
        <v>3</v>
      </c>
      <c r="F196" t="s">
        <v>4</v>
      </c>
      <c r="G196" s="1">
        <v>3</v>
      </c>
      <c r="H196" s="11" t="str">
        <f t="shared" si="13"/>
        <v>2004_01_006.gif</v>
      </c>
      <c r="I196"/>
      <c r="J196"/>
      <c r="L196" s="1" t="b">
        <v>0</v>
      </c>
      <c r="M196" s="1">
        <v>0</v>
      </c>
      <c r="N196" s="1" t="s">
        <v>601</v>
      </c>
      <c r="O196" s="1">
        <v>195</v>
      </c>
      <c r="P196" s="12" t="str">
        <f t="shared" si="11"/>
        <v>Vector Components,Projectiles at an Angle</v>
      </c>
      <c r="Q196" s="1">
        <v>4447</v>
      </c>
      <c r="R196" s="1" t="str">
        <f t="shared" si="14"/>
        <v>2004_01</v>
      </c>
      <c r="T196" s="1"/>
      <c r="AE196" s="1">
        <v>1</v>
      </c>
      <c r="AH196" s="1">
        <v>1</v>
      </c>
    </row>
    <row r="197" spans="1:77" x14ac:dyDescent="0.2">
      <c r="A197" t="s">
        <v>158</v>
      </c>
      <c r="B197" s="1">
        <v>2004</v>
      </c>
      <c r="C197" s="1">
        <v>1</v>
      </c>
      <c r="D197" s="1">
        <v>7</v>
      </c>
      <c r="E197" t="s">
        <v>4</v>
      </c>
      <c r="G197" s="1">
        <v>1</v>
      </c>
      <c r="H197" s="11" t="str">
        <f t="shared" si="13"/>
        <v>2004_01_007.gif</v>
      </c>
      <c r="I197"/>
      <c r="J197"/>
      <c r="L197" s="1" t="b">
        <v>0</v>
      </c>
      <c r="M197" s="1">
        <v>0</v>
      </c>
      <c r="N197" s="1" t="s">
        <v>601</v>
      </c>
      <c r="O197" s="1">
        <v>196</v>
      </c>
      <c r="P197" s="12" t="str">
        <f t="shared" si="11"/>
        <v>Projectiles at an Angle,Max Height of Projectile</v>
      </c>
      <c r="Q197" s="1">
        <v>4448</v>
      </c>
      <c r="R197" s="1" t="str">
        <f t="shared" si="14"/>
        <v>2004_01</v>
      </c>
      <c r="T197" s="1"/>
      <c r="AH197" s="1">
        <v>1</v>
      </c>
      <c r="AK197" s="1">
        <v>1</v>
      </c>
    </row>
    <row r="198" spans="1:77" x14ac:dyDescent="0.2">
      <c r="A198" t="s">
        <v>159</v>
      </c>
      <c r="B198" s="1">
        <v>2004</v>
      </c>
      <c r="C198" s="1">
        <v>1</v>
      </c>
      <c r="D198" s="1">
        <v>8</v>
      </c>
      <c r="E198" t="s">
        <v>4</v>
      </c>
      <c r="F198" t="s">
        <v>548</v>
      </c>
      <c r="G198" s="1">
        <v>2</v>
      </c>
      <c r="H198" s="11" t="str">
        <f t="shared" si="13"/>
        <v>2004_01_008.gif</v>
      </c>
      <c r="I198"/>
      <c r="J198"/>
      <c r="L198" s="1" t="b">
        <v>0</v>
      </c>
      <c r="M198" s="1">
        <v>0</v>
      </c>
      <c r="N198" s="1" t="s">
        <v>601</v>
      </c>
      <c r="O198" s="1">
        <v>197</v>
      </c>
      <c r="P198" s="12" t="str">
        <f t="shared" si="11"/>
        <v>Centripetal Motion - Calculation,Mathematical Relationships (Numberless Problems)</v>
      </c>
      <c r="Q198" s="1">
        <v>4449</v>
      </c>
      <c r="R198" s="1" t="str">
        <f t="shared" si="14"/>
        <v>2004_01</v>
      </c>
      <c r="T198" s="1"/>
      <c r="AM198" s="1">
        <v>1</v>
      </c>
      <c r="BY198" s="1">
        <v>1</v>
      </c>
    </row>
    <row r="199" spans="1:77" x14ac:dyDescent="0.2">
      <c r="A199" t="s">
        <v>160</v>
      </c>
      <c r="B199" s="1">
        <v>2004</v>
      </c>
      <c r="C199" s="1">
        <v>1</v>
      </c>
      <c r="D199" s="1">
        <v>9</v>
      </c>
      <c r="E199" t="s">
        <v>10</v>
      </c>
      <c r="F199" t="s">
        <v>548</v>
      </c>
      <c r="G199" s="1">
        <v>4</v>
      </c>
      <c r="H199" s="11" t="str">
        <f t="shared" si="13"/>
        <v>2004_01_009.gif</v>
      </c>
      <c r="I199"/>
      <c r="J199"/>
      <c r="L199" s="1" t="b">
        <v>0</v>
      </c>
      <c r="M199" s="1">
        <v>0</v>
      </c>
      <c r="N199" s="1" t="s">
        <v>601</v>
      </c>
      <c r="O199" s="1">
        <v>198</v>
      </c>
      <c r="P199" s="12" t="str">
        <f t="shared" si="11"/>
        <v>Coulomb's Law,Mathematical Relationships (Numberless Problems)</v>
      </c>
      <c r="Q199" s="1">
        <v>4450</v>
      </c>
      <c r="R199" s="1" t="str">
        <f t="shared" si="14"/>
        <v>2004_01</v>
      </c>
      <c r="T199" s="1"/>
      <c r="BL199" s="1">
        <v>1</v>
      </c>
      <c r="BY199" s="1">
        <v>1</v>
      </c>
    </row>
    <row r="200" spans="1:77" x14ac:dyDescent="0.2">
      <c r="A200" t="s">
        <v>161</v>
      </c>
      <c r="B200" s="1">
        <v>2004</v>
      </c>
      <c r="C200" s="1">
        <v>1</v>
      </c>
      <c r="D200" s="1">
        <v>10</v>
      </c>
      <c r="E200" t="s">
        <v>5</v>
      </c>
      <c r="G200" s="1">
        <v>1</v>
      </c>
      <c r="H200" s="11" t="str">
        <f t="shared" si="13"/>
        <v>2004_01_010.gif</v>
      </c>
      <c r="I200"/>
      <c r="J200"/>
      <c r="L200" s="1" t="b">
        <v>0</v>
      </c>
      <c r="M200" s="1">
        <v>0</v>
      </c>
      <c r="N200" s="1" t="s">
        <v>601</v>
      </c>
      <c r="O200" s="1">
        <v>199</v>
      </c>
      <c r="P200" s="12" t="str">
        <f t="shared" si="11"/>
        <v>Friction</v>
      </c>
      <c r="Q200" s="1">
        <v>4451</v>
      </c>
      <c r="R200" s="1" t="str">
        <f t="shared" si="14"/>
        <v>2004_01</v>
      </c>
      <c r="T200" s="1"/>
      <c r="AN200" s="1">
        <v>1</v>
      </c>
    </row>
    <row r="201" spans="1:77" x14ac:dyDescent="0.2">
      <c r="A201" t="s">
        <v>162</v>
      </c>
      <c r="B201" s="1">
        <v>2004</v>
      </c>
      <c r="C201" s="1">
        <v>1</v>
      </c>
      <c r="D201" s="1">
        <v>11</v>
      </c>
      <c r="E201" t="s">
        <v>6</v>
      </c>
      <c r="G201" s="1">
        <v>3</v>
      </c>
      <c r="H201" s="11" t="str">
        <f t="shared" si="13"/>
        <v>2004_01_011.gif</v>
      </c>
      <c r="I201"/>
      <c r="J201"/>
      <c r="L201" s="1" t="b">
        <v>0</v>
      </c>
      <c r="M201" s="1">
        <v>0</v>
      </c>
      <c r="N201" s="1" t="s">
        <v>601</v>
      </c>
      <c r="O201" s="1">
        <v>200</v>
      </c>
      <c r="P201" s="12" t="str">
        <f t="shared" si="11"/>
        <v>Impulse</v>
      </c>
      <c r="Q201" s="1">
        <v>4452</v>
      </c>
      <c r="R201" s="1" t="str">
        <f t="shared" si="14"/>
        <v>2004_01</v>
      </c>
      <c r="T201" s="1"/>
      <c r="AV201" s="1">
        <v>1</v>
      </c>
    </row>
    <row r="202" spans="1:77" x14ac:dyDescent="0.2">
      <c r="A202" t="s">
        <v>163</v>
      </c>
      <c r="B202" s="1">
        <v>2004</v>
      </c>
      <c r="C202" s="1">
        <v>1</v>
      </c>
      <c r="D202" s="1">
        <v>12</v>
      </c>
      <c r="E202" t="s">
        <v>6</v>
      </c>
      <c r="G202" s="1">
        <v>2</v>
      </c>
      <c r="H202" s="11" t="str">
        <f t="shared" si="13"/>
        <v>2004_01_012.gif</v>
      </c>
      <c r="I202"/>
      <c r="J202"/>
      <c r="L202" s="1" t="b">
        <v>0</v>
      </c>
      <c r="M202" s="1">
        <v>0</v>
      </c>
      <c r="N202" s="1" t="s">
        <v>601</v>
      </c>
      <c r="O202" s="1">
        <v>201</v>
      </c>
      <c r="P202" s="12" t="str">
        <f t="shared" si="11"/>
        <v>Conservation of Momentum</v>
      </c>
      <c r="Q202" s="1">
        <v>4453</v>
      </c>
      <c r="R202" s="1" t="str">
        <f t="shared" si="14"/>
        <v>2004_01</v>
      </c>
      <c r="T202" s="1"/>
      <c r="AU202" s="1">
        <v>1</v>
      </c>
    </row>
    <row r="203" spans="1:77" x14ac:dyDescent="0.2">
      <c r="A203" t="s">
        <v>164</v>
      </c>
      <c r="B203" s="1">
        <v>2004</v>
      </c>
      <c r="C203" s="1">
        <v>1</v>
      </c>
      <c r="D203" s="1">
        <v>13</v>
      </c>
      <c r="E203" t="s">
        <v>10</v>
      </c>
      <c r="F203" t="s">
        <v>588</v>
      </c>
      <c r="G203" s="1">
        <v>4</v>
      </c>
      <c r="H203" s="11" t="str">
        <f t="shared" si="13"/>
        <v>2004_01_013.gif</v>
      </c>
      <c r="I203"/>
      <c r="J203"/>
      <c r="L203" s="1" t="b">
        <v>0</v>
      </c>
      <c r="M203" s="1">
        <v>0</v>
      </c>
      <c r="N203" s="1" t="s">
        <v>601</v>
      </c>
      <c r="O203" s="1">
        <v>202</v>
      </c>
      <c r="P203" s="12" t="str">
        <f t="shared" ref="P203:P266" si="15">concatenateif(U203:DI203,1,$U$1:$DI$1)</f>
        <v>Coulomb's Law,Electric Fields and Potential</v>
      </c>
      <c r="Q203" s="1">
        <v>4454</v>
      </c>
      <c r="R203" s="1" t="str">
        <f t="shared" si="14"/>
        <v>2004_01</v>
      </c>
      <c r="T203" s="1"/>
      <c r="BL203" s="1">
        <v>1</v>
      </c>
      <c r="BN203" s="1">
        <v>1</v>
      </c>
    </row>
    <row r="204" spans="1:77" x14ac:dyDescent="0.2">
      <c r="A204" t="s">
        <v>165</v>
      </c>
      <c r="B204" s="1">
        <v>2004</v>
      </c>
      <c r="C204" s="1">
        <v>1</v>
      </c>
      <c r="D204" s="1">
        <v>14</v>
      </c>
      <c r="E204" t="s">
        <v>7</v>
      </c>
      <c r="F204" t="s">
        <v>548</v>
      </c>
      <c r="G204" s="1">
        <v>1</v>
      </c>
      <c r="H204" s="11" t="str">
        <f t="shared" si="13"/>
        <v>2004_01_014.gif</v>
      </c>
      <c r="I204"/>
      <c r="J204"/>
      <c r="L204" s="1" t="b">
        <v>0</v>
      </c>
      <c r="M204" s="1">
        <v>0</v>
      </c>
      <c r="N204" s="1" t="s">
        <v>601</v>
      </c>
      <c r="O204" s="1">
        <v>203</v>
      </c>
      <c r="P204" s="12" t="str">
        <f t="shared" si="15"/>
        <v>Kinetic Energy,Mathematical Relationships (Numberless Problems)</v>
      </c>
      <c r="Q204" s="1">
        <v>4455</v>
      </c>
      <c r="R204" s="1" t="str">
        <f t="shared" si="14"/>
        <v>2004_01</v>
      </c>
      <c r="T204" s="1"/>
      <c r="AZ204" s="1">
        <v>1</v>
      </c>
      <c r="BY204" s="1">
        <v>1</v>
      </c>
    </row>
    <row r="205" spans="1:77" x14ac:dyDescent="0.2">
      <c r="A205" t="s">
        <v>166</v>
      </c>
      <c r="B205" s="1">
        <v>2004</v>
      </c>
      <c r="C205" s="1">
        <v>1</v>
      </c>
      <c r="D205" s="1">
        <v>15</v>
      </c>
      <c r="E205" t="s">
        <v>11</v>
      </c>
      <c r="G205" s="1">
        <v>4</v>
      </c>
      <c r="H205" s="11" t="str">
        <f t="shared" si="13"/>
        <v>2004_01_015.gif</v>
      </c>
      <c r="I205"/>
      <c r="J205"/>
      <c r="L205" s="1" t="b">
        <v>0</v>
      </c>
      <c r="M205" s="1">
        <v>0</v>
      </c>
      <c r="N205" s="1" t="s">
        <v>601</v>
      </c>
      <c r="O205" s="1">
        <v>204</v>
      </c>
      <c r="P205" s="12" t="str">
        <f t="shared" si="15"/>
        <v>Series and Parallel</v>
      </c>
      <c r="Q205" s="1">
        <v>4456</v>
      </c>
      <c r="R205" s="1" t="str">
        <f t="shared" si="14"/>
        <v>2004_01</v>
      </c>
      <c r="T205" s="1"/>
      <c r="BS205" s="1">
        <v>1</v>
      </c>
    </row>
    <row r="206" spans="1:77" x14ac:dyDescent="0.2">
      <c r="A206" t="s">
        <v>167</v>
      </c>
      <c r="B206" s="1">
        <v>2004</v>
      </c>
      <c r="C206" s="1">
        <v>1</v>
      </c>
      <c r="D206" s="1">
        <v>16</v>
      </c>
      <c r="E206" t="s">
        <v>7</v>
      </c>
      <c r="G206" s="1">
        <v>4</v>
      </c>
      <c r="H206" s="11" t="str">
        <f t="shared" si="13"/>
        <v>2004_01_016.gif</v>
      </c>
      <c r="I206"/>
      <c r="J206"/>
      <c r="L206" s="1" t="b">
        <v>0</v>
      </c>
      <c r="M206" s="1">
        <v>0</v>
      </c>
      <c r="N206" s="1" t="s">
        <v>601</v>
      </c>
      <c r="O206" s="1">
        <v>205</v>
      </c>
      <c r="P206" s="12" t="str">
        <f t="shared" si="15"/>
        <v>Conservation of Energy,Gravitational PE,PE of Spring</v>
      </c>
      <c r="Q206" s="1">
        <v>4457</v>
      </c>
      <c r="R206" s="1" t="str">
        <f t="shared" si="14"/>
        <v>2004_01</v>
      </c>
      <c r="T206" s="1"/>
      <c r="AX206" s="1">
        <v>1</v>
      </c>
      <c r="AY206" s="1">
        <v>1</v>
      </c>
      <c r="BA206" s="1">
        <v>1</v>
      </c>
    </row>
    <row r="207" spans="1:77" x14ac:dyDescent="0.2">
      <c r="A207" t="s">
        <v>168</v>
      </c>
      <c r="B207" s="1">
        <v>2004</v>
      </c>
      <c r="C207" s="1">
        <v>1</v>
      </c>
      <c r="D207" s="1">
        <v>17</v>
      </c>
      <c r="E207" t="s">
        <v>7</v>
      </c>
      <c r="G207" s="1">
        <v>2</v>
      </c>
      <c r="H207" s="11" t="str">
        <f t="shared" si="13"/>
        <v>2004_01_017.gif</v>
      </c>
      <c r="I207"/>
      <c r="J207"/>
      <c r="L207" s="1" t="b">
        <v>0</v>
      </c>
      <c r="M207" s="1">
        <v>0</v>
      </c>
      <c r="N207" s="1" t="s">
        <v>601</v>
      </c>
      <c r="O207" s="1">
        <v>206</v>
      </c>
      <c r="P207" s="12" t="str">
        <f t="shared" si="15"/>
        <v>Conservation of Energy,Gravitational PE</v>
      </c>
      <c r="Q207" s="1">
        <v>4458</v>
      </c>
      <c r="R207" s="1" t="str">
        <f t="shared" si="14"/>
        <v>2004_01</v>
      </c>
      <c r="T207" s="1"/>
      <c r="AX207" s="1">
        <v>1</v>
      </c>
      <c r="AY207" s="1">
        <v>1</v>
      </c>
    </row>
    <row r="208" spans="1:77" x14ac:dyDescent="0.2">
      <c r="A208" t="s">
        <v>169</v>
      </c>
      <c r="B208" s="1">
        <v>2004</v>
      </c>
      <c r="C208" s="1">
        <v>1</v>
      </c>
      <c r="D208" s="1">
        <v>18</v>
      </c>
      <c r="E208" t="s">
        <v>7</v>
      </c>
      <c r="G208" s="1">
        <v>3</v>
      </c>
      <c r="H208" s="11" t="str">
        <f t="shared" si="13"/>
        <v>2004_01_018.gif</v>
      </c>
      <c r="I208"/>
      <c r="J208"/>
      <c r="L208" s="1" t="b">
        <v>0</v>
      </c>
      <c r="M208" s="1">
        <v>0</v>
      </c>
      <c r="N208" s="1" t="s">
        <v>601</v>
      </c>
      <c r="O208" s="1">
        <v>207</v>
      </c>
      <c r="P208" s="12" t="str">
        <f t="shared" si="15"/>
        <v>Work/Power</v>
      </c>
      <c r="Q208" s="1">
        <v>4459</v>
      </c>
      <c r="R208" s="1" t="str">
        <f t="shared" si="14"/>
        <v>2004_01</v>
      </c>
      <c r="T208" s="1"/>
      <c r="BB208" s="1">
        <v>1</v>
      </c>
    </row>
    <row r="209" spans="1:78" x14ac:dyDescent="0.2">
      <c r="A209" t="s">
        <v>170</v>
      </c>
      <c r="B209" s="1">
        <v>2004</v>
      </c>
      <c r="C209" s="1">
        <v>1</v>
      </c>
      <c r="D209" s="1">
        <v>19</v>
      </c>
      <c r="E209" t="s">
        <v>7</v>
      </c>
      <c r="G209" s="1">
        <v>4</v>
      </c>
      <c r="H209" s="11" t="str">
        <f t="shared" si="13"/>
        <v>2004_01_019.gif</v>
      </c>
      <c r="I209"/>
      <c r="J209"/>
      <c r="L209" s="1" t="b">
        <v>0</v>
      </c>
      <c r="M209" s="1">
        <v>0</v>
      </c>
      <c r="N209" s="1" t="s">
        <v>601</v>
      </c>
      <c r="O209" s="1">
        <v>208</v>
      </c>
      <c r="P209" s="12" t="str">
        <f t="shared" si="15"/>
        <v>Work/Power</v>
      </c>
      <c r="Q209" s="1">
        <v>4460</v>
      </c>
      <c r="R209" s="1" t="str">
        <f t="shared" si="14"/>
        <v>2004_01</v>
      </c>
      <c r="T209" s="1"/>
      <c r="BB209" s="1">
        <v>1</v>
      </c>
    </row>
    <row r="210" spans="1:78" x14ac:dyDescent="0.2">
      <c r="A210" t="s">
        <v>171</v>
      </c>
      <c r="B210" s="1">
        <v>2004</v>
      </c>
      <c r="C210" s="1">
        <v>1</v>
      </c>
      <c r="D210" s="1">
        <v>20</v>
      </c>
      <c r="E210" t="s">
        <v>588</v>
      </c>
      <c r="F210" t="s">
        <v>12</v>
      </c>
      <c r="G210" s="1">
        <v>2</v>
      </c>
      <c r="H210" s="11" t="str">
        <f t="shared" si="13"/>
        <v>2004_01_020.gif</v>
      </c>
      <c r="I210"/>
      <c r="J210"/>
      <c r="L210" s="1" t="b">
        <v>0</v>
      </c>
      <c r="M210" s="1">
        <v>0</v>
      </c>
      <c r="N210" s="1" t="s">
        <v>601</v>
      </c>
      <c r="O210" s="1">
        <v>209</v>
      </c>
      <c r="P210" s="12" t="str">
        <f t="shared" si="15"/>
        <v>Magnetism</v>
      </c>
      <c r="Q210" s="1">
        <v>4461</v>
      </c>
      <c r="R210" s="1" t="str">
        <f t="shared" si="14"/>
        <v>2004_01</v>
      </c>
      <c r="T210" s="1"/>
      <c r="BZ210" s="1">
        <v>1</v>
      </c>
    </row>
    <row r="211" spans="1:78" x14ac:dyDescent="0.2">
      <c r="A211" t="s">
        <v>172</v>
      </c>
      <c r="B211" s="1">
        <v>2004</v>
      </c>
      <c r="C211" s="1">
        <v>1</v>
      </c>
      <c r="D211" s="1">
        <v>21</v>
      </c>
      <c r="E211" t="s">
        <v>11</v>
      </c>
      <c r="G211" s="1">
        <v>3</v>
      </c>
      <c r="H211" s="11" t="str">
        <f t="shared" si="13"/>
        <v>2004_01_021.gif</v>
      </c>
      <c r="I211"/>
      <c r="J211"/>
      <c r="L211" s="1" t="b">
        <v>0</v>
      </c>
      <c r="M211" s="1">
        <v>0</v>
      </c>
      <c r="N211" s="1" t="s">
        <v>601</v>
      </c>
      <c r="O211" s="1">
        <v>210</v>
      </c>
      <c r="P211" s="12" t="str">
        <f t="shared" si="15"/>
        <v>Ohm's Law</v>
      </c>
      <c r="Q211" s="1">
        <v>4462</v>
      </c>
      <c r="R211" s="1" t="str">
        <f t="shared" si="14"/>
        <v>2004_01</v>
      </c>
      <c r="T211" s="1"/>
      <c r="BQ211" s="1">
        <v>1</v>
      </c>
    </row>
    <row r="212" spans="1:78" x14ac:dyDescent="0.2">
      <c r="A212" t="s">
        <v>173</v>
      </c>
      <c r="B212" s="1">
        <v>2004</v>
      </c>
      <c r="C212" s="1">
        <v>1</v>
      </c>
      <c r="D212" s="1">
        <v>22</v>
      </c>
      <c r="E212" t="s">
        <v>8</v>
      </c>
      <c r="G212" s="1">
        <v>1</v>
      </c>
      <c r="H212" s="11" t="str">
        <f t="shared" si="13"/>
        <v>2004_01_022.gif</v>
      </c>
      <c r="I212"/>
      <c r="J212"/>
      <c r="L212" s="1" t="b">
        <v>0</v>
      </c>
      <c r="M212" s="1">
        <v>0</v>
      </c>
      <c r="N212" s="1" t="s">
        <v>601</v>
      </c>
      <c r="O212" s="1">
        <v>211</v>
      </c>
      <c r="P212" s="12" t="str">
        <f t="shared" si="15"/>
        <v>Wave Vocabulary</v>
      </c>
      <c r="Q212" s="1">
        <v>4463</v>
      </c>
      <c r="R212" s="1" t="str">
        <f t="shared" si="14"/>
        <v>2004_01</v>
      </c>
      <c r="T212" s="1"/>
      <c r="BF212" s="1">
        <v>1</v>
      </c>
    </row>
    <row r="213" spans="1:78" x14ac:dyDescent="0.2">
      <c r="A213" t="s">
        <v>174</v>
      </c>
      <c r="B213" s="1">
        <v>2004</v>
      </c>
      <c r="C213" s="1">
        <v>1</v>
      </c>
      <c r="D213" s="1">
        <v>23</v>
      </c>
      <c r="E213" t="s">
        <v>11</v>
      </c>
      <c r="G213" s="1">
        <v>3</v>
      </c>
      <c r="H213" s="11" t="str">
        <f t="shared" si="13"/>
        <v>2004_01_023.gif</v>
      </c>
      <c r="I213"/>
      <c r="J213"/>
      <c r="L213" s="1" t="b">
        <v>0</v>
      </c>
      <c r="M213" s="1">
        <v>0</v>
      </c>
      <c r="N213" s="1" t="s">
        <v>601</v>
      </c>
      <c r="O213" s="1">
        <v>212</v>
      </c>
      <c r="P213" s="12" t="str">
        <f t="shared" si="15"/>
        <v>Resistance of Wire</v>
      </c>
      <c r="Q213" s="1">
        <v>4464</v>
      </c>
      <c r="R213" s="1" t="str">
        <f t="shared" si="14"/>
        <v>2004_01</v>
      </c>
      <c r="T213" s="1"/>
      <c r="BR213" s="1">
        <v>1</v>
      </c>
    </row>
    <row r="214" spans="1:78" x14ac:dyDescent="0.2">
      <c r="A214" t="s">
        <v>175</v>
      </c>
      <c r="B214" s="1">
        <v>2004</v>
      </c>
      <c r="C214" s="1">
        <v>1</v>
      </c>
      <c r="D214" s="1">
        <v>24</v>
      </c>
      <c r="E214" t="s">
        <v>7</v>
      </c>
      <c r="G214" s="1">
        <v>3</v>
      </c>
      <c r="H214" s="11" t="str">
        <f t="shared" si="13"/>
        <v>2004_01_024.gif</v>
      </c>
      <c r="I214"/>
      <c r="J214"/>
      <c r="L214" s="1" t="b">
        <v>0</v>
      </c>
      <c r="M214" s="1">
        <v>0</v>
      </c>
      <c r="N214" s="1" t="s">
        <v>601</v>
      </c>
      <c r="O214" s="1">
        <v>213</v>
      </c>
      <c r="P214" s="12" t="str">
        <f t="shared" si="15"/>
        <v>Work/Power</v>
      </c>
      <c r="Q214" s="1">
        <v>4465</v>
      </c>
      <c r="R214" s="1" t="str">
        <f t="shared" si="14"/>
        <v>2004_01</v>
      </c>
      <c r="T214" s="1"/>
      <c r="BB214" s="1">
        <v>1</v>
      </c>
    </row>
    <row r="215" spans="1:78" x14ac:dyDescent="0.2">
      <c r="A215" t="s">
        <v>176</v>
      </c>
      <c r="B215" s="1">
        <v>2004</v>
      </c>
      <c r="C215" s="1">
        <v>1</v>
      </c>
      <c r="D215" s="1">
        <v>25</v>
      </c>
      <c r="E215" t="s">
        <v>8</v>
      </c>
      <c r="F215" t="s">
        <v>548</v>
      </c>
      <c r="G215" s="1">
        <v>1</v>
      </c>
      <c r="H215" s="11" t="str">
        <f t="shared" si="13"/>
        <v>2004_01_025.gif</v>
      </c>
      <c r="I215"/>
      <c r="J215"/>
      <c r="L215" s="1" t="b">
        <v>0</v>
      </c>
      <c r="M215" s="1">
        <v>0</v>
      </c>
      <c r="N215" s="1" t="s">
        <v>601</v>
      </c>
      <c r="O215" s="1">
        <v>214</v>
      </c>
      <c r="P215" s="12" t="str">
        <f t="shared" si="15"/>
        <v>Wave Vocabulary,Mathematical Relationships (Numberless Problems)</v>
      </c>
      <c r="Q215" s="1">
        <v>4466</v>
      </c>
      <c r="R215" s="1" t="str">
        <f t="shared" si="14"/>
        <v>2004_01</v>
      </c>
      <c r="T215" s="1"/>
      <c r="BF215" s="1">
        <v>1</v>
      </c>
      <c r="BY215" s="1">
        <v>1</v>
      </c>
    </row>
    <row r="216" spans="1:78" x14ac:dyDescent="0.2">
      <c r="A216" t="s">
        <v>177</v>
      </c>
      <c r="B216" s="1">
        <v>2004</v>
      </c>
      <c r="C216" s="1">
        <v>1</v>
      </c>
      <c r="D216" s="1">
        <v>26</v>
      </c>
      <c r="E216" t="s">
        <v>9</v>
      </c>
      <c r="F216" t="s">
        <v>2</v>
      </c>
      <c r="G216" s="1">
        <v>2</v>
      </c>
      <c r="H216" s="11" t="str">
        <f t="shared" si="13"/>
        <v>2004_01_026.gif</v>
      </c>
      <c r="I216"/>
      <c r="J216"/>
      <c r="L216" s="1" t="b">
        <v>0</v>
      </c>
      <c r="M216" s="1">
        <v>0</v>
      </c>
      <c r="N216" s="1" t="s">
        <v>601</v>
      </c>
      <c r="O216" s="1">
        <v>215</v>
      </c>
      <c r="P216" s="12" t="str">
        <f t="shared" si="15"/>
        <v>Basic Motion Concepts,Light and Sound</v>
      </c>
      <c r="Q216" s="1">
        <v>4467</v>
      </c>
      <c r="R216" s="1" t="str">
        <f t="shared" si="14"/>
        <v>2004_01</v>
      </c>
      <c r="T216" s="1"/>
      <c r="Z216" s="1">
        <v>1</v>
      </c>
      <c r="BI216" s="1">
        <v>1</v>
      </c>
    </row>
    <row r="217" spans="1:78" x14ac:dyDescent="0.2">
      <c r="A217" t="s">
        <v>178</v>
      </c>
      <c r="B217" s="1">
        <v>2004</v>
      </c>
      <c r="C217" s="1">
        <v>1</v>
      </c>
      <c r="D217" s="1">
        <v>27</v>
      </c>
      <c r="E217" t="s">
        <v>9</v>
      </c>
      <c r="G217" s="1">
        <v>4</v>
      </c>
      <c r="H217" s="11" t="str">
        <f t="shared" si="13"/>
        <v>2004_01_027.gif</v>
      </c>
      <c r="I217"/>
      <c r="J217"/>
      <c r="L217" s="1" t="b">
        <v>0</v>
      </c>
      <c r="M217" s="1">
        <v>0</v>
      </c>
      <c r="N217" s="1" t="s">
        <v>601</v>
      </c>
      <c r="O217" s="1">
        <v>216</v>
      </c>
      <c r="P217" s="12" t="str">
        <f t="shared" si="15"/>
        <v>Refraction and Snell's Law</v>
      </c>
      <c r="Q217" s="1">
        <v>4468</v>
      </c>
      <c r="R217" s="1" t="str">
        <f t="shared" si="14"/>
        <v>2004_01</v>
      </c>
      <c r="T217" s="1"/>
      <c r="BJ217" s="1">
        <v>1</v>
      </c>
    </row>
    <row r="218" spans="1:78" x14ac:dyDescent="0.2">
      <c r="A218" t="s">
        <v>179</v>
      </c>
      <c r="B218" s="1">
        <v>2004</v>
      </c>
      <c r="C218" s="1">
        <v>1</v>
      </c>
      <c r="D218" s="1">
        <v>28</v>
      </c>
      <c r="E218" t="s">
        <v>9</v>
      </c>
      <c r="G218" s="1">
        <v>3</v>
      </c>
      <c r="H218" s="11" t="str">
        <f t="shared" si="13"/>
        <v>2004_01_028.gif</v>
      </c>
      <c r="I218"/>
      <c r="J218"/>
      <c r="L218" s="1" t="b">
        <v>0</v>
      </c>
      <c r="M218" s="1">
        <v>0</v>
      </c>
      <c r="N218" s="1" t="s">
        <v>601</v>
      </c>
      <c r="O218" s="1">
        <v>217</v>
      </c>
      <c r="P218" s="12" t="str">
        <f t="shared" si="15"/>
        <v>Refraction and Snell's Law</v>
      </c>
      <c r="Q218" s="1">
        <v>4469</v>
      </c>
      <c r="R218" s="1" t="str">
        <f t="shared" si="14"/>
        <v>2004_01</v>
      </c>
      <c r="T218" s="1"/>
      <c r="BJ218" s="1">
        <v>1</v>
      </c>
    </row>
    <row r="219" spans="1:78" x14ac:dyDescent="0.2">
      <c r="A219" t="s">
        <v>180</v>
      </c>
      <c r="B219" s="1">
        <v>2004</v>
      </c>
      <c r="C219" s="1">
        <v>1</v>
      </c>
      <c r="D219" s="1">
        <v>29</v>
      </c>
      <c r="E219" t="s">
        <v>9</v>
      </c>
      <c r="G219" s="1">
        <v>1</v>
      </c>
      <c r="H219" s="11" t="str">
        <f t="shared" si="13"/>
        <v>2004_01_029.gif</v>
      </c>
      <c r="I219"/>
      <c r="J219"/>
      <c r="L219" s="1" t="b">
        <v>0</v>
      </c>
      <c r="M219" s="1">
        <v>0</v>
      </c>
      <c r="N219" s="1" t="s">
        <v>601</v>
      </c>
      <c r="O219" s="1">
        <v>218</v>
      </c>
      <c r="P219" s="12" t="str">
        <f t="shared" si="15"/>
        <v>Diffraction</v>
      </c>
      <c r="Q219" s="1">
        <v>4470</v>
      </c>
      <c r="R219" s="1" t="str">
        <f t="shared" si="14"/>
        <v>2004_01</v>
      </c>
      <c r="T219" s="1"/>
      <c r="BG219" s="1">
        <v>1</v>
      </c>
    </row>
    <row r="220" spans="1:78" x14ac:dyDescent="0.2">
      <c r="A220" t="s">
        <v>181</v>
      </c>
      <c r="B220" s="1">
        <v>2004</v>
      </c>
      <c r="C220" s="1">
        <v>1</v>
      </c>
      <c r="D220" s="1">
        <v>30</v>
      </c>
      <c r="E220" t="s">
        <v>8</v>
      </c>
      <c r="G220" s="1">
        <v>1</v>
      </c>
      <c r="H220" s="11" t="str">
        <f t="shared" si="13"/>
        <v>2004_01_030.gif</v>
      </c>
      <c r="I220"/>
      <c r="J220"/>
      <c r="L220" s="1" t="b">
        <v>0</v>
      </c>
      <c r="M220" s="1">
        <v>0</v>
      </c>
      <c r="N220" s="1" t="s">
        <v>601</v>
      </c>
      <c r="O220" s="1">
        <v>219</v>
      </c>
      <c r="P220" s="12" t="str">
        <f t="shared" si="15"/>
        <v>Superposition and Standing Waves</v>
      </c>
      <c r="Q220" s="1">
        <v>4471</v>
      </c>
      <c r="R220" s="1" t="str">
        <f t="shared" si="14"/>
        <v>2004_01</v>
      </c>
      <c r="T220" s="1"/>
      <c r="BD220" s="1">
        <v>1</v>
      </c>
    </row>
    <row r="221" spans="1:78" x14ac:dyDescent="0.2">
      <c r="A221" t="s">
        <v>182</v>
      </c>
      <c r="B221" s="1">
        <v>2004</v>
      </c>
      <c r="C221" s="1">
        <v>1</v>
      </c>
      <c r="D221" s="1">
        <v>31</v>
      </c>
      <c r="E221" t="s">
        <v>13</v>
      </c>
      <c r="G221" s="1">
        <v>3</v>
      </c>
      <c r="H221" s="11" t="str">
        <f t="shared" si="13"/>
        <v>2004_01_031.gif</v>
      </c>
      <c r="I221"/>
      <c r="J221"/>
      <c r="L221" s="1" t="b">
        <v>0</v>
      </c>
      <c r="M221" s="1">
        <v>0</v>
      </c>
      <c r="N221" s="1" t="s">
        <v>601</v>
      </c>
      <c r="O221" s="1">
        <v>220</v>
      </c>
      <c r="P221" s="12" t="str">
        <f t="shared" si="15"/>
        <v>Energy/Frequency of Photon</v>
      </c>
      <c r="Q221" s="1">
        <v>4472</v>
      </c>
      <c r="R221" s="1" t="str">
        <f t="shared" si="14"/>
        <v>2004_01</v>
      </c>
      <c r="T221" s="1"/>
      <c r="BU221" s="1">
        <v>1</v>
      </c>
    </row>
    <row r="222" spans="1:78" x14ac:dyDescent="0.2">
      <c r="A222" t="s">
        <v>183</v>
      </c>
      <c r="B222" s="1">
        <v>2004</v>
      </c>
      <c r="C222" s="1">
        <v>1</v>
      </c>
      <c r="D222" s="1">
        <v>32</v>
      </c>
      <c r="E222" t="s">
        <v>8</v>
      </c>
      <c r="G222" s="1">
        <v>2</v>
      </c>
      <c r="H222" s="11" t="str">
        <f t="shared" si="13"/>
        <v>2004_01_032.gif</v>
      </c>
      <c r="I222"/>
      <c r="J222"/>
      <c r="L222" s="1" t="b">
        <v>0</v>
      </c>
      <c r="M222" s="1">
        <v>0</v>
      </c>
      <c r="N222" s="1" t="s">
        <v>601</v>
      </c>
      <c r="O222" s="1">
        <v>221</v>
      </c>
      <c r="P222" s="12" t="str">
        <f t="shared" si="15"/>
        <v>Superposition and Standing Waves</v>
      </c>
      <c r="Q222" s="1">
        <v>4473</v>
      </c>
      <c r="R222" s="1" t="str">
        <f t="shared" si="14"/>
        <v>2004_01</v>
      </c>
      <c r="T222" s="1"/>
      <c r="BD222" s="1">
        <v>1</v>
      </c>
    </row>
    <row r="223" spans="1:78" x14ac:dyDescent="0.2">
      <c r="A223" t="s">
        <v>184</v>
      </c>
      <c r="B223" s="1">
        <v>2004</v>
      </c>
      <c r="C223" s="1">
        <v>1</v>
      </c>
      <c r="D223" s="1">
        <v>33</v>
      </c>
      <c r="E223" t="s">
        <v>13</v>
      </c>
      <c r="G223" s="1">
        <v>3</v>
      </c>
      <c r="H223" s="11" t="str">
        <f t="shared" si="13"/>
        <v>2004_01_033.gif</v>
      </c>
      <c r="I223"/>
      <c r="J223"/>
      <c r="L223" s="1" t="b">
        <v>0</v>
      </c>
      <c r="M223" s="1">
        <v>0</v>
      </c>
      <c r="N223" s="1" t="s">
        <v>601</v>
      </c>
      <c r="O223" s="1">
        <v>222</v>
      </c>
      <c r="P223" s="12" t="str">
        <f t="shared" si="15"/>
        <v>Particle Physics</v>
      </c>
      <c r="Q223" s="1">
        <v>4474</v>
      </c>
      <c r="R223" s="1" t="str">
        <f t="shared" si="14"/>
        <v>2004_01</v>
      </c>
      <c r="T223" s="1"/>
      <c r="BW223" s="1">
        <v>1</v>
      </c>
    </row>
    <row r="224" spans="1:78" x14ac:dyDescent="0.2">
      <c r="A224" t="s">
        <v>185</v>
      </c>
      <c r="B224" s="1">
        <v>2004</v>
      </c>
      <c r="C224" s="1">
        <v>1</v>
      </c>
      <c r="D224" s="1">
        <v>34</v>
      </c>
      <c r="E224" t="s">
        <v>13</v>
      </c>
      <c r="G224" s="1">
        <v>2</v>
      </c>
      <c r="H224" s="11" t="str">
        <f t="shared" si="13"/>
        <v>2004_01_034.gif</v>
      </c>
      <c r="I224"/>
      <c r="J224"/>
      <c r="L224" s="1" t="b">
        <v>0</v>
      </c>
      <c r="M224" s="1">
        <v>0</v>
      </c>
      <c r="N224" s="1" t="s">
        <v>601</v>
      </c>
      <c r="O224" s="1">
        <v>223</v>
      </c>
      <c r="P224" s="12" t="str">
        <f t="shared" si="15"/>
        <v>Particle Physics</v>
      </c>
      <c r="Q224" s="1">
        <v>4475</v>
      </c>
      <c r="R224" s="1" t="str">
        <f t="shared" si="14"/>
        <v>2004_01</v>
      </c>
      <c r="T224" s="1"/>
      <c r="BW224" s="1">
        <v>1</v>
      </c>
    </row>
    <row r="225" spans="1:76" x14ac:dyDescent="0.2">
      <c r="A225" t="s">
        <v>186</v>
      </c>
      <c r="B225" s="1">
        <v>2004</v>
      </c>
      <c r="C225" s="1">
        <v>1</v>
      </c>
      <c r="D225" s="1">
        <v>35</v>
      </c>
      <c r="E225" t="s">
        <v>13</v>
      </c>
      <c r="G225" s="1">
        <v>3</v>
      </c>
      <c r="H225" s="11" t="str">
        <f t="shared" si="13"/>
        <v>2004_01_035.gif</v>
      </c>
      <c r="I225"/>
      <c r="J225"/>
      <c r="L225" s="1" t="b">
        <v>0</v>
      </c>
      <c r="M225" s="1">
        <v>0</v>
      </c>
      <c r="N225" s="1" t="s">
        <v>601</v>
      </c>
      <c r="O225" s="1">
        <v>224</v>
      </c>
      <c r="P225" s="12" t="str">
        <f t="shared" si="15"/>
        <v>Energy/Mass Equivalency</v>
      </c>
      <c r="Q225" s="1">
        <v>4476</v>
      </c>
      <c r="R225" s="1" t="str">
        <f t="shared" si="14"/>
        <v>2004_01</v>
      </c>
      <c r="T225" s="1"/>
      <c r="BV225" s="1">
        <v>1</v>
      </c>
    </row>
    <row r="226" spans="1:76" x14ac:dyDescent="0.2">
      <c r="A226" t="str">
        <f t="shared" ref="A226:A238" si="16">B226 &amp; "_" &amp; TEXT(C226,"00") &amp; "_" &amp; TEXT(D226,"000")</f>
        <v>2004_01_036</v>
      </c>
      <c r="B226" s="1">
        <v>2004</v>
      </c>
      <c r="C226" s="1">
        <v>1</v>
      </c>
      <c r="D226" s="1">
        <v>36</v>
      </c>
      <c r="E226" t="s">
        <v>5</v>
      </c>
      <c r="G226" s="1">
        <v>3</v>
      </c>
      <c r="H226" s="11" t="str">
        <f t="shared" si="13"/>
        <v>2004_01_036.gif</v>
      </c>
      <c r="I226"/>
      <c r="J226"/>
      <c r="L226" s="1" t="b">
        <v>0</v>
      </c>
      <c r="M226" s="1">
        <v>0</v>
      </c>
      <c r="N226" s="1" t="s">
        <v>657</v>
      </c>
      <c r="O226" s="1">
        <v>225</v>
      </c>
      <c r="P226" s="12" t="str">
        <f t="shared" si="15"/>
        <v>Law of Gravity</v>
      </c>
      <c r="Q226" s="1">
        <v>4477</v>
      </c>
      <c r="R226" s="1" t="str">
        <f t="shared" si="14"/>
        <v>2004_01</v>
      </c>
      <c r="T226" s="1"/>
      <c r="AQ226" s="1">
        <v>1</v>
      </c>
    </row>
    <row r="227" spans="1:76" x14ac:dyDescent="0.2">
      <c r="A227" t="str">
        <f t="shared" si="16"/>
        <v>2004_01_037</v>
      </c>
      <c r="B227" s="1">
        <v>2004</v>
      </c>
      <c r="C227" s="1">
        <v>1</v>
      </c>
      <c r="D227" s="1">
        <v>37</v>
      </c>
      <c r="E227" t="s">
        <v>5</v>
      </c>
      <c r="G227" s="1">
        <v>2</v>
      </c>
      <c r="H227" s="11" t="str">
        <f t="shared" si="13"/>
        <v>2004_01_037.gif</v>
      </c>
      <c r="I227"/>
      <c r="J227"/>
      <c r="L227" s="1" t="b">
        <v>0</v>
      </c>
      <c r="M227" s="1">
        <v>0</v>
      </c>
      <c r="N227" s="1" t="s">
        <v>657</v>
      </c>
      <c r="O227" s="1">
        <v>226</v>
      </c>
      <c r="P227" s="12" t="str">
        <f t="shared" si="15"/>
        <v>Law of Gravity</v>
      </c>
      <c r="Q227" s="1">
        <v>4478</v>
      </c>
      <c r="R227" s="1" t="str">
        <f t="shared" si="14"/>
        <v>2004_01</v>
      </c>
      <c r="T227" s="1"/>
      <c r="AQ227" s="1">
        <v>1</v>
      </c>
    </row>
    <row r="228" spans="1:76" x14ac:dyDescent="0.2">
      <c r="A228" t="str">
        <f t="shared" si="16"/>
        <v>2004_01_038</v>
      </c>
      <c r="B228" s="1">
        <v>2004</v>
      </c>
      <c r="C228" s="1">
        <v>1</v>
      </c>
      <c r="D228" s="1">
        <v>38</v>
      </c>
      <c r="E228" t="s">
        <v>1</v>
      </c>
      <c r="G228" s="1">
        <v>3</v>
      </c>
      <c r="H228" s="11" t="str">
        <f t="shared" si="13"/>
        <v>2004_01_038.gif</v>
      </c>
      <c r="I228"/>
      <c r="J228"/>
      <c r="L228" s="1" t="b">
        <v>0</v>
      </c>
      <c r="M228" s="1">
        <v>0</v>
      </c>
      <c r="N228" s="1" t="s">
        <v>657</v>
      </c>
      <c r="O228" s="1">
        <v>227</v>
      </c>
      <c r="P228" s="12" t="str">
        <f t="shared" si="15"/>
        <v>Estimation</v>
      </c>
      <c r="Q228" s="1">
        <v>4479</v>
      </c>
      <c r="R228" s="1" t="str">
        <f t="shared" si="14"/>
        <v>2004_01</v>
      </c>
      <c r="T228" s="1"/>
      <c r="U228" s="1">
        <v>1</v>
      </c>
    </row>
    <row r="229" spans="1:76" x14ac:dyDescent="0.2">
      <c r="A229" t="str">
        <f t="shared" si="16"/>
        <v>2004_01_039</v>
      </c>
      <c r="B229" s="1">
        <v>2004</v>
      </c>
      <c r="C229" s="1">
        <v>1</v>
      </c>
      <c r="D229" s="1">
        <v>39</v>
      </c>
      <c r="E229" t="s">
        <v>3</v>
      </c>
      <c r="G229" s="1">
        <v>4</v>
      </c>
      <c r="H229" s="11" t="str">
        <f t="shared" si="13"/>
        <v>2004_01_039.gif</v>
      </c>
      <c r="I229"/>
      <c r="J229"/>
      <c r="L229" s="1" t="b">
        <v>0</v>
      </c>
      <c r="M229" s="1">
        <v>0</v>
      </c>
      <c r="N229" s="1" t="s">
        <v>657</v>
      </c>
      <c r="O229" s="1">
        <v>228</v>
      </c>
      <c r="P229" s="12" t="str">
        <f t="shared" si="15"/>
        <v>Adding Vectors</v>
      </c>
      <c r="Q229" s="1">
        <v>4480</v>
      </c>
      <c r="R229" s="1" t="str">
        <f t="shared" si="14"/>
        <v>2004_01</v>
      </c>
      <c r="T229" s="1"/>
      <c r="AD229" s="1">
        <v>1</v>
      </c>
    </row>
    <row r="230" spans="1:76" x14ac:dyDescent="0.2">
      <c r="A230" t="str">
        <f t="shared" si="16"/>
        <v>2004_01_040</v>
      </c>
      <c r="B230" s="1">
        <v>2004</v>
      </c>
      <c r="C230" s="1">
        <v>1</v>
      </c>
      <c r="D230" s="1">
        <v>40</v>
      </c>
      <c r="E230" t="s">
        <v>7</v>
      </c>
      <c r="F230" t="s">
        <v>13</v>
      </c>
      <c r="G230" s="1">
        <v>4</v>
      </c>
      <c r="H230" s="11" t="str">
        <f t="shared" si="13"/>
        <v>2004_01_040.gif</v>
      </c>
      <c r="I230"/>
      <c r="J230"/>
      <c r="L230" s="1" t="b">
        <v>0</v>
      </c>
      <c r="M230" s="1">
        <v>0</v>
      </c>
      <c r="N230" s="1" t="s">
        <v>657</v>
      </c>
      <c r="O230" s="1">
        <v>229</v>
      </c>
      <c r="P230" s="12" t="str">
        <f t="shared" si="15"/>
        <v>Work/Power,Graph Interpretation</v>
      </c>
      <c r="Q230" s="1">
        <v>4481</v>
      </c>
      <c r="R230" s="1" t="str">
        <f t="shared" si="14"/>
        <v>2004_01</v>
      </c>
      <c r="T230" s="1"/>
      <c r="BB230" s="1">
        <v>1</v>
      </c>
      <c r="BX230" s="1">
        <v>1</v>
      </c>
    </row>
    <row r="231" spans="1:76" x14ac:dyDescent="0.2">
      <c r="A231" t="str">
        <f t="shared" si="16"/>
        <v>2004_01_041</v>
      </c>
      <c r="B231" s="1">
        <v>2004</v>
      </c>
      <c r="C231" s="1">
        <v>1</v>
      </c>
      <c r="D231" s="1">
        <v>41</v>
      </c>
      <c r="E231" t="s">
        <v>8</v>
      </c>
      <c r="F231" t="s">
        <v>9</v>
      </c>
      <c r="G231" s="1">
        <v>2</v>
      </c>
      <c r="H231" s="11" t="str">
        <f t="shared" si="13"/>
        <v>2004_01_041.gif</v>
      </c>
      <c r="I231"/>
      <c r="J231"/>
      <c r="L231" s="1" t="b">
        <v>0</v>
      </c>
      <c r="M231" s="1">
        <v>0</v>
      </c>
      <c r="N231" s="1" t="s">
        <v>657</v>
      </c>
      <c r="O231" s="1">
        <v>230</v>
      </c>
      <c r="P231" s="12" t="str">
        <f t="shared" si="15"/>
        <v>Wave Vocabulary,Light and Sound</v>
      </c>
      <c r="Q231" s="1">
        <v>4482</v>
      </c>
      <c r="R231" s="1" t="str">
        <f t="shared" si="14"/>
        <v>2004_01</v>
      </c>
      <c r="T231" s="1"/>
      <c r="BF231" s="1">
        <v>1</v>
      </c>
      <c r="BI231" s="1">
        <v>1</v>
      </c>
    </row>
    <row r="232" spans="1:76" x14ac:dyDescent="0.2">
      <c r="A232" t="str">
        <f t="shared" si="16"/>
        <v>2004_01_042</v>
      </c>
      <c r="B232" s="1">
        <v>2004</v>
      </c>
      <c r="C232" s="1">
        <v>1</v>
      </c>
      <c r="D232" s="1">
        <v>42</v>
      </c>
      <c r="E232" t="s">
        <v>8</v>
      </c>
      <c r="F232" t="s">
        <v>9</v>
      </c>
      <c r="G232" s="1">
        <v>4</v>
      </c>
      <c r="H232" s="11" t="str">
        <f t="shared" si="13"/>
        <v>2004_01_042.gif</v>
      </c>
      <c r="I232"/>
      <c r="J232"/>
      <c r="L232" s="1" t="b">
        <v>0</v>
      </c>
      <c r="M232" s="1">
        <v>0</v>
      </c>
      <c r="N232" s="1" t="s">
        <v>657</v>
      </c>
      <c r="O232" s="1">
        <v>231</v>
      </c>
      <c r="P232" s="12" t="str">
        <f t="shared" si="15"/>
        <v>Wave Vocabulary,Light and Sound</v>
      </c>
      <c r="Q232" s="1">
        <v>4483</v>
      </c>
      <c r="R232" s="1" t="str">
        <f t="shared" si="14"/>
        <v>2004_01</v>
      </c>
      <c r="T232" s="1"/>
      <c r="BF232" s="1">
        <v>1</v>
      </c>
      <c r="BI232" s="1">
        <v>1</v>
      </c>
    </row>
    <row r="233" spans="1:76" x14ac:dyDescent="0.2">
      <c r="A233" t="str">
        <f t="shared" si="16"/>
        <v>2004_01_043</v>
      </c>
      <c r="B233" s="1">
        <v>2004</v>
      </c>
      <c r="C233" s="1">
        <v>1</v>
      </c>
      <c r="D233" s="1">
        <v>43</v>
      </c>
      <c r="E233" t="s">
        <v>9</v>
      </c>
      <c r="G233" s="1">
        <v>1</v>
      </c>
      <c r="H233" s="11" t="str">
        <f t="shared" si="13"/>
        <v>2004_01_043.gif</v>
      </c>
      <c r="I233"/>
      <c r="J233"/>
      <c r="L233" s="1" t="b">
        <v>0</v>
      </c>
      <c r="M233" s="1">
        <v>0</v>
      </c>
      <c r="N233" s="1" t="s">
        <v>657</v>
      </c>
      <c r="O233" s="1">
        <v>232</v>
      </c>
      <c r="P233" s="12" t="str">
        <f t="shared" si="15"/>
        <v>Doppler Effect</v>
      </c>
      <c r="Q233" s="1">
        <v>4484</v>
      </c>
      <c r="R233" s="1" t="str">
        <f t="shared" si="14"/>
        <v>2004_01</v>
      </c>
      <c r="T233" s="1"/>
      <c r="BH233" s="1">
        <v>1</v>
      </c>
    </row>
    <row r="234" spans="1:76" x14ac:dyDescent="0.2">
      <c r="A234" t="str">
        <f t="shared" si="16"/>
        <v>2004_01_044</v>
      </c>
      <c r="B234" s="1">
        <v>2004</v>
      </c>
      <c r="C234" s="1">
        <v>1</v>
      </c>
      <c r="D234" s="1">
        <v>44</v>
      </c>
      <c r="E234" t="s">
        <v>11</v>
      </c>
      <c r="G234" s="1">
        <v>2</v>
      </c>
      <c r="H234" s="11" t="str">
        <f t="shared" si="13"/>
        <v>2004_01_044.gif</v>
      </c>
      <c r="I234"/>
      <c r="J234"/>
      <c r="L234" s="1" t="b">
        <v>0</v>
      </c>
      <c r="M234" s="1">
        <v>0</v>
      </c>
      <c r="N234" s="1" t="s">
        <v>657</v>
      </c>
      <c r="O234" s="1">
        <v>233</v>
      </c>
      <c r="P234" s="12" t="str">
        <f t="shared" si="15"/>
        <v>Resistance of Wire</v>
      </c>
      <c r="Q234" s="1">
        <v>4485</v>
      </c>
      <c r="R234" s="1" t="str">
        <f t="shared" si="14"/>
        <v>2004_01</v>
      </c>
      <c r="T234" s="1"/>
      <c r="BR234" s="1">
        <v>1</v>
      </c>
    </row>
    <row r="235" spans="1:76" x14ac:dyDescent="0.2">
      <c r="A235" t="str">
        <f t="shared" si="16"/>
        <v>2004_01_045</v>
      </c>
      <c r="B235" s="1">
        <v>2004</v>
      </c>
      <c r="C235" s="1">
        <v>1</v>
      </c>
      <c r="D235" s="1">
        <v>45</v>
      </c>
      <c r="E235" t="s">
        <v>11</v>
      </c>
      <c r="G235" s="1">
        <v>2</v>
      </c>
      <c r="H235" s="11" t="str">
        <f t="shared" si="13"/>
        <v>2004_01_045.gif</v>
      </c>
      <c r="I235"/>
      <c r="J235"/>
      <c r="L235" s="1" t="b">
        <v>0</v>
      </c>
      <c r="M235" s="1">
        <v>0</v>
      </c>
      <c r="N235" s="1" t="s">
        <v>657</v>
      </c>
      <c r="O235" s="1">
        <v>234</v>
      </c>
      <c r="P235" s="12" t="str">
        <f t="shared" si="15"/>
        <v>Series and Parallel</v>
      </c>
      <c r="Q235" s="1">
        <v>4486</v>
      </c>
      <c r="R235" s="1" t="str">
        <f t="shared" si="14"/>
        <v>2004_01</v>
      </c>
      <c r="T235" s="1"/>
      <c r="BS235" s="1">
        <v>1</v>
      </c>
    </row>
    <row r="236" spans="1:76" x14ac:dyDescent="0.2">
      <c r="A236" t="str">
        <f t="shared" si="16"/>
        <v>2004_01_046</v>
      </c>
      <c r="B236" s="1">
        <v>2004</v>
      </c>
      <c r="C236" s="1">
        <v>1</v>
      </c>
      <c r="D236" s="1">
        <v>46</v>
      </c>
      <c r="E236" t="s">
        <v>11</v>
      </c>
      <c r="G236" s="1">
        <v>3</v>
      </c>
      <c r="H236" s="11" t="str">
        <f t="shared" si="13"/>
        <v>2004_01_046.gif</v>
      </c>
      <c r="I236"/>
      <c r="J236"/>
      <c r="L236" s="1" t="b">
        <v>0</v>
      </c>
      <c r="M236" s="1">
        <v>0</v>
      </c>
      <c r="N236" s="1" t="s">
        <v>657</v>
      </c>
      <c r="O236" s="1">
        <v>235</v>
      </c>
      <c r="P236" s="12" t="str">
        <f t="shared" si="15"/>
        <v>Series and Parallel</v>
      </c>
      <c r="Q236" s="1">
        <v>4487</v>
      </c>
      <c r="R236" s="1" t="str">
        <f t="shared" si="14"/>
        <v>2004_01</v>
      </c>
      <c r="T236" s="1"/>
      <c r="BS236" s="1">
        <v>1</v>
      </c>
    </row>
    <row r="237" spans="1:76" x14ac:dyDescent="0.2">
      <c r="A237" t="str">
        <f t="shared" si="16"/>
        <v>2004_01_047</v>
      </c>
      <c r="B237" s="1">
        <v>2004</v>
      </c>
      <c r="C237" s="1">
        <v>1</v>
      </c>
      <c r="D237" s="1">
        <v>47</v>
      </c>
      <c r="E237" t="s">
        <v>13</v>
      </c>
      <c r="G237" s="1">
        <v>2</v>
      </c>
      <c r="H237" s="11" t="str">
        <f t="shared" si="13"/>
        <v>2004_01_047.gif</v>
      </c>
      <c r="I237"/>
      <c r="J237"/>
      <c r="L237" s="1" t="b">
        <v>0</v>
      </c>
      <c r="M237" s="1">
        <v>0</v>
      </c>
      <c r="N237" s="1" t="s">
        <v>657</v>
      </c>
      <c r="O237" s="1">
        <v>236</v>
      </c>
      <c r="P237" s="12" t="str">
        <f t="shared" si="15"/>
        <v>Energy/Frequency of Photon</v>
      </c>
      <c r="Q237" s="1">
        <v>4488</v>
      </c>
      <c r="R237" s="1" t="str">
        <f t="shared" si="14"/>
        <v>2004_01</v>
      </c>
      <c r="T237" s="1"/>
      <c r="BU237" s="1">
        <v>1</v>
      </c>
    </row>
    <row r="238" spans="1:76" x14ac:dyDescent="0.2">
      <c r="A238" t="str">
        <f t="shared" si="16"/>
        <v>2004_01_048</v>
      </c>
      <c r="B238" s="1">
        <v>2004</v>
      </c>
      <c r="C238" s="1">
        <v>1</v>
      </c>
      <c r="D238" s="1">
        <v>48</v>
      </c>
      <c r="E238" t="s">
        <v>13</v>
      </c>
      <c r="G238" s="1">
        <v>3</v>
      </c>
      <c r="H238" s="11" t="str">
        <f t="shared" si="13"/>
        <v>2004_01_048.gif</v>
      </c>
      <c r="I238"/>
      <c r="J238"/>
      <c r="L238" s="1" t="b">
        <v>0</v>
      </c>
      <c r="M238" s="1">
        <v>0</v>
      </c>
      <c r="N238" s="1" t="s">
        <v>657</v>
      </c>
      <c r="O238" s="1">
        <v>237</v>
      </c>
      <c r="P238" s="12" t="str">
        <f t="shared" si="15"/>
        <v>Energy/Frequency of Photon</v>
      </c>
      <c r="Q238" s="1">
        <v>4489</v>
      </c>
      <c r="R238" s="1" t="str">
        <f t="shared" si="14"/>
        <v>2004_01</v>
      </c>
      <c r="T238" s="1"/>
      <c r="BU238" s="1">
        <v>1</v>
      </c>
    </row>
    <row r="239" spans="1:76" x14ac:dyDescent="0.2">
      <c r="A239" t="s">
        <v>187</v>
      </c>
      <c r="B239" s="1">
        <v>2004</v>
      </c>
      <c r="C239" s="1">
        <v>6</v>
      </c>
      <c r="D239" s="1">
        <v>1</v>
      </c>
      <c r="E239" t="s">
        <v>2</v>
      </c>
      <c r="F239" t="s">
        <v>3</v>
      </c>
      <c r="G239" s="1">
        <v>4</v>
      </c>
      <c r="H239" s="11" t="str">
        <f t="shared" si="13"/>
        <v>2004_06_001.gif</v>
      </c>
      <c r="I239"/>
      <c r="J239"/>
      <c r="L239" s="1" t="b">
        <v>0</v>
      </c>
      <c r="M239" s="1">
        <v>0</v>
      </c>
      <c r="N239" s="1" t="s">
        <v>601</v>
      </c>
      <c r="O239" s="1">
        <v>238</v>
      </c>
      <c r="P239" s="12" t="str">
        <f t="shared" si="15"/>
        <v>Basic Motion Concepts,Vector vs. Scalar</v>
      </c>
      <c r="Q239" s="1">
        <v>4516</v>
      </c>
      <c r="R239" s="1" t="str">
        <f t="shared" si="14"/>
        <v>2004_06</v>
      </c>
      <c r="T239" s="1"/>
      <c r="Z239" s="1">
        <v>1</v>
      </c>
      <c r="AF239" s="1">
        <v>1</v>
      </c>
    </row>
    <row r="240" spans="1:76" x14ac:dyDescent="0.2">
      <c r="A240" t="s">
        <v>188</v>
      </c>
      <c r="B240" s="1">
        <v>2004</v>
      </c>
      <c r="C240" s="1">
        <v>6</v>
      </c>
      <c r="D240" s="1">
        <v>2</v>
      </c>
      <c r="E240" t="s">
        <v>3</v>
      </c>
      <c r="G240" s="1">
        <v>1</v>
      </c>
      <c r="H240" s="11" t="str">
        <f t="shared" si="13"/>
        <v>2004_06_002.gif</v>
      </c>
      <c r="I240"/>
      <c r="J240"/>
      <c r="L240" s="1" t="b">
        <v>0</v>
      </c>
      <c r="M240" s="1">
        <v>0</v>
      </c>
      <c r="N240" s="1" t="s">
        <v>601</v>
      </c>
      <c r="O240" s="1">
        <v>239</v>
      </c>
      <c r="P240" s="12" t="str">
        <f t="shared" si="15"/>
        <v>Adding Vectors</v>
      </c>
      <c r="Q240" s="1">
        <v>4517</v>
      </c>
      <c r="R240" s="1" t="str">
        <f t="shared" si="14"/>
        <v>2004_06</v>
      </c>
      <c r="T240" s="1"/>
      <c r="AD240" s="1">
        <v>1</v>
      </c>
    </row>
    <row r="241" spans="1:78" x14ac:dyDescent="0.2">
      <c r="A241" t="s">
        <v>189</v>
      </c>
      <c r="B241" s="1">
        <v>2004</v>
      </c>
      <c r="C241" s="1">
        <v>6</v>
      </c>
      <c r="D241" s="1">
        <v>3</v>
      </c>
      <c r="E241" t="s">
        <v>5</v>
      </c>
      <c r="G241" s="1">
        <v>4</v>
      </c>
      <c r="H241" s="11" t="str">
        <f t="shared" si="13"/>
        <v>2004_06_003.gif</v>
      </c>
      <c r="I241"/>
      <c r="J241"/>
      <c r="L241" s="1" t="b">
        <v>0</v>
      </c>
      <c r="M241" s="1">
        <v>0</v>
      </c>
      <c r="N241" s="1" t="s">
        <v>601</v>
      </c>
      <c r="O241" s="1">
        <v>240</v>
      </c>
      <c r="P241" s="12" t="str">
        <f t="shared" si="15"/>
        <v>Newton's 2nd Law (F=MA),Weight and Mass</v>
      </c>
      <c r="Q241" s="1">
        <v>4518</v>
      </c>
      <c r="R241" s="1" t="str">
        <f t="shared" si="14"/>
        <v>2004_06</v>
      </c>
      <c r="T241" s="1"/>
      <c r="AS241" s="1">
        <v>1</v>
      </c>
      <c r="AT241" s="1">
        <v>1</v>
      </c>
    </row>
    <row r="242" spans="1:78" x14ac:dyDescent="0.2">
      <c r="A242" t="s">
        <v>190</v>
      </c>
      <c r="B242" s="1">
        <v>2004</v>
      </c>
      <c r="C242" s="1">
        <v>6</v>
      </c>
      <c r="D242" s="1">
        <v>4</v>
      </c>
      <c r="E242" t="s">
        <v>4</v>
      </c>
      <c r="G242" s="1">
        <v>3</v>
      </c>
      <c r="H242" s="11" t="str">
        <f t="shared" si="13"/>
        <v>2004_06_004.gif</v>
      </c>
      <c r="I242"/>
      <c r="J242"/>
      <c r="L242" s="1" t="b">
        <v>0</v>
      </c>
      <c r="M242" s="1">
        <v>0</v>
      </c>
      <c r="N242" s="1" t="s">
        <v>601</v>
      </c>
      <c r="O242" s="1">
        <v>241</v>
      </c>
      <c r="P242" s="12" t="str">
        <f t="shared" si="15"/>
        <v>Acceleration of Projectile</v>
      </c>
      <c r="Q242" s="1">
        <v>4519</v>
      </c>
      <c r="R242" s="1" t="str">
        <f t="shared" si="14"/>
        <v>2004_06</v>
      </c>
      <c r="T242" s="1"/>
      <c r="AG242" s="1">
        <v>1</v>
      </c>
    </row>
    <row r="243" spans="1:78" x14ac:dyDescent="0.2">
      <c r="A243" t="s">
        <v>191</v>
      </c>
      <c r="B243" s="1">
        <v>2004</v>
      </c>
      <c r="C243" s="1">
        <v>6</v>
      </c>
      <c r="D243" s="1">
        <v>5</v>
      </c>
      <c r="E243" t="s">
        <v>4</v>
      </c>
      <c r="G243" s="1">
        <v>3</v>
      </c>
      <c r="H243" s="11" t="str">
        <f t="shared" si="13"/>
        <v>2004_06_005.gif</v>
      </c>
      <c r="I243"/>
      <c r="J243"/>
      <c r="L243" s="1" t="b">
        <v>0</v>
      </c>
      <c r="M243" s="1">
        <v>0</v>
      </c>
      <c r="N243" s="1" t="s">
        <v>601</v>
      </c>
      <c r="O243" s="1">
        <v>242</v>
      </c>
      <c r="P243" s="12" t="str">
        <f t="shared" si="15"/>
        <v>Horizontal Projectile Range</v>
      </c>
      <c r="Q243" s="1">
        <v>4520</v>
      </c>
      <c r="R243" s="1" t="str">
        <f t="shared" si="14"/>
        <v>2004_06</v>
      </c>
      <c r="T243" s="1"/>
      <c r="AI243" s="1">
        <v>1</v>
      </c>
    </row>
    <row r="244" spans="1:78" x14ac:dyDescent="0.2">
      <c r="A244" t="s">
        <v>192</v>
      </c>
      <c r="B244" s="1">
        <v>2004</v>
      </c>
      <c r="C244" s="1">
        <v>6</v>
      </c>
      <c r="D244" s="1">
        <v>6</v>
      </c>
      <c r="E244" t="s">
        <v>5</v>
      </c>
      <c r="G244" s="1">
        <v>1</v>
      </c>
      <c r="H244" s="11" t="str">
        <f t="shared" si="13"/>
        <v>2004_06_006.gif</v>
      </c>
      <c r="I244"/>
      <c r="J244"/>
      <c r="L244" s="1" t="b">
        <v>0</v>
      </c>
      <c r="M244" s="1">
        <v>0</v>
      </c>
      <c r="N244" s="1" t="s">
        <v>601</v>
      </c>
      <c r="O244" s="1">
        <v>243</v>
      </c>
      <c r="P244" s="12" t="str">
        <f t="shared" si="15"/>
        <v>Newton's 2nd Law (F=MA),Weight and Mass</v>
      </c>
      <c r="Q244" s="1">
        <v>4521</v>
      </c>
      <c r="R244" s="1" t="str">
        <f t="shared" si="14"/>
        <v>2004_06</v>
      </c>
      <c r="T244" s="1"/>
      <c r="AS244" s="1">
        <v>1</v>
      </c>
      <c r="AT244" s="1">
        <v>1</v>
      </c>
    </row>
    <row r="245" spans="1:78" x14ac:dyDescent="0.2">
      <c r="A245" t="s">
        <v>193</v>
      </c>
      <c r="B245" s="1">
        <v>2004</v>
      </c>
      <c r="C245" s="1">
        <v>6</v>
      </c>
      <c r="D245" s="1">
        <v>7</v>
      </c>
      <c r="E245" t="s">
        <v>2</v>
      </c>
      <c r="G245" s="1">
        <v>2</v>
      </c>
      <c r="H245" s="11" t="str">
        <f t="shared" si="13"/>
        <v>2004_06_007.gif</v>
      </c>
      <c r="I245"/>
      <c r="J245"/>
      <c r="L245" s="1" t="b">
        <v>0</v>
      </c>
      <c r="M245" s="1">
        <v>0</v>
      </c>
      <c r="N245" s="1" t="s">
        <v>601</v>
      </c>
      <c r="O245" s="1">
        <v>244</v>
      </c>
      <c r="P245" s="12" t="str">
        <f t="shared" si="15"/>
        <v>Vertical Constant Acceleration Problems</v>
      </c>
      <c r="Q245" s="1">
        <v>4522</v>
      </c>
      <c r="R245" s="1" t="str">
        <f t="shared" si="14"/>
        <v>2004_06</v>
      </c>
      <c r="T245" s="1"/>
      <c r="AC245" s="1">
        <v>1</v>
      </c>
    </row>
    <row r="246" spans="1:78" x14ac:dyDescent="0.2">
      <c r="A246" t="s">
        <v>194</v>
      </c>
      <c r="B246" s="1">
        <v>2004</v>
      </c>
      <c r="C246" s="1">
        <v>6</v>
      </c>
      <c r="D246" s="1">
        <v>8</v>
      </c>
      <c r="E246" t="s">
        <v>5</v>
      </c>
      <c r="G246" s="1">
        <v>2</v>
      </c>
      <c r="H246" s="11" t="str">
        <f t="shared" si="13"/>
        <v>2004_06_008.gif</v>
      </c>
      <c r="I246"/>
      <c r="J246"/>
      <c r="L246" s="1" t="b">
        <v>0</v>
      </c>
      <c r="M246" s="1">
        <v>0</v>
      </c>
      <c r="N246" s="1" t="s">
        <v>601</v>
      </c>
      <c r="O246" s="1">
        <v>245</v>
      </c>
      <c r="P246" s="12" t="str">
        <f t="shared" si="15"/>
        <v>Friction</v>
      </c>
      <c r="Q246" s="1">
        <v>4523</v>
      </c>
      <c r="R246" s="1" t="str">
        <f t="shared" si="14"/>
        <v>2004_06</v>
      </c>
      <c r="T246" s="1"/>
      <c r="AN246" s="1">
        <v>1</v>
      </c>
    </row>
    <row r="247" spans="1:78" x14ac:dyDescent="0.2">
      <c r="A247" t="s">
        <v>195</v>
      </c>
      <c r="B247" s="1">
        <v>2004</v>
      </c>
      <c r="C247" s="1">
        <v>6</v>
      </c>
      <c r="D247" s="1">
        <v>9</v>
      </c>
      <c r="E247" t="s">
        <v>6</v>
      </c>
      <c r="G247" s="1">
        <v>1</v>
      </c>
      <c r="H247" s="11" t="str">
        <f t="shared" si="13"/>
        <v>2004_06_009.gif</v>
      </c>
      <c r="I247"/>
      <c r="J247"/>
      <c r="L247" s="1" t="b">
        <v>0</v>
      </c>
      <c r="M247" s="1">
        <v>0</v>
      </c>
      <c r="N247" s="1" t="s">
        <v>601</v>
      </c>
      <c r="O247" s="1">
        <v>246</v>
      </c>
      <c r="P247" s="12" t="str">
        <f t="shared" si="15"/>
        <v>Impulse</v>
      </c>
      <c r="Q247" s="1">
        <v>4524</v>
      </c>
      <c r="R247" s="1" t="str">
        <f t="shared" si="14"/>
        <v>2004_06</v>
      </c>
      <c r="T247" s="1"/>
      <c r="AV247" s="1">
        <v>1</v>
      </c>
    </row>
    <row r="248" spans="1:78" x14ac:dyDescent="0.2">
      <c r="A248" t="s">
        <v>196</v>
      </c>
      <c r="B248" s="1">
        <v>2004</v>
      </c>
      <c r="C248" s="1">
        <v>6</v>
      </c>
      <c r="D248" s="1">
        <v>10</v>
      </c>
      <c r="E248" t="s">
        <v>6</v>
      </c>
      <c r="G248" s="1">
        <v>4</v>
      </c>
      <c r="H248" s="11" t="str">
        <f t="shared" si="13"/>
        <v>2004_06_010.gif</v>
      </c>
      <c r="I248"/>
      <c r="J248"/>
      <c r="L248" s="1" t="b">
        <v>0</v>
      </c>
      <c r="M248" s="1">
        <v>0</v>
      </c>
      <c r="N248" s="1" t="s">
        <v>601</v>
      </c>
      <c r="O248" s="1">
        <v>247</v>
      </c>
      <c r="P248" s="12" t="str">
        <f t="shared" si="15"/>
        <v>Newton's 3rd Law (Equal But Opposite)</v>
      </c>
      <c r="Q248" s="1">
        <v>4525</v>
      </c>
      <c r="R248" s="1" t="str">
        <f t="shared" si="14"/>
        <v>2004_06</v>
      </c>
      <c r="T248" s="1"/>
      <c r="AW248" s="1">
        <v>1</v>
      </c>
    </row>
    <row r="249" spans="1:78" x14ac:dyDescent="0.2">
      <c r="A249" t="s">
        <v>197</v>
      </c>
      <c r="B249" s="1">
        <v>2004</v>
      </c>
      <c r="C249" s="1">
        <v>6</v>
      </c>
      <c r="D249" s="1">
        <v>11</v>
      </c>
      <c r="E249" t="s">
        <v>1</v>
      </c>
      <c r="G249" s="1">
        <v>4</v>
      </c>
      <c r="H249" s="11" t="str">
        <f t="shared" si="13"/>
        <v>2004_06_011.gif</v>
      </c>
      <c r="I249"/>
      <c r="J249"/>
      <c r="L249" s="1" t="b">
        <v>0</v>
      </c>
      <c r="M249" s="1">
        <v>0</v>
      </c>
      <c r="N249" s="1" t="s">
        <v>601</v>
      </c>
      <c r="O249" s="1">
        <v>248</v>
      </c>
      <c r="P249" s="12" t="str">
        <f t="shared" si="15"/>
        <v>Units</v>
      </c>
      <c r="Q249" s="1">
        <v>4526</v>
      </c>
      <c r="R249" s="1" t="str">
        <f t="shared" si="14"/>
        <v>2004_06</v>
      </c>
      <c r="T249" s="1"/>
      <c r="V249" s="1">
        <v>1</v>
      </c>
    </row>
    <row r="250" spans="1:78" x14ac:dyDescent="0.2">
      <c r="A250" t="s">
        <v>198</v>
      </c>
      <c r="B250" s="1">
        <v>2004</v>
      </c>
      <c r="C250" s="1">
        <v>6</v>
      </c>
      <c r="D250" s="1">
        <v>12</v>
      </c>
      <c r="E250" t="s">
        <v>7</v>
      </c>
      <c r="G250" s="1">
        <v>2</v>
      </c>
      <c r="H250" s="11" t="str">
        <f t="shared" si="13"/>
        <v>2004_06_012.gif</v>
      </c>
      <c r="I250"/>
      <c r="J250"/>
      <c r="L250" s="1" t="b">
        <v>0</v>
      </c>
      <c r="M250" s="1">
        <v>0</v>
      </c>
      <c r="N250" s="1" t="s">
        <v>601</v>
      </c>
      <c r="O250" s="1">
        <v>249</v>
      </c>
      <c r="P250" s="12" t="str">
        <f t="shared" si="15"/>
        <v>Work/Power</v>
      </c>
      <c r="Q250" s="1">
        <v>4527</v>
      </c>
      <c r="R250" s="1" t="str">
        <f t="shared" si="14"/>
        <v>2004_06</v>
      </c>
      <c r="T250" s="1"/>
      <c r="BB250" s="1">
        <v>1</v>
      </c>
    </row>
    <row r="251" spans="1:78" x14ac:dyDescent="0.2">
      <c r="A251" t="s">
        <v>199</v>
      </c>
      <c r="B251" s="1">
        <v>2004</v>
      </c>
      <c r="C251" s="1">
        <v>6</v>
      </c>
      <c r="D251" s="1">
        <v>13</v>
      </c>
      <c r="E251" t="s">
        <v>7</v>
      </c>
      <c r="G251" s="1">
        <v>4</v>
      </c>
      <c r="H251" s="11" t="str">
        <f t="shared" si="13"/>
        <v>2004_06_013.gif</v>
      </c>
      <c r="I251"/>
      <c r="J251"/>
      <c r="L251" s="1" t="b">
        <v>0</v>
      </c>
      <c r="M251" s="1">
        <v>0</v>
      </c>
      <c r="N251" s="1" t="s">
        <v>601</v>
      </c>
      <c r="O251" s="1">
        <v>250</v>
      </c>
      <c r="P251" s="12" t="str">
        <f t="shared" si="15"/>
        <v>Kinetic Energy</v>
      </c>
      <c r="Q251" s="1">
        <v>4528</v>
      </c>
      <c r="R251" s="1" t="str">
        <f t="shared" si="14"/>
        <v>2004_06</v>
      </c>
      <c r="T251" s="1"/>
      <c r="AZ251" s="1">
        <v>1</v>
      </c>
    </row>
    <row r="252" spans="1:78" x14ac:dyDescent="0.2">
      <c r="A252" t="s">
        <v>200</v>
      </c>
      <c r="B252" s="1">
        <v>2004</v>
      </c>
      <c r="C252" s="1">
        <v>6</v>
      </c>
      <c r="D252" s="1">
        <v>14</v>
      </c>
      <c r="E252" t="s">
        <v>7</v>
      </c>
      <c r="G252" s="1">
        <v>2</v>
      </c>
      <c r="H252" s="11" t="str">
        <f t="shared" si="13"/>
        <v>2004_06_014.gif</v>
      </c>
      <c r="I252"/>
      <c r="J252"/>
      <c r="L252" s="1" t="b">
        <v>0</v>
      </c>
      <c r="M252" s="1">
        <v>0</v>
      </c>
      <c r="N252" s="1" t="s">
        <v>601</v>
      </c>
      <c r="O252" s="1">
        <v>251</v>
      </c>
      <c r="P252" s="12" t="str">
        <f t="shared" si="15"/>
        <v>PE of Spring</v>
      </c>
      <c r="Q252" s="1">
        <v>4529</v>
      </c>
      <c r="R252" s="1" t="str">
        <f t="shared" si="14"/>
        <v>2004_06</v>
      </c>
      <c r="T252" s="1"/>
      <c r="BA252" s="1">
        <v>1</v>
      </c>
    </row>
    <row r="253" spans="1:78" x14ac:dyDescent="0.2">
      <c r="A253" t="s">
        <v>201</v>
      </c>
      <c r="B253" s="1">
        <v>2004</v>
      </c>
      <c r="C253" s="1">
        <v>6</v>
      </c>
      <c r="D253" s="1">
        <v>15</v>
      </c>
      <c r="E253" t="s">
        <v>7</v>
      </c>
      <c r="G253" s="1">
        <v>2</v>
      </c>
      <c r="H253" s="11" t="str">
        <f t="shared" si="13"/>
        <v>2004_06_015.gif</v>
      </c>
      <c r="I253"/>
      <c r="J253"/>
      <c r="L253" s="1" t="b">
        <v>0</v>
      </c>
      <c r="M253" s="1">
        <v>0</v>
      </c>
      <c r="N253" s="1" t="s">
        <v>601</v>
      </c>
      <c r="O253" s="1">
        <v>252</v>
      </c>
      <c r="P253" s="12" t="str">
        <f t="shared" si="15"/>
        <v>Work/Power</v>
      </c>
      <c r="Q253" s="1">
        <v>4530</v>
      </c>
      <c r="R253" s="1" t="str">
        <f t="shared" si="14"/>
        <v>2004_06</v>
      </c>
      <c r="T253" s="1"/>
      <c r="BB253" s="1">
        <v>1</v>
      </c>
    </row>
    <row r="254" spans="1:78" x14ac:dyDescent="0.2">
      <c r="A254" t="s">
        <v>202</v>
      </c>
      <c r="B254" s="1">
        <v>2004</v>
      </c>
      <c r="C254" s="1">
        <v>6</v>
      </c>
      <c r="D254" s="1">
        <v>16</v>
      </c>
      <c r="E254" t="s">
        <v>588</v>
      </c>
      <c r="F254" t="s">
        <v>12</v>
      </c>
      <c r="G254" s="1">
        <v>3</v>
      </c>
      <c r="H254" s="11" t="str">
        <f t="shared" si="13"/>
        <v>2004_06_016.gif</v>
      </c>
      <c r="I254"/>
      <c r="J254"/>
      <c r="L254" s="1" t="b">
        <v>0</v>
      </c>
      <c r="M254" s="1">
        <v>0</v>
      </c>
      <c r="N254" s="1" t="s">
        <v>601</v>
      </c>
      <c r="O254" s="1">
        <v>253</v>
      </c>
      <c r="P254" s="12" t="str">
        <f t="shared" si="15"/>
        <v>Electric Fields and Potential,Magnetism</v>
      </c>
      <c r="Q254" s="1">
        <v>4531</v>
      </c>
      <c r="R254" s="1" t="str">
        <f t="shared" si="14"/>
        <v>2004_06</v>
      </c>
      <c r="T254" s="1"/>
      <c r="BN254" s="1">
        <v>1</v>
      </c>
      <c r="BZ254" s="1">
        <v>1</v>
      </c>
    </row>
    <row r="255" spans="1:78" x14ac:dyDescent="0.2">
      <c r="A255" t="s">
        <v>203</v>
      </c>
      <c r="B255" s="1">
        <v>2004</v>
      </c>
      <c r="C255" s="1">
        <v>6</v>
      </c>
      <c r="D255" s="1">
        <v>17</v>
      </c>
      <c r="E255" t="s">
        <v>10</v>
      </c>
      <c r="G255" s="1">
        <v>2</v>
      </c>
      <c r="H255" s="11" t="str">
        <f t="shared" si="13"/>
        <v>2004_06_017.gif</v>
      </c>
      <c r="I255"/>
      <c r="J255"/>
      <c r="L255" s="1" t="b">
        <v>0</v>
      </c>
      <c r="M255" s="1">
        <v>0</v>
      </c>
      <c r="N255" s="1" t="s">
        <v>601</v>
      </c>
      <c r="O255" s="1">
        <v>254</v>
      </c>
      <c r="P255" s="12" t="str">
        <f t="shared" si="15"/>
        <v>Induction, Conduction, Polarization</v>
      </c>
      <c r="Q255" s="1">
        <v>4532</v>
      </c>
      <c r="R255" s="1" t="str">
        <f t="shared" si="14"/>
        <v>2004_06</v>
      </c>
      <c r="T255" s="1"/>
      <c r="BM255" s="1">
        <v>1</v>
      </c>
    </row>
    <row r="256" spans="1:78" x14ac:dyDescent="0.2">
      <c r="A256" t="s">
        <v>204</v>
      </c>
      <c r="B256" s="1">
        <v>2004</v>
      </c>
      <c r="C256" s="1">
        <v>6</v>
      </c>
      <c r="D256" s="1">
        <v>18</v>
      </c>
      <c r="E256" t="s">
        <v>10</v>
      </c>
      <c r="G256" s="1">
        <v>1</v>
      </c>
      <c r="H256" s="11" t="str">
        <f t="shared" si="13"/>
        <v>2004_06_018.gif</v>
      </c>
      <c r="I256"/>
      <c r="J256"/>
      <c r="L256" s="1" t="b">
        <v>0</v>
      </c>
      <c r="M256" s="1">
        <v>0</v>
      </c>
      <c r="N256" s="1" t="s">
        <v>601</v>
      </c>
      <c r="O256" s="1">
        <v>255</v>
      </c>
      <c r="P256" s="12" t="str">
        <f t="shared" si="15"/>
        <v>Electric Fields and Potential</v>
      </c>
      <c r="Q256" s="1">
        <v>4533</v>
      </c>
      <c r="R256" s="1" t="str">
        <f t="shared" si="14"/>
        <v>2004_06</v>
      </c>
      <c r="T256" s="1"/>
      <c r="BN256" s="1">
        <v>1</v>
      </c>
    </row>
    <row r="257" spans="1:74" x14ac:dyDescent="0.2">
      <c r="A257" t="s">
        <v>205</v>
      </c>
      <c r="B257" s="1">
        <v>2004</v>
      </c>
      <c r="C257" s="1">
        <v>6</v>
      </c>
      <c r="D257" s="1">
        <v>19</v>
      </c>
      <c r="E257" t="s">
        <v>11</v>
      </c>
      <c r="G257" s="1">
        <v>3</v>
      </c>
      <c r="H257" s="11" t="str">
        <f t="shared" si="13"/>
        <v>2004_06_019.gif</v>
      </c>
      <c r="I257"/>
      <c r="J257"/>
      <c r="L257" s="1" t="b">
        <v>0</v>
      </c>
      <c r="M257" s="1">
        <v>0</v>
      </c>
      <c r="N257" s="1" t="s">
        <v>601</v>
      </c>
      <c r="O257" s="1">
        <v>256</v>
      </c>
      <c r="P257" s="12" t="str">
        <f t="shared" si="15"/>
        <v>Electrical Definitions</v>
      </c>
      <c r="Q257" s="1">
        <v>4534</v>
      </c>
      <c r="R257" s="1" t="str">
        <f t="shared" si="14"/>
        <v>2004_06</v>
      </c>
      <c r="T257" s="1"/>
      <c r="BO257" s="1">
        <v>1</v>
      </c>
    </row>
    <row r="258" spans="1:74" x14ac:dyDescent="0.2">
      <c r="A258" t="s">
        <v>206</v>
      </c>
      <c r="B258" s="1">
        <v>2004</v>
      </c>
      <c r="C258" s="1">
        <v>6</v>
      </c>
      <c r="D258" s="1">
        <v>20</v>
      </c>
      <c r="E258" t="s">
        <v>588</v>
      </c>
      <c r="F258" t="s">
        <v>10</v>
      </c>
      <c r="G258" s="1">
        <v>3</v>
      </c>
      <c r="H258" s="11" t="str">
        <f t="shared" ref="H258:H321" si="17">HYPERLINK(A258&amp;".gif")</f>
        <v>2004_06_020.gif</v>
      </c>
      <c r="I258"/>
      <c r="J258"/>
      <c r="L258" s="1" t="b">
        <v>0</v>
      </c>
      <c r="M258" s="1">
        <v>0</v>
      </c>
      <c r="N258" s="1" t="s">
        <v>601</v>
      </c>
      <c r="O258" s="1">
        <v>257</v>
      </c>
      <c r="P258" s="12" t="str">
        <f t="shared" si="15"/>
        <v>Electric Fields and Potential</v>
      </c>
      <c r="Q258" s="1">
        <v>4535</v>
      </c>
      <c r="R258" s="1" t="str">
        <f t="shared" si="14"/>
        <v>2004_06</v>
      </c>
      <c r="T258" s="1"/>
      <c r="BN258" s="1">
        <v>1</v>
      </c>
    </row>
    <row r="259" spans="1:74" x14ac:dyDescent="0.2">
      <c r="A259" t="s">
        <v>207</v>
      </c>
      <c r="B259" s="1">
        <v>2004</v>
      </c>
      <c r="C259" s="1">
        <v>6</v>
      </c>
      <c r="D259" s="1">
        <v>21</v>
      </c>
      <c r="E259" t="s">
        <v>10</v>
      </c>
      <c r="F259" t="s">
        <v>5</v>
      </c>
      <c r="G259" s="1">
        <v>2</v>
      </c>
      <c r="H259" s="11" t="str">
        <f t="shared" si="17"/>
        <v>2004_06_021.gif</v>
      </c>
      <c r="I259"/>
      <c r="J259"/>
      <c r="L259" s="1" t="b">
        <v>0</v>
      </c>
      <c r="M259" s="1">
        <v>0</v>
      </c>
      <c r="N259" s="1" t="s">
        <v>601</v>
      </c>
      <c r="O259" s="1">
        <v>258</v>
      </c>
      <c r="P259" s="12" t="str">
        <f t="shared" si="15"/>
        <v>Law of Gravity,Coulomb's Law</v>
      </c>
      <c r="Q259" s="1">
        <v>4536</v>
      </c>
      <c r="R259" s="1" t="str">
        <f t="shared" ref="R259:R322" si="18">B259&amp;"_"&amp;TEXT(C259,"00")</f>
        <v>2004_06</v>
      </c>
      <c r="T259" s="1"/>
      <c r="AQ259" s="1">
        <v>1</v>
      </c>
      <c r="BL259" s="1">
        <v>1</v>
      </c>
    </row>
    <row r="260" spans="1:74" x14ac:dyDescent="0.2">
      <c r="A260" t="s">
        <v>208</v>
      </c>
      <c r="B260" s="1">
        <v>2004</v>
      </c>
      <c r="C260" s="1">
        <v>6</v>
      </c>
      <c r="D260" s="1">
        <v>22</v>
      </c>
      <c r="E260" t="s">
        <v>11</v>
      </c>
      <c r="G260" s="1">
        <v>1</v>
      </c>
      <c r="H260" s="11" t="str">
        <f t="shared" si="17"/>
        <v>2004_06_022.gif</v>
      </c>
      <c r="I260"/>
      <c r="J260"/>
      <c r="L260" s="1" t="b">
        <v>0</v>
      </c>
      <c r="M260" s="1">
        <v>0</v>
      </c>
      <c r="N260" s="1" t="s">
        <v>601</v>
      </c>
      <c r="O260" s="1">
        <v>259</v>
      </c>
      <c r="P260" s="12" t="str">
        <f t="shared" si="15"/>
        <v>Resistance of Wire</v>
      </c>
      <c r="Q260" s="1">
        <v>4537</v>
      </c>
      <c r="R260" s="1" t="str">
        <f t="shared" si="18"/>
        <v>2004_06</v>
      </c>
      <c r="T260" s="1"/>
      <c r="BR260" s="1">
        <v>1</v>
      </c>
    </row>
    <row r="261" spans="1:74" x14ac:dyDescent="0.2">
      <c r="A261" t="s">
        <v>209</v>
      </c>
      <c r="B261" s="1">
        <v>2004</v>
      </c>
      <c r="C261" s="1">
        <v>6</v>
      </c>
      <c r="D261" s="1">
        <v>23</v>
      </c>
      <c r="E261" t="s">
        <v>11</v>
      </c>
      <c r="G261" s="1">
        <v>2</v>
      </c>
      <c r="H261" s="11" t="str">
        <f t="shared" si="17"/>
        <v>2004_06_023.gif</v>
      </c>
      <c r="I261"/>
      <c r="J261"/>
      <c r="L261" s="1" t="b">
        <v>0</v>
      </c>
      <c r="M261" s="1">
        <v>0</v>
      </c>
      <c r="N261" s="1" t="s">
        <v>601</v>
      </c>
      <c r="O261" s="1">
        <v>260</v>
      </c>
      <c r="P261" s="12" t="str">
        <f t="shared" si="15"/>
        <v>Series and Parallel</v>
      </c>
      <c r="Q261" s="1">
        <v>4538</v>
      </c>
      <c r="R261" s="1" t="str">
        <f t="shared" si="18"/>
        <v>2004_06</v>
      </c>
      <c r="T261" s="1"/>
      <c r="BS261" s="1">
        <v>1</v>
      </c>
    </row>
    <row r="262" spans="1:74" x14ac:dyDescent="0.2">
      <c r="A262" t="s">
        <v>210</v>
      </c>
      <c r="B262" s="1">
        <v>2004</v>
      </c>
      <c r="C262" s="1">
        <v>6</v>
      </c>
      <c r="D262" s="1">
        <v>24</v>
      </c>
      <c r="E262" t="s">
        <v>13</v>
      </c>
      <c r="G262" s="1">
        <v>1</v>
      </c>
      <c r="H262" s="11" t="str">
        <f t="shared" si="17"/>
        <v>2004_06_024.gif</v>
      </c>
      <c r="I262"/>
      <c r="J262"/>
      <c r="L262" s="1" t="b">
        <v>0</v>
      </c>
      <c r="M262" s="1">
        <v>0</v>
      </c>
      <c r="N262" s="1" t="s">
        <v>601</v>
      </c>
      <c r="O262" s="1">
        <v>261</v>
      </c>
      <c r="P262" s="12" t="str">
        <f t="shared" si="15"/>
        <v>Energy/Mass Equivalency</v>
      </c>
      <c r="Q262" s="1">
        <v>4539</v>
      </c>
      <c r="R262" s="1" t="str">
        <f t="shared" si="18"/>
        <v>2004_06</v>
      </c>
      <c r="T262" s="1"/>
      <c r="BV262" s="1">
        <v>1</v>
      </c>
    </row>
    <row r="263" spans="1:74" x14ac:dyDescent="0.2">
      <c r="A263" t="s">
        <v>211</v>
      </c>
      <c r="B263" s="1">
        <v>2004</v>
      </c>
      <c r="C263" s="1">
        <v>6</v>
      </c>
      <c r="D263" s="1">
        <v>25</v>
      </c>
      <c r="E263" t="s">
        <v>13</v>
      </c>
      <c r="G263" s="1">
        <v>2</v>
      </c>
      <c r="H263" s="11" t="str">
        <f t="shared" si="17"/>
        <v>2004_06_025.gif</v>
      </c>
      <c r="I263"/>
      <c r="J263"/>
      <c r="L263" s="1" t="b">
        <v>0</v>
      </c>
      <c r="M263" s="1">
        <v>0</v>
      </c>
      <c r="N263" s="1" t="s">
        <v>601</v>
      </c>
      <c r="O263" s="1">
        <v>262</v>
      </c>
      <c r="P263" s="12" t="str">
        <f t="shared" si="15"/>
        <v>Energy/Mass Equivalency</v>
      </c>
      <c r="Q263" s="1">
        <v>4540</v>
      </c>
      <c r="R263" s="1" t="str">
        <f t="shared" si="18"/>
        <v>2004_06</v>
      </c>
      <c r="T263" s="1"/>
      <c r="BV263" s="1">
        <v>1</v>
      </c>
    </row>
    <row r="264" spans="1:74" x14ac:dyDescent="0.2">
      <c r="A264" t="s">
        <v>212</v>
      </c>
      <c r="B264" s="1">
        <v>2004</v>
      </c>
      <c r="C264" s="1">
        <v>6</v>
      </c>
      <c r="D264" s="1">
        <v>26</v>
      </c>
      <c r="E264" t="s">
        <v>8</v>
      </c>
      <c r="G264" s="1">
        <v>4</v>
      </c>
      <c r="H264" s="11" t="str">
        <f t="shared" si="17"/>
        <v>2004_06_026.gif</v>
      </c>
      <c r="I264"/>
      <c r="J264"/>
      <c r="L264" s="1" t="b">
        <v>0</v>
      </c>
      <c r="M264" s="1">
        <v>0</v>
      </c>
      <c r="N264" s="1" t="s">
        <v>601</v>
      </c>
      <c r="O264" s="1">
        <v>263</v>
      </c>
      <c r="P264" s="12" t="str">
        <f t="shared" si="15"/>
        <v>Wave Vocabulary</v>
      </c>
      <c r="Q264" s="1">
        <v>4541</v>
      </c>
      <c r="R264" s="1" t="str">
        <f t="shared" si="18"/>
        <v>2004_06</v>
      </c>
      <c r="T264" s="1"/>
      <c r="BF264" s="1">
        <v>1</v>
      </c>
    </row>
    <row r="265" spans="1:74" x14ac:dyDescent="0.2">
      <c r="A265" t="s">
        <v>213</v>
      </c>
      <c r="B265" s="1">
        <v>2004</v>
      </c>
      <c r="C265" s="1">
        <v>6</v>
      </c>
      <c r="D265" s="1">
        <v>27</v>
      </c>
      <c r="E265" t="s">
        <v>9</v>
      </c>
      <c r="G265" s="1">
        <v>4</v>
      </c>
      <c r="H265" s="11" t="str">
        <f t="shared" si="17"/>
        <v>2004_06_027.gif</v>
      </c>
      <c r="I265"/>
      <c r="J265"/>
      <c r="L265" s="1" t="b">
        <v>0</v>
      </c>
      <c r="M265" s="1">
        <v>0</v>
      </c>
      <c r="N265" s="1" t="s">
        <v>601</v>
      </c>
      <c r="O265" s="1">
        <v>264</v>
      </c>
      <c r="P265" s="12" t="str">
        <f t="shared" si="15"/>
        <v>Light and Sound</v>
      </c>
      <c r="Q265" s="1">
        <v>4542</v>
      </c>
      <c r="R265" s="1" t="str">
        <f t="shared" si="18"/>
        <v>2004_06</v>
      </c>
      <c r="T265" s="1"/>
      <c r="BI265" s="1">
        <v>1</v>
      </c>
    </row>
    <row r="266" spans="1:74" x14ac:dyDescent="0.2">
      <c r="A266" t="s">
        <v>214</v>
      </c>
      <c r="B266" s="1">
        <v>2004</v>
      </c>
      <c r="C266" s="1">
        <v>6</v>
      </c>
      <c r="D266" s="1">
        <v>28</v>
      </c>
      <c r="E266" t="s">
        <v>9</v>
      </c>
      <c r="G266" s="1">
        <v>1</v>
      </c>
      <c r="H266" s="11" t="str">
        <f t="shared" si="17"/>
        <v>2004_06_028.gif</v>
      </c>
      <c r="I266"/>
      <c r="J266"/>
      <c r="L266" s="1" t="b">
        <v>0</v>
      </c>
      <c r="M266" s="1">
        <v>0</v>
      </c>
      <c r="N266" s="1" t="s">
        <v>601</v>
      </c>
      <c r="O266" s="1">
        <v>265</v>
      </c>
      <c r="P266" s="12" t="str">
        <f t="shared" si="15"/>
        <v>Refraction and Snell's Law</v>
      </c>
      <c r="Q266" s="1">
        <v>4543</v>
      </c>
      <c r="R266" s="1" t="str">
        <f t="shared" si="18"/>
        <v>2004_06</v>
      </c>
      <c r="T266" s="1"/>
      <c r="BJ266" s="1">
        <v>1</v>
      </c>
    </row>
    <row r="267" spans="1:74" x14ac:dyDescent="0.2">
      <c r="A267" t="s">
        <v>215</v>
      </c>
      <c r="B267" s="1">
        <v>2004</v>
      </c>
      <c r="C267" s="1">
        <v>6</v>
      </c>
      <c r="D267" s="1">
        <v>29</v>
      </c>
      <c r="E267" t="s">
        <v>8</v>
      </c>
      <c r="G267" s="1">
        <v>3</v>
      </c>
      <c r="H267" s="11" t="str">
        <f t="shared" si="17"/>
        <v>2004_06_029.gif</v>
      </c>
      <c r="I267"/>
      <c r="J267"/>
      <c r="L267" s="1" t="b">
        <v>0</v>
      </c>
      <c r="M267" s="1">
        <v>0</v>
      </c>
      <c r="N267" s="1" t="s">
        <v>601</v>
      </c>
      <c r="O267" s="1">
        <v>266</v>
      </c>
      <c r="P267" s="12" t="str">
        <f t="shared" ref="P267:P330" si="19">concatenateif(U267:DI267,1,$U$1:$DI$1)</f>
        <v>Resonance</v>
      </c>
      <c r="Q267" s="1">
        <v>4544</v>
      </c>
      <c r="R267" s="1" t="str">
        <f t="shared" si="18"/>
        <v>2004_06</v>
      </c>
      <c r="T267" s="1"/>
      <c r="BC267" s="1">
        <v>1</v>
      </c>
    </row>
    <row r="268" spans="1:74" x14ac:dyDescent="0.2">
      <c r="A268" t="s">
        <v>216</v>
      </c>
      <c r="B268" s="1">
        <v>2004</v>
      </c>
      <c r="C268" s="1">
        <v>6</v>
      </c>
      <c r="D268" s="1">
        <v>30</v>
      </c>
      <c r="E268" t="s">
        <v>9</v>
      </c>
      <c r="G268" s="1">
        <v>2</v>
      </c>
      <c r="H268" s="11" t="str">
        <f t="shared" si="17"/>
        <v>2004_06_030.gif</v>
      </c>
      <c r="I268"/>
      <c r="J268"/>
      <c r="L268" s="1" t="b">
        <v>0</v>
      </c>
      <c r="M268" s="1">
        <v>0</v>
      </c>
      <c r="N268" s="1" t="s">
        <v>601</v>
      </c>
      <c r="O268" s="1">
        <v>267</v>
      </c>
      <c r="P268" s="12" t="str">
        <f t="shared" si="19"/>
        <v>Refraction and Snell's Law</v>
      </c>
      <c r="Q268" s="1">
        <v>4545</v>
      </c>
      <c r="R268" s="1" t="str">
        <f t="shared" si="18"/>
        <v>2004_06</v>
      </c>
      <c r="T268" s="1"/>
      <c r="BJ268" s="1">
        <v>1</v>
      </c>
    </row>
    <row r="269" spans="1:74" x14ac:dyDescent="0.2">
      <c r="A269" t="s">
        <v>217</v>
      </c>
      <c r="B269" s="1">
        <v>2004</v>
      </c>
      <c r="C269" s="1">
        <v>6</v>
      </c>
      <c r="D269" s="1">
        <v>31</v>
      </c>
      <c r="E269" t="s">
        <v>9</v>
      </c>
      <c r="G269" s="1">
        <v>3</v>
      </c>
      <c r="H269" s="11" t="str">
        <f t="shared" si="17"/>
        <v>2004_06_031.gif</v>
      </c>
      <c r="I269"/>
      <c r="J269"/>
      <c r="L269" s="1" t="b">
        <v>0</v>
      </c>
      <c r="M269" s="1">
        <v>0</v>
      </c>
      <c r="N269" s="1" t="s">
        <v>601</v>
      </c>
      <c r="O269" s="1">
        <v>268</v>
      </c>
      <c r="P269" s="12" t="str">
        <f t="shared" si="19"/>
        <v>Diffraction</v>
      </c>
      <c r="Q269" s="1">
        <v>4546</v>
      </c>
      <c r="R269" s="1" t="str">
        <f t="shared" si="18"/>
        <v>2004_06</v>
      </c>
      <c r="T269" s="1"/>
      <c r="BG269" s="1">
        <v>1</v>
      </c>
    </row>
    <row r="270" spans="1:74" x14ac:dyDescent="0.2">
      <c r="A270" t="s">
        <v>218</v>
      </c>
      <c r="B270" s="1">
        <v>2004</v>
      </c>
      <c r="C270" s="1">
        <v>6</v>
      </c>
      <c r="D270" s="1">
        <v>32</v>
      </c>
      <c r="E270" t="s">
        <v>9</v>
      </c>
      <c r="G270" s="1">
        <v>3</v>
      </c>
      <c r="H270" s="11" t="str">
        <f t="shared" si="17"/>
        <v>2004_06_032.gif</v>
      </c>
      <c r="I270"/>
      <c r="J270"/>
      <c r="L270" s="1" t="b">
        <v>0</v>
      </c>
      <c r="M270" s="1">
        <v>0</v>
      </c>
      <c r="N270" s="1" t="s">
        <v>601</v>
      </c>
      <c r="O270" s="1">
        <v>269</v>
      </c>
      <c r="P270" s="12" t="str">
        <f t="shared" si="19"/>
        <v>Doppler Effect</v>
      </c>
      <c r="Q270" s="1">
        <v>4547</v>
      </c>
      <c r="R270" s="1" t="str">
        <f t="shared" si="18"/>
        <v>2004_06</v>
      </c>
      <c r="T270" s="1"/>
      <c r="BH270" s="1">
        <v>1</v>
      </c>
    </row>
    <row r="271" spans="1:74" x14ac:dyDescent="0.2">
      <c r="A271" t="s">
        <v>219</v>
      </c>
      <c r="B271" s="1">
        <v>2004</v>
      </c>
      <c r="C271" s="1">
        <v>6</v>
      </c>
      <c r="D271" s="1">
        <v>33</v>
      </c>
      <c r="E271" t="s">
        <v>8</v>
      </c>
      <c r="G271" s="1">
        <v>3</v>
      </c>
      <c r="H271" s="11" t="str">
        <f t="shared" si="17"/>
        <v>2004_06_033.gif</v>
      </c>
      <c r="I271"/>
      <c r="J271"/>
      <c r="L271" s="1" t="b">
        <v>0</v>
      </c>
      <c r="M271" s="1">
        <v>0</v>
      </c>
      <c r="N271" s="1" t="s">
        <v>601</v>
      </c>
      <c r="O271" s="1">
        <v>270</v>
      </c>
      <c r="P271" s="12" t="str">
        <f t="shared" si="19"/>
        <v>Wave Vocabulary</v>
      </c>
      <c r="Q271" s="1">
        <v>4548</v>
      </c>
      <c r="R271" s="1" t="str">
        <f t="shared" si="18"/>
        <v>2004_06</v>
      </c>
      <c r="T271" s="1"/>
      <c r="BF271" s="1">
        <v>1</v>
      </c>
    </row>
    <row r="272" spans="1:74" x14ac:dyDescent="0.2">
      <c r="A272" t="s">
        <v>220</v>
      </c>
      <c r="B272" s="1">
        <v>2004</v>
      </c>
      <c r="C272" s="1">
        <v>6</v>
      </c>
      <c r="D272" s="1">
        <v>34</v>
      </c>
      <c r="E272" t="s">
        <v>9</v>
      </c>
      <c r="G272" s="1">
        <v>1</v>
      </c>
      <c r="H272" s="11" t="str">
        <f t="shared" si="17"/>
        <v>2004_06_034.gif</v>
      </c>
      <c r="I272"/>
      <c r="J272"/>
      <c r="L272" s="1" t="b">
        <v>0</v>
      </c>
      <c r="M272" s="1">
        <v>0</v>
      </c>
      <c r="N272" s="1" t="s">
        <v>601</v>
      </c>
      <c r="O272" s="1">
        <v>271</v>
      </c>
      <c r="P272" s="12" t="str">
        <f t="shared" si="19"/>
        <v>Refraction and Snell's Law</v>
      </c>
      <c r="Q272" s="1">
        <v>4549</v>
      </c>
      <c r="R272" s="1" t="str">
        <f t="shared" si="18"/>
        <v>2004_06</v>
      </c>
      <c r="T272" s="1"/>
      <c r="BJ272" s="1">
        <v>1</v>
      </c>
    </row>
    <row r="273" spans="1:76" x14ac:dyDescent="0.2">
      <c r="A273" t="s">
        <v>221</v>
      </c>
      <c r="B273" s="1">
        <v>2004</v>
      </c>
      <c r="C273" s="1">
        <v>6</v>
      </c>
      <c r="D273" s="1">
        <v>35</v>
      </c>
      <c r="E273" t="s">
        <v>8</v>
      </c>
      <c r="G273" s="1">
        <v>4</v>
      </c>
      <c r="H273" s="11" t="str">
        <f t="shared" si="17"/>
        <v>2004_06_035.gif</v>
      </c>
      <c r="I273"/>
      <c r="J273"/>
      <c r="L273" s="1" t="b">
        <v>0</v>
      </c>
      <c r="M273" s="1">
        <v>0</v>
      </c>
      <c r="N273" s="1" t="s">
        <v>601</v>
      </c>
      <c r="O273" s="1">
        <v>272</v>
      </c>
      <c r="P273" s="12" t="str">
        <f t="shared" si="19"/>
        <v>Superposition and Standing Waves</v>
      </c>
      <c r="Q273" s="1">
        <v>4550</v>
      </c>
      <c r="R273" s="1" t="str">
        <f t="shared" si="18"/>
        <v>2004_06</v>
      </c>
      <c r="T273" s="1"/>
      <c r="BD273" s="1">
        <v>1</v>
      </c>
    </row>
    <row r="274" spans="1:76" x14ac:dyDescent="0.2">
      <c r="A274" t="str">
        <f t="shared" ref="A274:A284" si="20">B274 &amp; "_" &amp; TEXT(C274,"00") &amp; "_" &amp; TEXT(D274,"000")</f>
        <v>2004_06_036</v>
      </c>
      <c r="B274" s="1">
        <v>2004</v>
      </c>
      <c r="C274" s="1">
        <v>6</v>
      </c>
      <c r="D274" s="1">
        <v>36</v>
      </c>
      <c r="E274" t="s">
        <v>5</v>
      </c>
      <c r="F274" t="s">
        <v>548</v>
      </c>
      <c r="G274" s="1">
        <v>4</v>
      </c>
      <c r="H274" s="11" t="str">
        <f t="shared" si="17"/>
        <v>2004_06_036.gif</v>
      </c>
      <c r="I274"/>
      <c r="J274"/>
      <c r="L274" s="1" t="b">
        <v>0</v>
      </c>
      <c r="M274" s="1">
        <v>0</v>
      </c>
      <c r="N274" s="1" t="s">
        <v>657</v>
      </c>
      <c r="O274" s="1">
        <v>273</v>
      </c>
      <c r="P274" s="12" t="str">
        <f t="shared" si="19"/>
        <v>Newton's 2nd Law (F=MA),Graph Interpretation</v>
      </c>
      <c r="Q274" s="1">
        <v>4551</v>
      </c>
      <c r="R274" s="1" t="str">
        <f t="shared" si="18"/>
        <v>2004_06</v>
      </c>
      <c r="T274" s="1"/>
      <c r="AS274" s="1">
        <v>1</v>
      </c>
      <c r="BX274" s="1">
        <v>1</v>
      </c>
    </row>
    <row r="275" spans="1:76" x14ac:dyDescent="0.2">
      <c r="A275" t="str">
        <f t="shared" si="20"/>
        <v>2004_06_037</v>
      </c>
      <c r="B275" s="1">
        <v>2004</v>
      </c>
      <c r="C275" s="1">
        <v>6</v>
      </c>
      <c r="D275" s="1">
        <v>37</v>
      </c>
      <c r="E275" t="s">
        <v>7</v>
      </c>
      <c r="G275" s="1">
        <v>3</v>
      </c>
      <c r="H275" s="11" t="str">
        <f t="shared" si="17"/>
        <v>2004_06_037.gif</v>
      </c>
      <c r="I275"/>
      <c r="J275"/>
      <c r="L275" s="1" t="b">
        <v>0</v>
      </c>
      <c r="M275" s="1">
        <v>0</v>
      </c>
      <c r="N275" s="1" t="s">
        <v>657</v>
      </c>
      <c r="O275" s="1">
        <v>274</v>
      </c>
      <c r="P275" s="12" t="str">
        <f t="shared" si="19"/>
        <v>Conservation of Energy</v>
      </c>
      <c r="Q275" s="1">
        <v>4552</v>
      </c>
      <c r="R275" s="1" t="str">
        <f t="shared" si="18"/>
        <v>2004_06</v>
      </c>
      <c r="T275" s="1"/>
      <c r="AX275" s="1">
        <v>1</v>
      </c>
    </row>
    <row r="276" spans="1:76" x14ac:dyDescent="0.2">
      <c r="A276" t="str">
        <f t="shared" si="20"/>
        <v>2004_06_038</v>
      </c>
      <c r="B276" s="1">
        <v>2004</v>
      </c>
      <c r="C276" s="1">
        <v>6</v>
      </c>
      <c r="D276" s="1">
        <v>38</v>
      </c>
      <c r="E276" t="s">
        <v>1</v>
      </c>
      <c r="G276" s="1">
        <v>3</v>
      </c>
      <c r="H276" s="11" t="str">
        <f t="shared" si="17"/>
        <v>2004_06_038.gif</v>
      </c>
      <c r="I276"/>
      <c r="J276"/>
      <c r="L276" s="1" t="b">
        <v>0</v>
      </c>
      <c r="M276" s="1">
        <v>0</v>
      </c>
      <c r="N276" s="1" t="s">
        <v>657</v>
      </c>
      <c r="O276" s="1">
        <v>275</v>
      </c>
      <c r="P276" s="12" t="str">
        <f t="shared" si="19"/>
        <v>Estimation</v>
      </c>
      <c r="Q276" s="1">
        <v>4553</v>
      </c>
      <c r="R276" s="1" t="str">
        <f t="shared" si="18"/>
        <v>2004_06</v>
      </c>
      <c r="T276" s="1"/>
      <c r="U276" s="1">
        <v>1</v>
      </c>
    </row>
    <row r="277" spans="1:76" x14ac:dyDescent="0.2">
      <c r="A277" t="str">
        <f t="shared" si="20"/>
        <v>2004_06_039</v>
      </c>
      <c r="B277" s="1">
        <v>2004</v>
      </c>
      <c r="C277" s="1">
        <v>6</v>
      </c>
      <c r="D277" s="1">
        <v>39</v>
      </c>
      <c r="E277" t="s">
        <v>9</v>
      </c>
      <c r="G277" s="1">
        <v>1</v>
      </c>
      <c r="H277" s="11" t="str">
        <f t="shared" si="17"/>
        <v>2004_06_039.gif</v>
      </c>
      <c r="I277"/>
      <c r="J277"/>
      <c r="L277" s="1" t="b">
        <v>0</v>
      </c>
      <c r="M277" s="1">
        <v>0</v>
      </c>
      <c r="N277" s="1" t="s">
        <v>657</v>
      </c>
      <c r="O277" s="1">
        <v>276</v>
      </c>
      <c r="P277" s="12" t="str">
        <f t="shared" si="19"/>
        <v>Light and Sound</v>
      </c>
      <c r="Q277" s="1">
        <v>4554</v>
      </c>
      <c r="R277" s="1" t="str">
        <f t="shared" si="18"/>
        <v>2004_06</v>
      </c>
      <c r="T277" s="1"/>
      <c r="BI277" s="1">
        <v>1</v>
      </c>
    </row>
    <row r="278" spans="1:76" x14ac:dyDescent="0.2">
      <c r="A278" t="str">
        <f t="shared" si="20"/>
        <v>2004_06_040</v>
      </c>
      <c r="B278" s="1">
        <v>2004</v>
      </c>
      <c r="C278" s="1">
        <v>6</v>
      </c>
      <c r="D278" s="1">
        <v>40</v>
      </c>
      <c r="E278" t="s">
        <v>13</v>
      </c>
      <c r="F278" t="s">
        <v>548</v>
      </c>
      <c r="G278" s="1">
        <v>1</v>
      </c>
      <c r="H278" s="11" t="str">
        <f t="shared" si="17"/>
        <v>2004_06_040.gif</v>
      </c>
      <c r="I278"/>
      <c r="J278"/>
      <c r="L278" s="1" t="b">
        <v>0</v>
      </c>
      <c r="M278" s="1">
        <v>0</v>
      </c>
      <c r="N278" s="1" t="s">
        <v>657</v>
      </c>
      <c r="O278" s="1">
        <v>277</v>
      </c>
      <c r="P278" s="12" t="str">
        <f t="shared" si="19"/>
        <v>Energy/Frequency of Photon,Graph Interpretation</v>
      </c>
      <c r="Q278" s="1">
        <v>4555</v>
      </c>
      <c r="R278" s="1" t="str">
        <f t="shared" si="18"/>
        <v>2004_06</v>
      </c>
      <c r="T278" s="1"/>
      <c r="BU278" s="1">
        <v>1</v>
      </c>
      <c r="BX278" s="1">
        <v>1</v>
      </c>
    </row>
    <row r="279" spans="1:76" x14ac:dyDescent="0.2">
      <c r="A279" t="str">
        <f t="shared" si="20"/>
        <v>2004_06_041</v>
      </c>
      <c r="B279" s="1">
        <v>2004</v>
      </c>
      <c r="C279" s="1">
        <v>6</v>
      </c>
      <c r="D279" s="1">
        <v>41</v>
      </c>
      <c r="E279" t="s">
        <v>13</v>
      </c>
      <c r="G279" s="1">
        <v>3</v>
      </c>
      <c r="H279" s="11" t="str">
        <f t="shared" si="17"/>
        <v>2004_06_041.gif</v>
      </c>
      <c r="I279"/>
      <c r="J279"/>
      <c r="L279" s="1" t="b">
        <v>0</v>
      </c>
      <c r="M279" s="1">
        <v>0</v>
      </c>
      <c r="N279" s="1" t="s">
        <v>657</v>
      </c>
      <c r="O279" s="1">
        <v>278</v>
      </c>
      <c r="P279" s="12" t="str">
        <f t="shared" si="19"/>
        <v>Particle Physics</v>
      </c>
      <c r="Q279" s="1">
        <v>4556</v>
      </c>
      <c r="R279" s="1" t="str">
        <f t="shared" si="18"/>
        <v>2004_06</v>
      </c>
      <c r="T279" s="1"/>
      <c r="BW279" s="1">
        <v>1</v>
      </c>
    </row>
    <row r="280" spans="1:76" x14ac:dyDescent="0.2">
      <c r="A280" t="str">
        <f t="shared" si="20"/>
        <v>2004_06_042</v>
      </c>
      <c r="B280" s="1">
        <v>2004</v>
      </c>
      <c r="C280" s="1">
        <v>6</v>
      </c>
      <c r="D280" s="1">
        <v>42</v>
      </c>
      <c r="E280" t="s">
        <v>11</v>
      </c>
      <c r="G280" s="1">
        <v>2</v>
      </c>
      <c r="H280" s="11" t="str">
        <f t="shared" si="17"/>
        <v>2004_06_042.gif</v>
      </c>
      <c r="I280"/>
      <c r="J280"/>
      <c r="L280" s="1" t="b">
        <v>0</v>
      </c>
      <c r="M280" s="1">
        <v>0</v>
      </c>
      <c r="N280" s="1" t="s">
        <v>657</v>
      </c>
      <c r="O280" s="1">
        <v>279</v>
      </c>
      <c r="P280" s="12" t="str">
        <f t="shared" si="19"/>
        <v>Series and Parallel</v>
      </c>
      <c r="Q280" s="1">
        <v>4557</v>
      </c>
      <c r="R280" s="1" t="str">
        <f t="shared" si="18"/>
        <v>2004_06</v>
      </c>
      <c r="T280" s="1"/>
      <c r="BS280" s="1">
        <v>1</v>
      </c>
    </row>
    <row r="281" spans="1:76" x14ac:dyDescent="0.2">
      <c r="A281" t="str">
        <f t="shared" si="20"/>
        <v>2004_06_043</v>
      </c>
      <c r="B281" s="1">
        <v>2004</v>
      </c>
      <c r="C281" s="1">
        <v>6</v>
      </c>
      <c r="D281" s="1">
        <v>43</v>
      </c>
      <c r="E281" t="s">
        <v>11</v>
      </c>
      <c r="G281" s="1">
        <v>2</v>
      </c>
      <c r="H281" s="11" t="str">
        <f t="shared" si="17"/>
        <v>2004_06_043.gif</v>
      </c>
      <c r="I281"/>
      <c r="J281"/>
      <c r="L281" s="1" t="b">
        <v>0</v>
      </c>
      <c r="M281" s="1">
        <v>0</v>
      </c>
      <c r="N281" s="1" t="s">
        <v>657</v>
      </c>
      <c r="O281" s="1">
        <v>280</v>
      </c>
      <c r="P281" s="12" t="str">
        <f t="shared" si="19"/>
        <v>Series and Parallel</v>
      </c>
      <c r="Q281" s="1">
        <v>4558</v>
      </c>
      <c r="R281" s="1" t="str">
        <f t="shared" si="18"/>
        <v>2004_06</v>
      </c>
      <c r="T281" s="1"/>
      <c r="BS281" s="1">
        <v>1</v>
      </c>
    </row>
    <row r="282" spans="1:76" x14ac:dyDescent="0.2">
      <c r="A282" t="str">
        <f t="shared" si="20"/>
        <v>2004_06_044</v>
      </c>
      <c r="B282" s="1">
        <v>2004</v>
      </c>
      <c r="C282" s="1">
        <v>6</v>
      </c>
      <c r="D282" s="1">
        <v>44</v>
      </c>
      <c r="E282" t="s">
        <v>11</v>
      </c>
      <c r="G282" s="1">
        <v>1</v>
      </c>
      <c r="H282" s="11" t="str">
        <f t="shared" si="17"/>
        <v>2004_06_044.gif</v>
      </c>
      <c r="I282"/>
      <c r="J282"/>
      <c r="L282" s="1" t="b">
        <v>0</v>
      </c>
      <c r="M282" s="1">
        <v>0</v>
      </c>
      <c r="N282" s="1" t="s">
        <v>657</v>
      </c>
      <c r="O282" s="1">
        <v>281</v>
      </c>
      <c r="P282" s="12" t="str">
        <f t="shared" si="19"/>
        <v>Electrical Power,Series and Parallel</v>
      </c>
      <c r="Q282" s="1">
        <v>4559</v>
      </c>
      <c r="R282" s="1" t="str">
        <f t="shared" si="18"/>
        <v>2004_06</v>
      </c>
      <c r="T282" s="1"/>
      <c r="BP282" s="1">
        <v>1</v>
      </c>
      <c r="BS282" s="1">
        <v>1</v>
      </c>
    </row>
    <row r="283" spans="1:76" x14ac:dyDescent="0.2">
      <c r="A283" t="str">
        <f t="shared" si="20"/>
        <v>2004_06_045</v>
      </c>
      <c r="B283" s="1">
        <v>2004</v>
      </c>
      <c r="C283" s="1">
        <v>6</v>
      </c>
      <c r="D283" s="1">
        <v>45</v>
      </c>
      <c r="E283" t="s">
        <v>10</v>
      </c>
      <c r="F283" t="s">
        <v>548</v>
      </c>
      <c r="G283" s="1">
        <v>4</v>
      </c>
      <c r="H283" s="11" t="str">
        <f t="shared" si="17"/>
        <v>2004_06_045.gif</v>
      </c>
      <c r="I283"/>
      <c r="J283"/>
      <c r="L283" s="1" t="b">
        <v>0</v>
      </c>
      <c r="M283" s="1">
        <v>0</v>
      </c>
      <c r="N283" s="1" t="s">
        <v>657</v>
      </c>
      <c r="O283" s="1">
        <v>282</v>
      </c>
      <c r="P283" s="12" t="str">
        <f t="shared" si="19"/>
        <v>Electric Fields and Potential,Graph Interpretation</v>
      </c>
      <c r="Q283" s="1">
        <v>4560</v>
      </c>
      <c r="R283" s="1" t="str">
        <f t="shared" si="18"/>
        <v>2004_06</v>
      </c>
      <c r="T283" s="1"/>
      <c r="BN283" s="1">
        <v>1</v>
      </c>
      <c r="BX283" s="1">
        <v>1</v>
      </c>
    </row>
    <row r="284" spans="1:76" x14ac:dyDescent="0.2">
      <c r="A284" t="str">
        <f t="shared" si="20"/>
        <v>2004_06_046</v>
      </c>
      <c r="B284" s="1">
        <v>2004</v>
      </c>
      <c r="C284" s="1">
        <v>6</v>
      </c>
      <c r="D284" s="1">
        <v>46</v>
      </c>
      <c r="E284" t="s">
        <v>11</v>
      </c>
      <c r="F284" t="s">
        <v>548</v>
      </c>
      <c r="G284" s="1">
        <v>4</v>
      </c>
      <c r="H284" s="11" t="str">
        <f t="shared" si="17"/>
        <v>2004_06_046.gif</v>
      </c>
      <c r="I284"/>
      <c r="J284"/>
      <c r="L284" s="1" t="b">
        <v>0</v>
      </c>
      <c r="M284" s="1">
        <v>0</v>
      </c>
      <c r="N284" s="1" t="s">
        <v>657</v>
      </c>
      <c r="O284" s="1">
        <v>283</v>
      </c>
      <c r="P284" s="12" t="str">
        <f t="shared" si="19"/>
        <v>Resistance of Wire,Graph Interpretation</v>
      </c>
      <c r="Q284" s="1">
        <v>4561</v>
      </c>
      <c r="R284" s="1" t="str">
        <f t="shared" si="18"/>
        <v>2004_06</v>
      </c>
      <c r="T284" s="1"/>
      <c r="BR284" s="1">
        <v>1</v>
      </c>
      <c r="BX284" s="1">
        <v>1</v>
      </c>
    </row>
    <row r="285" spans="1:76" x14ac:dyDescent="0.2">
      <c r="A285" t="s">
        <v>222</v>
      </c>
      <c r="B285" s="1">
        <v>2005</v>
      </c>
      <c r="C285" s="1">
        <v>1</v>
      </c>
      <c r="D285" s="1">
        <v>1</v>
      </c>
      <c r="E285" t="s">
        <v>2</v>
      </c>
      <c r="G285" s="1">
        <v>2</v>
      </c>
      <c r="H285" s="11" t="str">
        <f t="shared" si="17"/>
        <v>2005_01_001.gif</v>
      </c>
      <c r="I285"/>
      <c r="J285"/>
      <c r="L285" s="1" t="b">
        <v>0</v>
      </c>
      <c r="M285" s="1">
        <v>0</v>
      </c>
      <c r="N285" s="1" t="s">
        <v>601</v>
      </c>
      <c r="O285" s="1">
        <v>284</v>
      </c>
      <c r="P285" s="12" t="str">
        <f t="shared" si="19"/>
        <v>Vertical Constant Acceleration Problems</v>
      </c>
      <c r="Q285" s="1">
        <v>4588</v>
      </c>
      <c r="R285" s="1" t="str">
        <f t="shared" si="18"/>
        <v>2005_01</v>
      </c>
      <c r="T285" s="1"/>
      <c r="AC285" s="1">
        <v>1</v>
      </c>
    </row>
    <row r="286" spans="1:76" x14ac:dyDescent="0.2">
      <c r="A286" t="s">
        <v>223</v>
      </c>
      <c r="B286" s="1">
        <v>2005</v>
      </c>
      <c r="C286" s="1">
        <v>1</v>
      </c>
      <c r="D286" s="1">
        <v>2</v>
      </c>
      <c r="E286" t="s">
        <v>2</v>
      </c>
      <c r="G286" s="1">
        <v>1</v>
      </c>
      <c r="H286" s="11" t="str">
        <f t="shared" si="17"/>
        <v>2005_01_002.gif</v>
      </c>
      <c r="I286"/>
      <c r="J286"/>
      <c r="L286" s="1" t="b">
        <v>0</v>
      </c>
      <c r="M286" s="1">
        <v>0</v>
      </c>
      <c r="N286" s="1" t="s">
        <v>601</v>
      </c>
      <c r="O286" s="1">
        <v>285</v>
      </c>
      <c r="P286" s="12" t="str">
        <f t="shared" si="19"/>
        <v>Basic Motion Concepts</v>
      </c>
      <c r="Q286" s="1">
        <v>4589</v>
      </c>
      <c r="R286" s="1" t="str">
        <f t="shared" si="18"/>
        <v>2005_01</v>
      </c>
      <c r="T286" s="1"/>
      <c r="Z286" s="1">
        <v>1</v>
      </c>
    </row>
    <row r="287" spans="1:76" x14ac:dyDescent="0.2">
      <c r="A287" t="s">
        <v>224</v>
      </c>
      <c r="B287" s="1">
        <v>2005</v>
      </c>
      <c r="C287" s="1">
        <v>1</v>
      </c>
      <c r="D287" s="1">
        <v>3</v>
      </c>
      <c r="E287" t="s">
        <v>4</v>
      </c>
      <c r="F287" t="s">
        <v>3</v>
      </c>
      <c r="G287" s="1">
        <v>1</v>
      </c>
      <c r="H287" s="11" t="str">
        <f t="shared" si="17"/>
        <v>2005_01_003.gif</v>
      </c>
      <c r="I287"/>
      <c r="J287"/>
      <c r="L287" s="1" t="b">
        <v>0</v>
      </c>
      <c r="M287" s="1">
        <v>0</v>
      </c>
      <c r="N287" s="1" t="s">
        <v>601</v>
      </c>
      <c r="O287" s="1">
        <v>286</v>
      </c>
      <c r="P287" s="12" t="str">
        <f t="shared" si="19"/>
        <v>Vector Components,Projectiles at an Angle</v>
      </c>
      <c r="Q287" s="1">
        <v>4590</v>
      </c>
      <c r="R287" s="1" t="str">
        <f t="shared" si="18"/>
        <v>2005_01</v>
      </c>
      <c r="T287" s="1"/>
      <c r="AE287" s="1">
        <v>1</v>
      </c>
      <c r="AH287" s="1">
        <v>1</v>
      </c>
    </row>
    <row r="288" spans="1:76" x14ac:dyDescent="0.2">
      <c r="A288" t="s">
        <v>225</v>
      </c>
      <c r="B288" s="1">
        <v>2005</v>
      </c>
      <c r="C288" s="1">
        <v>1</v>
      </c>
      <c r="D288" s="1">
        <v>4</v>
      </c>
      <c r="E288" t="s">
        <v>6</v>
      </c>
      <c r="G288" s="1">
        <v>2</v>
      </c>
      <c r="H288" s="11" t="str">
        <f t="shared" si="17"/>
        <v>2005_01_004.gif</v>
      </c>
      <c r="I288"/>
      <c r="J288"/>
      <c r="L288" s="1" t="b">
        <v>0</v>
      </c>
      <c r="M288" s="1">
        <v>0</v>
      </c>
      <c r="N288" s="1" t="s">
        <v>601</v>
      </c>
      <c r="O288" s="1">
        <v>287</v>
      </c>
      <c r="P288" s="12" t="str">
        <f t="shared" si="19"/>
        <v>Impulse</v>
      </c>
      <c r="Q288" s="1">
        <v>4591</v>
      </c>
      <c r="R288" s="1" t="str">
        <f t="shared" si="18"/>
        <v>2005_01</v>
      </c>
      <c r="T288" s="1"/>
      <c r="AV288" s="1">
        <v>1</v>
      </c>
    </row>
    <row r="289" spans="1:62" x14ac:dyDescent="0.2">
      <c r="A289" t="s">
        <v>226</v>
      </c>
      <c r="B289" s="1">
        <v>2005</v>
      </c>
      <c r="C289" s="1">
        <v>1</v>
      </c>
      <c r="D289" s="1">
        <v>5</v>
      </c>
      <c r="E289" t="s">
        <v>5</v>
      </c>
      <c r="G289" s="1">
        <v>3</v>
      </c>
      <c r="H289" s="11" t="str">
        <f t="shared" si="17"/>
        <v>2005_01_005.gif</v>
      </c>
      <c r="I289"/>
      <c r="J289"/>
      <c r="L289" s="1" t="b">
        <v>0</v>
      </c>
      <c r="M289" s="1">
        <v>0</v>
      </c>
      <c r="N289" s="1" t="s">
        <v>601</v>
      </c>
      <c r="O289" s="1">
        <v>288</v>
      </c>
      <c r="P289" s="12" t="str">
        <f t="shared" si="19"/>
        <v>Weight and Mass</v>
      </c>
      <c r="Q289" s="1">
        <v>4592</v>
      </c>
      <c r="R289" s="1" t="str">
        <f t="shared" si="18"/>
        <v>2005_01</v>
      </c>
      <c r="T289" s="1"/>
      <c r="AT289" s="1">
        <v>1</v>
      </c>
    </row>
    <row r="290" spans="1:62" x14ac:dyDescent="0.2">
      <c r="A290" t="s">
        <v>227</v>
      </c>
      <c r="B290" s="1">
        <v>2005</v>
      </c>
      <c r="C290" s="1">
        <v>1</v>
      </c>
      <c r="D290" s="1">
        <v>6</v>
      </c>
      <c r="E290" t="s">
        <v>2</v>
      </c>
      <c r="F290" t="s">
        <v>3</v>
      </c>
      <c r="G290" s="1">
        <v>4</v>
      </c>
      <c r="H290" s="11" t="str">
        <f t="shared" si="17"/>
        <v>2005_01_006.gif</v>
      </c>
      <c r="I290"/>
      <c r="J290"/>
      <c r="L290" s="1" t="b">
        <v>0</v>
      </c>
      <c r="M290" s="1">
        <v>0</v>
      </c>
      <c r="N290" s="1" t="s">
        <v>601</v>
      </c>
      <c r="O290" s="1">
        <v>289</v>
      </c>
      <c r="P290" s="12" t="str">
        <f t="shared" si="19"/>
        <v>Basic Motion Concepts,Vector vs. Scalar</v>
      </c>
      <c r="Q290" s="1">
        <v>4593</v>
      </c>
      <c r="R290" s="1" t="str">
        <f t="shared" si="18"/>
        <v>2005_01</v>
      </c>
      <c r="T290" s="1"/>
      <c r="Z290" s="1">
        <v>1</v>
      </c>
      <c r="AF290" s="1">
        <v>1</v>
      </c>
    </row>
    <row r="291" spans="1:62" x14ac:dyDescent="0.2">
      <c r="A291" t="s">
        <v>228</v>
      </c>
      <c r="B291" s="1">
        <v>2005</v>
      </c>
      <c r="C291" s="1">
        <v>1</v>
      </c>
      <c r="D291" s="1">
        <v>7</v>
      </c>
      <c r="E291" t="s">
        <v>6</v>
      </c>
      <c r="G291" s="1">
        <v>1</v>
      </c>
      <c r="H291" s="11" t="str">
        <f t="shared" si="17"/>
        <v>2005_01_007.gif</v>
      </c>
      <c r="I291"/>
      <c r="J291"/>
      <c r="L291" s="1" t="b">
        <v>0</v>
      </c>
      <c r="M291" s="1">
        <v>0</v>
      </c>
      <c r="N291" s="1" t="s">
        <v>601</v>
      </c>
      <c r="O291" s="1">
        <v>290</v>
      </c>
      <c r="P291" s="12" t="str">
        <f t="shared" si="19"/>
        <v>Newton's 3rd Law (Equal But Opposite)</v>
      </c>
      <c r="Q291" s="1">
        <v>4594</v>
      </c>
      <c r="R291" s="1" t="str">
        <f t="shared" si="18"/>
        <v>2005_01</v>
      </c>
      <c r="T291" s="1"/>
      <c r="AW291" s="1">
        <v>1</v>
      </c>
    </row>
    <row r="292" spans="1:62" x14ac:dyDescent="0.2">
      <c r="A292" t="s">
        <v>229</v>
      </c>
      <c r="B292" s="1">
        <v>2005</v>
      </c>
      <c r="C292" s="1">
        <v>1</v>
      </c>
      <c r="D292" s="1">
        <v>8</v>
      </c>
      <c r="E292" t="s">
        <v>5</v>
      </c>
      <c r="G292" s="1">
        <v>4</v>
      </c>
      <c r="H292" s="11" t="str">
        <f t="shared" si="17"/>
        <v>2005_01_008.gif</v>
      </c>
      <c r="I292"/>
      <c r="J292"/>
      <c r="L292" s="1" t="b">
        <v>0</v>
      </c>
      <c r="M292" s="1">
        <v>0</v>
      </c>
      <c r="N292" s="1" t="s">
        <v>601</v>
      </c>
      <c r="O292" s="1">
        <v>291</v>
      </c>
      <c r="P292" s="12" t="str">
        <f t="shared" si="19"/>
        <v>Newton's 1st Law (Inertia),Weight and Mass</v>
      </c>
      <c r="Q292" s="1">
        <v>4595</v>
      </c>
      <c r="R292" s="1" t="str">
        <f t="shared" si="18"/>
        <v>2005_01</v>
      </c>
      <c r="T292" s="1"/>
      <c r="AR292" s="1">
        <v>1</v>
      </c>
      <c r="AT292" s="1">
        <v>1</v>
      </c>
    </row>
    <row r="293" spans="1:62" x14ac:dyDescent="0.2">
      <c r="A293" t="s">
        <v>230</v>
      </c>
      <c r="B293" s="1">
        <v>2005</v>
      </c>
      <c r="C293" s="1">
        <v>1</v>
      </c>
      <c r="D293" s="1">
        <v>9</v>
      </c>
      <c r="E293" t="s">
        <v>5</v>
      </c>
      <c r="G293" s="1">
        <v>3</v>
      </c>
      <c r="H293" s="11" t="str">
        <f t="shared" si="17"/>
        <v>2005_01_009.gif</v>
      </c>
      <c r="I293"/>
      <c r="J293"/>
      <c r="L293" s="1" t="b">
        <v>0</v>
      </c>
      <c r="M293" s="1">
        <v>0</v>
      </c>
      <c r="N293" s="1" t="s">
        <v>601</v>
      </c>
      <c r="O293" s="1">
        <v>292</v>
      </c>
      <c r="P293" s="12" t="str">
        <f t="shared" si="19"/>
        <v>Inclined Plane</v>
      </c>
      <c r="Q293" s="1">
        <v>4596</v>
      </c>
      <c r="R293" s="1" t="str">
        <f t="shared" si="18"/>
        <v>2005_01</v>
      </c>
      <c r="T293" s="1"/>
      <c r="AO293" s="1">
        <v>1</v>
      </c>
    </row>
    <row r="294" spans="1:62" x14ac:dyDescent="0.2">
      <c r="A294" t="s">
        <v>231</v>
      </c>
      <c r="B294" s="1">
        <v>2005</v>
      </c>
      <c r="C294" s="1">
        <v>1</v>
      </c>
      <c r="D294" s="1">
        <v>10</v>
      </c>
      <c r="E294" t="s">
        <v>8</v>
      </c>
      <c r="G294" s="1">
        <v>3</v>
      </c>
      <c r="H294" s="11" t="str">
        <f t="shared" si="17"/>
        <v>2005_01_010.gif</v>
      </c>
      <c r="I294"/>
      <c r="J294"/>
      <c r="L294" s="1" t="b">
        <v>0</v>
      </c>
      <c r="M294" s="1">
        <v>0</v>
      </c>
      <c r="N294" s="1" t="s">
        <v>601</v>
      </c>
      <c r="O294" s="1">
        <v>293</v>
      </c>
      <c r="P294" s="12" t="str">
        <f t="shared" si="19"/>
        <v>Superposition and Standing Waves</v>
      </c>
      <c r="Q294" s="1">
        <v>4597</v>
      </c>
      <c r="R294" s="1" t="str">
        <f t="shared" si="18"/>
        <v>2005_01</v>
      </c>
      <c r="T294" s="1"/>
      <c r="BD294" s="1">
        <v>1</v>
      </c>
    </row>
    <row r="295" spans="1:62" x14ac:dyDescent="0.2">
      <c r="A295" t="s">
        <v>232</v>
      </c>
      <c r="B295" s="1">
        <v>2005</v>
      </c>
      <c r="C295" s="1">
        <v>1</v>
      </c>
      <c r="D295" s="1">
        <v>11</v>
      </c>
      <c r="E295" t="s">
        <v>8</v>
      </c>
      <c r="G295" s="1">
        <v>4</v>
      </c>
      <c r="H295" s="11" t="str">
        <f t="shared" si="17"/>
        <v>2005_01_011.gif</v>
      </c>
      <c r="I295"/>
      <c r="J295"/>
      <c r="L295" s="1" t="b">
        <v>0</v>
      </c>
      <c r="M295" s="1">
        <v>0</v>
      </c>
      <c r="N295" s="1" t="s">
        <v>601</v>
      </c>
      <c r="O295" s="1">
        <v>294</v>
      </c>
      <c r="P295" s="12" t="str">
        <f t="shared" si="19"/>
        <v>Superposition and Standing Waves</v>
      </c>
      <c r="Q295" s="1">
        <v>4598</v>
      </c>
      <c r="R295" s="1" t="str">
        <f t="shared" si="18"/>
        <v>2005_01</v>
      </c>
      <c r="T295" s="1"/>
      <c r="BD295" s="1">
        <v>1</v>
      </c>
    </row>
    <row r="296" spans="1:62" x14ac:dyDescent="0.2">
      <c r="A296" t="s">
        <v>233</v>
      </c>
      <c r="B296" s="1">
        <v>2005</v>
      </c>
      <c r="C296" s="1">
        <v>1</v>
      </c>
      <c r="D296" s="1">
        <v>12</v>
      </c>
      <c r="E296" t="s">
        <v>9</v>
      </c>
      <c r="G296" s="1">
        <v>1</v>
      </c>
      <c r="H296" s="11" t="str">
        <f t="shared" si="17"/>
        <v>2005_01_012.gif</v>
      </c>
      <c r="I296"/>
      <c r="J296"/>
      <c r="L296" s="1" t="b">
        <v>0</v>
      </c>
      <c r="M296" s="1">
        <v>0</v>
      </c>
      <c r="N296" s="1" t="s">
        <v>601</v>
      </c>
      <c r="O296" s="1">
        <v>295</v>
      </c>
      <c r="P296" s="12" t="str">
        <f t="shared" si="19"/>
        <v>Light and Sound</v>
      </c>
      <c r="Q296" s="1">
        <v>4599</v>
      </c>
      <c r="R296" s="1" t="str">
        <f t="shared" si="18"/>
        <v>2005_01</v>
      </c>
      <c r="T296" s="1"/>
      <c r="BI296" s="1">
        <v>1</v>
      </c>
    </row>
    <row r="297" spans="1:62" x14ac:dyDescent="0.2">
      <c r="A297" t="s">
        <v>234</v>
      </c>
      <c r="B297" s="1">
        <v>2005</v>
      </c>
      <c r="C297" s="1">
        <v>1</v>
      </c>
      <c r="D297" s="1">
        <v>13</v>
      </c>
      <c r="E297" t="s">
        <v>8</v>
      </c>
      <c r="F297" t="s">
        <v>9</v>
      </c>
      <c r="G297" s="1">
        <v>3</v>
      </c>
      <c r="H297" s="11" t="str">
        <f t="shared" si="17"/>
        <v>2005_01_013.gif</v>
      </c>
      <c r="I297"/>
      <c r="J297"/>
      <c r="L297" s="1" t="b">
        <v>0</v>
      </c>
      <c r="M297" s="1">
        <v>0</v>
      </c>
      <c r="N297" s="1" t="s">
        <v>601</v>
      </c>
      <c r="O297" s="1">
        <v>296</v>
      </c>
      <c r="P297" s="12" t="str">
        <f t="shared" si="19"/>
        <v>Wave Vocabulary,Light and Sound</v>
      </c>
      <c r="Q297" s="1">
        <v>4600</v>
      </c>
      <c r="R297" s="1" t="str">
        <f t="shared" si="18"/>
        <v>2005_01</v>
      </c>
      <c r="T297" s="1"/>
      <c r="BF297" s="1">
        <v>1</v>
      </c>
      <c r="BI297" s="1">
        <v>1</v>
      </c>
    </row>
    <row r="298" spans="1:62" x14ac:dyDescent="0.2">
      <c r="A298" t="s">
        <v>235</v>
      </c>
      <c r="B298" s="1">
        <v>2005</v>
      </c>
      <c r="C298" s="1">
        <v>1</v>
      </c>
      <c r="D298" s="1">
        <v>14</v>
      </c>
      <c r="E298" t="s">
        <v>8</v>
      </c>
      <c r="G298" s="1">
        <v>2</v>
      </c>
      <c r="H298" s="11" t="str">
        <f t="shared" si="17"/>
        <v>2005_01_014.gif</v>
      </c>
      <c r="I298"/>
      <c r="J298"/>
      <c r="L298" s="1" t="b">
        <v>0</v>
      </c>
      <c r="M298" s="1">
        <v>0</v>
      </c>
      <c r="N298" s="1" t="s">
        <v>601</v>
      </c>
      <c r="O298" s="1">
        <v>297</v>
      </c>
      <c r="P298" s="12" t="str">
        <f t="shared" si="19"/>
        <v>Resonance</v>
      </c>
      <c r="Q298" s="1">
        <v>4601</v>
      </c>
      <c r="R298" s="1" t="str">
        <f t="shared" si="18"/>
        <v>2005_01</v>
      </c>
      <c r="T298" s="1"/>
      <c r="BC298" s="1">
        <v>1</v>
      </c>
    </row>
    <row r="299" spans="1:62" x14ac:dyDescent="0.2">
      <c r="A299" t="s">
        <v>236</v>
      </c>
      <c r="B299" s="1">
        <v>2005</v>
      </c>
      <c r="C299" s="1">
        <v>1</v>
      </c>
      <c r="D299" s="1">
        <v>15</v>
      </c>
      <c r="E299" t="s">
        <v>9</v>
      </c>
      <c r="G299" s="1">
        <v>4</v>
      </c>
      <c r="H299" s="11" t="str">
        <f t="shared" si="17"/>
        <v>2005_01_015.gif</v>
      </c>
      <c r="I299"/>
      <c r="J299"/>
      <c r="L299" s="1" t="b">
        <v>0</v>
      </c>
      <c r="M299" s="1">
        <v>0</v>
      </c>
      <c r="N299" s="1" t="s">
        <v>601</v>
      </c>
      <c r="O299" s="1">
        <v>298</v>
      </c>
      <c r="P299" s="12" t="str">
        <f t="shared" si="19"/>
        <v>Refraction and Snell's Law</v>
      </c>
      <c r="Q299" s="1">
        <v>4602</v>
      </c>
      <c r="R299" s="1" t="str">
        <f t="shared" si="18"/>
        <v>2005_01</v>
      </c>
      <c r="T299" s="1"/>
      <c r="BJ299" s="1">
        <v>1</v>
      </c>
    </row>
    <row r="300" spans="1:62" x14ac:dyDescent="0.2">
      <c r="A300" t="s">
        <v>237</v>
      </c>
      <c r="B300" s="1">
        <v>2005</v>
      </c>
      <c r="C300" s="1">
        <v>1</v>
      </c>
      <c r="D300" s="1">
        <v>16</v>
      </c>
      <c r="E300" t="s">
        <v>9</v>
      </c>
      <c r="G300" s="1">
        <v>4</v>
      </c>
      <c r="H300" s="11" t="str">
        <f t="shared" si="17"/>
        <v>2005_01_016.gif</v>
      </c>
      <c r="I300"/>
      <c r="J300"/>
      <c r="L300" s="1" t="b">
        <v>0</v>
      </c>
      <c r="M300" s="1">
        <v>0</v>
      </c>
      <c r="N300" s="1" t="s">
        <v>601</v>
      </c>
      <c r="O300" s="1">
        <v>299</v>
      </c>
      <c r="P300" s="12" t="str">
        <f t="shared" si="19"/>
        <v>Light and Sound</v>
      </c>
      <c r="Q300" s="1">
        <v>4603</v>
      </c>
      <c r="R300" s="1" t="str">
        <f t="shared" si="18"/>
        <v>2005_01</v>
      </c>
      <c r="T300" s="1"/>
      <c r="BI300" s="1">
        <v>1</v>
      </c>
    </row>
    <row r="301" spans="1:62" x14ac:dyDescent="0.2">
      <c r="A301" t="s">
        <v>238</v>
      </c>
      <c r="B301" s="1">
        <v>2005</v>
      </c>
      <c r="C301" s="1">
        <v>1</v>
      </c>
      <c r="D301" s="1">
        <v>17</v>
      </c>
      <c r="E301" t="s">
        <v>9</v>
      </c>
      <c r="G301" s="1">
        <v>1</v>
      </c>
      <c r="H301" s="11" t="str">
        <f t="shared" si="17"/>
        <v>2005_01_017.gif</v>
      </c>
      <c r="I301"/>
      <c r="J301"/>
      <c r="L301" s="1" t="b">
        <v>0</v>
      </c>
      <c r="M301" s="1">
        <v>0</v>
      </c>
      <c r="N301" s="1" t="s">
        <v>601</v>
      </c>
      <c r="O301" s="1">
        <v>300</v>
      </c>
      <c r="P301" s="12" t="str">
        <f t="shared" si="19"/>
        <v>Diffraction</v>
      </c>
      <c r="Q301" s="1">
        <v>4604</v>
      </c>
      <c r="R301" s="1" t="str">
        <f t="shared" si="18"/>
        <v>2005_01</v>
      </c>
      <c r="T301" s="1"/>
      <c r="BG301" s="1">
        <v>1</v>
      </c>
    </row>
    <row r="302" spans="1:62" x14ac:dyDescent="0.2">
      <c r="A302" t="s">
        <v>239</v>
      </c>
      <c r="B302" s="1">
        <v>2005</v>
      </c>
      <c r="C302" s="1">
        <v>1</v>
      </c>
      <c r="D302" s="1">
        <v>18</v>
      </c>
      <c r="E302" t="s">
        <v>8</v>
      </c>
      <c r="G302" s="1">
        <v>3</v>
      </c>
      <c r="H302" s="11" t="str">
        <f t="shared" si="17"/>
        <v>2005_01_018.gif</v>
      </c>
      <c r="I302"/>
      <c r="J302"/>
      <c r="L302" s="1" t="b">
        <v>0</v>
      </c>
      <c r="M302" s="1">
        <v>0</v>
      </c>
      <c r="N302" s="1" t="s">
        <v>601</v>
      </c>
      <c r="O302" s="1">
        <v>301</v>
      </c>
      <c r="P302" s="12" t="str">
        <f t="shared" si="19"/>
        <v>Superposition and Standing Waves</v>
      </c>
      <c r="Q302" s="1">
        <v>4605</v>
      </c>
      <c r="R302" s="1" t="str">
        <f t="shared" si="18"/>
        <v>2005_01</v>
      </c>
      <c r="T302" s="1"/>
      <c r="BD302" s="1">
        <v>1</v>
      </c>
    </row>
    <row r="303" spans="1:62" x14ac:dyDescent="0.2">
      <c r="A303" t="s">
        <v>240</v>
      </c>
      <c r="B303" s="1">
        <v>2005</v>
      </c>
      <c r="C303" s="1">
        <v>1</v>
      </c>
      <c r="D303" s="1">
        <v>19</v>
      </c>
      <c r="E303" t="s">
        <v>9</v>
      </c>
      <c r="G303" s="1">
        <v>1</v>
      </c>
      <c r="H303" s="11" t="str">
        <f t="shared" si="17"/>
        <v>2005_01_019.gif</v>
      </c>
      <c r="I303"/>
      <c r="J303"/>
      <c r="L303" s="1" t="b">
        <v>0</v>
      </c>
      <c r="M303" s="1">
        <v>0</v>
      </c>
      <c r="N303" s="1" t="s">
        <v>601</v>
      </c>
      <c r="O303" s="1">
        <v>302</v>
      </c>
      <c r="P303" s="12" t="str">
        <f t="shared" si="19"/>
        <v>Doppler Effect</v>
      </c>
      <c r="Q303" s="1">
        <v>4606</v>
      </c>
      <c r="R303" s="1" t="str">
        <f t="shared" si="18"/>
        <v>2005_01</v>
      </c>
      <c r="T303" s="1"/>
      <c r="BH303" s="1">
        <v>1</v>
      </c>
    </row>
    <row r="304" spans="1:62" x14ac:dyDescent="0.2">
      <c r="A304" t="s">
        <v>241</v>
      </c>
      <c r="B304" s="1">
        <v>2005</v>
      </c>
      <c r="C304" s="1">
        <v>1</v>
      </c>
      <c r="D304" s="1">
        <v>20</v>
      </c>
      <c r="E304" t="s">
        <v>7</v>
      </c>
      <c r="G304" s="1">
        <v>2</v>
      </c>
      <c r="H304" s="11" t="str">
        <f t="shared" si="17"/>
        <v>2005_01_020.gif</v>
      </c>
      <c r="I304"/>
      <c r="J304"/>
      <c r="L304" s="1" t="b">
        <v>0</v>
      </c>
      <c r="M304" s="1">
        <v>0</v>
      </c>
      <c r="N304" s="1" t="s">
        <v>601</v>
      </c>
      <c r="O304" s="1">
        <v>303</v>
      </c>
      <c r="P304" s="12" t="str">
        <f t="shared" si="19"/>
        <v>Gravitational PE</v>
      </c>
      <c r="Q304" s="1">
        <v>4607</v>
      </c>
      <c r="R304" s="1" t="str">
        <f t="shared" si="18"/>
        <v>2005_01</v>
      </c>
      <c r="T304" s="1"/>
      <c r="AY304" s="1">
        <v>1</v>
      </c>
    </row>
    <row r="305" spans="1:77" x14ac:dyDescent="0.2">
      <c r="A305" t="s">
        <v>242</v>
      </c>
      <c r="B305" s="1">
        <v>2005</v>
      </c>
      <c r="C305" s="1">
        <v>1</v>
      </c>
      <c r="D305" s="1">
        <v>21</v>
      </c>
      <c r="E305" t="s">
        <v>7</v>
      </c>
      <c r="G305" s="1">
        <v>2</v>
      </c>
      <c r="H305" s="11" t="str">
        <f t="shared" si="17"/>
        <v>2005_01_021.gif</v>
      </c>
      <c r="I305"/>
      <c r="J305"/>
      <c r="L305" s="1" t="b">
        <v>0</v>
      </c>
      <c r="M305" s="1">
        <v>0</v>
      </c>
      <c r="N305" s="1" t="s">
        <v>601</v>
      </c>
      <c r="O305" s="1">
        <v>304</v>
      </c>
      <c r="P305" s="12" t="str">
        <f t="shared" si="19"/>
        <v>Kinetic Energy</v>
      </c>
      <c r="Q305" s="1">
        <v>4608</v>
      </c>
      <c r="R305" s="1" t="str">
        <f t="shared" si="18"/>
        <v>2005_01</v>
      </c>
      <c r="T305" s="1"/>
      <c r="AZ305" s="1">
        <v>1</v>
      </c>
    </row>
    <row r="306" spans="1:77" x14ac:dyDescent="0.2">
      <c r="A306" t="s">
        <v>243</v>
      </c>
      <c r="B306" s="1">
        <v>2005</v>
      </c>
      <c r="C306" s="1">
        <v>1</v>
      </c>
      <c r="D306" s="1">
        <v>22</v>
      </c>
      <c r="E306" t="s">
        <v>7</v>
      </c>
      <c r="G306" s="1">
        <v>1</v>
      </c>
      <c r="H306" s="11" t="str">
        <f t="shared" si="17"/>
        <v>2005_01_022.gif</v>
      </c>
      <c r="I306"/>
      <c r="J306"/>
      <c r="L306" s="1" t="b">
        <v>0</v>
      </c>
      <c r="M306" s="1">
        <v>0</v>
      </c>
      <c r="N306" s="1" t="s">
        <v>601</v>
      </c>
      <c r="O306" s="1">
        <v>305</v>
      </c>
      <c r="P306" s="12" t="str">
        <f t="shared" si="19"/>
        <v>Gravitational PE,Work/Power</v>
      </c>
      <c r="Q306" s="1">
        <v>4609</v>
      </c>
      <c r="R306" s="1" t="str">
        <f t="shared" si="18"/>
        <v>2005_01</v>
      </c>
      <c r="T306" s="1"/>
      <c r="AY306" s="1">
        <v>1</v>
      </c>
      <c r="BB306" s="1">
        <v>1</v>
      </c>
    </row>
    <row r="307" spans="1:77" x14ac:dyDescent="0.2">
      <c r="A307" t="s">
        <v>244</v>
      </c>
      <c r="B307" s="1">
        <v>2005</v>
      </c>
      <c r="C307" s="1">
        <v>1</v>
      </c>
      <c r="D307" s="1">
        <v>23</v>
      </c>
      <c r="E307" t="s">
        <v>7</v>
      </c>
      <c r="G307" s="1">
        <v>4</v>
      </c>
      <c r="H307" s="11" t="str">
        <f t="shared" si="17"/>
        <v>2005_01_023.gif</v>
      </c>
      <c r="I307"/>
      <c r="J307"/>
      <c r="L307" s="1" t="b">
        <v>0</v>
      </c>
      <c r="M307" s="1">
        <v>0</v>
      </c>
      <c r="N307" s="1" t="s">
        <v>601</v>
      </c>
      <c r="O307" s="1">
        <v>306</v>
      </c>
      <c r="P307" s="12" t="str">
        <f t="shared" si="19"/>
        <v>Conservation of Energy</v>
      </c>
      <c r="Q307" s="1">
        <v>4610</v>
      </c>
      <c r="R307" s="1" t="str">
        <f t="shared" si="18"/>
        <v>2005_01</v>
      </c>
      <c r="T307" s="1"/>
      <c r="AX307" s="1">
        <v>1</v>
      </c>
    </row>
    <row r="308" spans="1:77" x14ac:dyDescent="0.2">
      <c r="A308" t="s">
        <v>245</v>
      </c>
      <c r="B308" s="1">
        <v>2005</v>
      </c>
      <c r="C308" s="1">
        <v>1</v>
      </c>
      <c r="D308" s="1">
        <v>24</v>
      </c>
      <c r="E308" t="s">
        <v>7</v>
      </c>
      <c r="G308" s="1">
        <v>3</v>
      </c>
      <c r="H308" s="11" t="str">
        <f t="shared" si="17"/>
        <v>2005_01_024.gif</v>
      </c>
      <c r="I308"/>
      <c r="J308"/>
      <c r="L308" s="1" t="b">
        <v>0</v>
      </c>
      <c r="M308" s="1">
        <v>0</v>
      </c>
      <c r="N308" s="1" t="s">
        <v>601</v>
      </c>
      <c r="O308" s="1">
        <v>307</v>
      </c>
      <c r="P308" s="12" t="str">
        <f t="shared" si="19"/>
        <v>Gravitational PE,Work/Power</v>
      </c>
      <c r="Q308" s="1">
        <v>4611</v>
      </c>
      <c r="R308" s="1" t="str">
        <f t="shared" si="18"/>
        <v>2005_01</v>
      </c>
      <c r="T308" s="1"/>
      <c r="AY308" s="1">
        <v>1</v>
      </c>
      <c r="BB308" s="1">
        <v>1</v>
      </c>
    </row>
    <row r="309" spans="1:77" x14ac:dyDescent="0.2">
      <c r="A309" t="s">
        <v>246</v>
      </c>
      <c r="B309" s="1">
        <v>2005</v>
      </c>
      <c r="C309" s="1">
        <v>1</v>
      </c>
      <c r="D309" s="1">
        <v>25</v>
      </c>
      <c r="E309" t="s">
        <v>10</v>
      </c>
      <c r="G309" s="1">
        <v>2</v>
      </c>
      <c r="H309" s="11" t="str">
        <f t="shared" si="17"/>
        <v>2005_01_025.gif</v>
      </c>
      <c r="I309"/>
      <c r="J309"/>
      <c r="L309" s="1" t="b">
        <v>0</v>
      </c>
      <c r="M309" s="1">
        <v>0</v>
      </c>
      <c r="N309" s="1" t="s">
        <v>601</v>
      </c>
      <c r="O309" s="1">
        <v>308</v>
      </c>
      <c r="P309" s="12" t="str">
        <f t="shared" si="19"/>
        <v>Electric Fields and Potential</v>
      </c>
      <c r="Q309" s="1">
        <v>4612</v>
      </c>
      <c r="R309" s="1" t="str">
        <f t="shared" si="18"/>
        <v>2005_01</v>
      </c>
      <c r="T309" s="1"/>
      <c r="BN309" s="1">
        <v>1</v>
      </c>
    </row>
    <row r="310" spans="1:77" x14ac:dyDescent="0.2">
      <c r="A310" t="s">
        <v>247</v>
      </c>
      <c r="B310" s="1">
        <v>2005</v>
      </c>
      <c r="C310" s="1">
        <v>1</v>
      </c>
      <c r="D310" s="1">
        <v>26</v>
      </c>
      <c r="E310" t="s">
        <v>11</v>
      </c>
      <c r="G310" s="1">
        <v>2</v>
      </c>
      <c r="H310" s="11" t="str">
        <f t="shared" si="17"/>
        <v>2005_01_026.gif</v>
      </c>
      <c r="I310"/>
      <c r="J310"/>
      <c r="L310" s="1" t="b">
        <v>0</v>
      </c>
      <c r="M310" s="1">
        <v>0</v>
      </c>
      <c r="N310" s="1" t="s">
        <v>601</v>
      </c>
      <c r="O310" s="1">
        <v>309</v>
      </c>
      <c r="P310" s="12" t="str">
        <f t="shared" si="19"/>
        <v>Ohm's Law</v>
      </c>
      <c r="Q310" s="1">
        <v>4613</v>
      </c>
      <c r="R310" s="1" t="str">
        <f t="shared" si="18"/>
        <v>2005_01</v>
      </c>
      <c r="T310" s="1"/>
      <c r="BQ310" s="1">
        <v>1</v>
      </c>
    </row>
    <row r="311" spans="1:77" x14ac:dyDescent="0.2">
      <c r="A311" t="s">
        <v>248</v>
      </c>
      <c r="B311" s="1">
        <v>2005</v>
      </c>
      <c r="C311" s="1">
        <v>1</v>
      </c>
      <c r="D311" s="1">
        <v>27</v>
      </c>
      <c r="E311" t="s">
        <v>11</v>
      </c>
      <c r="G311" s="1">
        <v>2</v>
      </c>
      <c r="H311" s="11" t="str">
        <f t="shared" si="17"/>
        <v>2005_01_027.gif</v>
      </c>
      <c r="I311"/>
      <c r="J311"/>
      <c r="L311" s="1" t="b">
        <v>0</v>
      </c>
      <c r="M311" s="1">
        <v>0</v>
      </c>
      <c r="N311" s="1" t="s">
        <v>601</v>
      </c>
      <c r="O311" s="1">
        <v>310</v>
      </c>
      <c r="P311" s="12" t="str">
        <f t="shared" si="19"/>
        <v>Resistance of Wire</v>
      </c>
      <c r="Q311" s="1">
        <v>4614</v>
      </c>
      <c r="R311" s="1" t="str">
        <f t="shared" si="18"/>
        <v>2005_01</v>
      </c>
      <c r="T311" s="1"/>
      <c r="BR311" s="1">
        <v>1</v>
      </c>
    </row>
    <row r="312" spans="1:77" x14ac:dyDescent="0.2">
      <c r="A312" t="s">
        <v>249</v>
      </c>
      <c r="B312" s="1">
        <v>2005</v>
      </c>
      <c r="C312" s="1">
        <v>1</v>
      </c>
      <c r="D312" s="1">
        <v>28</v>
      </c>
      <c r="E312" t="s">
        <v>11</v>
      </c>
      <c r="F312" t="s">
        <v>548</v>
      </c>
      <c r="G312" s="1">
        <v>4</v>
      </c>
      <c r="H312" s="11" t="str">
        <f t="shared" si="17"/>
        <v>2005_01_028.gif</v>
      </c>
      <c r="I312"/>
      <c r="J312"/>
      <c r="L312" s="1" t="b">
        <v>0</v>
      </c>
      <c r="M312" s="1">
        <v>0</v>
      </c>
      <c r="N312" s="1" t="s">
        <v>601</v>
      </c>
      <c r="O312" s="1">
        <v>311</v>
      </c>
      <c r="P312" s="12" t="str">
        <f t="shared" si="19"/>
        <v>Electrical Definitions,Mathematical Relationships (Numberless Problems)</v>
      </c>
      <c r="Q312" s="1">
        <v>4615</v>
      </c>
      <c r="R312" s="1" t="str">
        <f t="shared" si="18"/>
        <v>2005_01</v>
      </c>
      <c r="T312" s="1"/>
      <c r="BO312" s="1">
        <v>1</v>
      </c>
      <c r="BY312" s="1">
        <v>1</v>
      </c>
    </row>
    <row r="313" spans="1:77" x14ac:dyDescent="0.2">
      <c r="A313" t="s">
        <v>250</v>
      </c>
      <c r="B313" s="1">
        <v>2005</v>
      </c>
      <c r="C313" s="1">
        <v>1</v>
      </c>
      <c r="D313" s="1">
        <v>29</v>
      </c>
      <c r="E313" t="s">
        <v>11</v>
      </c>
      <c r="G313" s="1">
        <v>1</v>
      </c>
      <c r="H313" s="11" t="str">
        <f t="shared" si="17"/>
        <v>2005_01_029.gif</v>
      </c>
      <c r="I313"/>
      <c r="J313"/>
      <c r="L313" s="1" t="b">
        <v>0</v>
      </c>
      <c r="M313" s="1">
        <v>0</v>
      </c>
      <c r="N313" s="1" t="s">
        <v>601</v>
      </c>
      <c r="O313" s="1">
        <v>312</v>
      </c>
      <c r="P313" s="12" t="str">
        <f t="shared" si="19"/>
        <v>Series and Parallel</v>
      </c>
      <c r="Q313" s="1">
        <v>4616</v>
      </c>
      <c r="R313" s="1" t="str">
        <f t="shared" si="18"/>
        <v>2005_01</v>
      </c>
      <c r="T313" s="1"/>
      <c r="BS313" s="1">
        <v>1</v>
      </c>
    </row>
    <row r="314" spans="1:77" x14ac:dyDescent="0.2">
      <c r="A314" t="s">
        <v>251</v>
      </c>
      <c r="B314" s="1">
        <v>2005</v>
      </c>
      <c r="C314" s="1">
        <v>1</v>
      </c>
      <c r="D314" s="1">
        <v>30</v>
      </c>
      <c r="E314" t="s">
        <v>11</v>
      </c>
      <c r="G314" s="1">
        <v>3</v>
      </c>
      <c r="H314" s="11" t="str">
        <f t="shared" si="17"/>
        <v>2005_01_030.gif</v>
      </c>
      <c r="I314"/>
      <c r="J314"/>
      <c r="L314" s="1" t="b">
        <v>0</v>
      </c>
      <c r="M314" s="1">
        <v>0</v>
      </c>
      <c r="N314" s="1" t="s">
        <v>601</v>
      </c>
      <c r="O314" s="1">
        <v>313</v>
      </c>
      <c r="P314" s="12" t="str">
        <f t="shared" si="19"/>
        <v>Series and Parallel</v>
      </c>
      <c r="Q314" s="1">
        <v>4617</v>
      </c>
      <c r="R314" s="1" t="str">
        <f t="shared" si="18"/>
        <v>2005_01</v>
      </c>
      <c r="T314" s="1"/>
      <c r="BS314" s="1">
        <v>1</v>
      </c>
    </row>
    <row r="315" spans="1:77" x14ac:dyDescent="0.2">
      <c r="A315" t="s">
        <v>252</v>
      </c>
      <c r="B315" s="1">
        <v>2005</v>
      </c>
      <c r="C315" s="1">
        <v>1</v>
      </c>
      <c r="D315" s="1">
        <v>31</v>
      </c>
      <c r="E315" t="s">
        <v>11</v>
      </c>
      <c r="F315" t="s">
        <v>548</v>
      </c>
      <c r="G315" s="1">
        <v>4</v>
      </c>
      <c r="H315" s="11" t="str">
        <f t="shared" si="17"/>
        <v>2005_01_031.gif</v>
      </c>
      <c r="I315"/>
      <c r="J315"/>
      <c r="L315" s="1" t="b">
        <v>0</v>
      </c>
      <c r="M315" s="1">
        <v>0</v>
      </c>
      <c r="N315" s="1" t="s">
        <v>601</v>
      </c>
      <c r="O315" s="1">
        <v>314</v>
      </c>
      <c r="P315" s="12" t="str">
        <f t="shared" si="19"/>
        <v>Electrical Power,Mathematical Relationships (Numberless Problems)</v>
      </c>
      <c r="Q315" s="1">
        <v>4618</v>
      </c>
      <c r="R315" s="1" t="str">
        <f t="shared" si="18"/>
        <v>2005_01</v>
      </c>
      <c r="T315" s="1"/>
      <c r="BP315" s="1">
        <v>1</v>
      </c>
      <c r="BY315" s="1">
        <v>1</v>
      </c>
    </row>
    <row r="316" spans="1:77" x14ac:dyDescent="0.2">
      <c r="A316" t="s">
        <v>253</v>
      </c>
      <c r="B316" s="1">
        <v>2005</v>
      </c>
      <c r="C316" s="1">
        <v>1</v>
      </c>
      <c r="D316" s="1">
        <v>32</v>
      </c>
      <c r="E316" t="s">
        <v>10</v>
      </c>
      <c r="G316" s="1">
        <v>3</v>
      </c>
      <c r="H316" s="11" t="str">
        <f t="shared" si="17"/>
        <v>2005_01_032.gif</v>
      </c>
      <c r="I316"/>
      <c r="J316"/>
      <c r="L316" s="1" t="b">
        <v>0</v>
      </c>
      <c r="M316" s="1">
        <v>0</v>
      </c>
      <c r="N316" s="1" t="s">
        <v>601</v>
      </c>
      <c r="O316" s="1">
        <v>315</v>
      </c>
      <c r="P316" s="12" t="str">
        <f t="shared" si="19"/>
        <v>Electric Fields and Potential</v>
      </c>
      <c r="Q316" s="1">
        <v>4619</v>
      </c>
      <c r="R316" s="1" t="str">
        <f t="shared" si="18"/>
        <v>2005_01</v>
      </c>
      <c r="T316" s="1"/>
      <c r="BN316" s="1">
        <v>1</v>
      </c>
    </row>
    <row r="317" spans="1:77" x14ac:dyDescent="0.2">
      <c r="A317" t="s">
        <v>254</v>
      </c>
      <c r="B317" s="1">
        <v>2005</v>
      </c>
      <c r="C317" s="1">
        <v>1</v>
      </c>
      <c r="D317" s="1">
        <v>33</v>
      </c>
      <c r="E317" t="s">
        <v>10</v>
      </c>
      <c r="F317" t="s">
        <v>5</v>
      </c>
      <c r="G317" s="1">
        <v>1</v>
      </c>
      <c r="H317" s="11" t="str">
        <f t="shared" si="17"/>
        <v>2005_01_033.gif</v>
      </c>
      <c r="I317"/>
      <c r="J317"/>
      <c r="L317" s="1" t="b">
        <v>0</v>
      </c>
      <c r="M317" s="1">
        <v>0</v>
      </c>
      <c r="N317" s="1" t="s">
        <v>601</v>
      </c>
      <c r="O317" s="1">
        <v>316</v>
      </c>
      <c r="P317" s="12" t="str">
        <f t="shared" si="19"/>
        <v>Law of Gravity,Coulomb's Law</v>
      </c>
      <c r="Q317" s="1">
        <v>4620</v>
      </c>
      <c r="R317" s="1" t="str">
        <f t="shared" si="18"/>
        <v>2005_01</v>
      </c>
      <c r="T317" s="1"/>
      <c r="AQ317" s="1">
        <v>1</v>
      </c>
      <c r="BL317" s="1">
        <v>1</v>
      </c>
    </row>
    <row r="318" spans="1:77" x14ac:dyDescent="0.2">
      <c r="A318" t="s">
        <v>255</v>
      </c>
      <c r="B318" s="1">
        <v>2005</v>
      </c>
      <c r="C318" s="1">
        <v>1</v>
      </c>
      <c r="D318" s="1">
        <v>34</v>
      </c>
      <c r="E318" t="s">
        <v>13</v>
      </c>
      <c r="G318" s="1">
        <v>2</v>
      </c>
      <c r="H318" s="11" t="str">
        <f t="shared" si="17"/>
        <v>2005_01_034.gif</v>
      </c>
      <c r="I318"/>
      <c r="J318"/>
      <c r="L318" s="1" t="b">
        <v>0</v>
      </c>
      <c r="M318" s="1">
        <v>0</v>
      </c>
      <c r="N318" s="1" t="s">
        <v>601</v>
      </c>
      <c r="O318" s="1">
        <v>317</v>
      </c>
      <c r="P318" s="12" t="str">
        <f t="shared" si="19"/>
        <v>Particle Physics</v>
      </c>
      <c r="Q318" s="1">
        <v>4621</v>
      </c>
      <c r="R318" s="1" t="str">
        <f t="shared" si="18"/>
        <v>2005_01</v>
      </c>
      <c r="T318" s="1"/>
      <c r="BW318" s="1">
        <v>1</v>
      </c>
    </row>
    <row r="319" spans="1:77" x14ac:dyDescent="0.2">
      <c r="A319" t="s">
        <v>256</v>
      </c>
      <c r="B319" s="1">
        <v>2005</v>
      </c>
      <c r="C319" s="1">
        <v>1</v>
      </c>
      <c r="D319" s="1">
        <v>35</v>
      </c>
      <c r="E319" t="s">
        <v>10</v>
      </c>
      <c r="G319" s="1">
        <v>3</v>
      </c>
      <c r="H319" s="11" t="str">
        <f t="shared" si="17"/>
        <v>2005_01_035.gif</v>
      </c>
      <c r="I319"/>
      <c r="J319"/>
      <c r="L319" s="1" t="b">
        <v>0</v>
      </c>
      <c r="M319" s="1">
        <v>0</v>
      </c>
      <c r="N319" s="1" t="s">
        <v>601</v>
      </c>
      <c r="O319" s="1">
        <v>318</v>
      </c>
      <c r="P319" s="12" t="str">
        <f t="shared" si="19"/>
        <v>Induction, Conduction, Polarization</v>
      </c>
      <c r="Q319" s="1">
        <v>4622</v>
      </c>
      <c r="R319" s="1" t="str">
        <f t="shared" si="18"/>
        <v>2005_01</v>
      </c>
      <c r="T319" s="1"/>
      <c r="BM319" s="1">
        <v>1</v>
      </c>
    </row>
    <row r="320" spans="1:77" x14ac:dyDescent="0.2">
      <c r="A320" t="str">
        <f t="shared" ref="A320:A332" si="21">B320 &amp; "_" &amp; TEXT(C320,"00") &amp; "_" &amp; TEXT(D320,"000")</f>
        <v>2005_01_036</v>
      </c>
      <c r="B320" s="1">
        <v>2005</v>
      </c>
      <c r="C320" s="1">
        <v>1</v>
      </c>
      <c r="D320" s="1">
        <v>36</v>
      </c>
      <c r="E320" t="s">
        <v>2</v>
      </c>
      <c r="G320" s="1">
        <v>1</v>
      </c>
      <c r="H320" s="11" t="str">
        <f t="shared" si="17"/>
        <v>2005_01_036.gif</v>
      </c>
      <c r="I320"/>
      <c r="J320"/>
      <c r="L320" s="1" t="b">
        <v>0</v>
      </c>
      <c r="M320" s="1">
        <v>0</v>
      </c>
      <c r="N320" s="1" t="s">
        <v>657</v>
      </c>
      <c r="O320" s="1">
        <v>319</v>
      </c>
      <c r="P320" s="12" t="str">
        <f t="shared" si="19"/>
        <v>DT/VT Graphs</v>
      </c>
      <c r="Q320" s="1">
        <v>4623</v>
      </c>
      <c r="R320" s="1" t="str">
        <f t="shared" si="18"/>
        <v>2005_01</v>
      </c>
      <c r="T320" s="1"/>
      <c r="W320" s="1">
        <v>1</v>
      </c>
    </row>
    <row r="321" spans="1:77" x14ac:dyDescent="0.2">
      <c r="A321" t="str">
        <f t="shared" si="21"/>
        <v>2005_01_037</v>
      </c>
      <c r="B321" s="1">
        <v>2005</v>
      </c>
      <c r="C321" s="1">
        <v>1</v>
      </c>
      <c r="D321" s="1">
        <v>37</v>
      </c>
      <c r="E321" t="s">
        <v>3</v>
      </c>
      <c r="G321" s="1">
        <v>2</v>
      </c>
      <c r="H321" s="11" t="str">
        <f t="shared" si="17"/>
        <v>2005_01_037.gif</v>
      </c>
      <c r="I321"/>
      <c r="J321"/>
      <c r="L321" s="1" t="b">
        <v>0</v>
      </c>
      <c r="M321" s="1">
        <v>0</v>
      </c>
      <c r="N321" s="1" t="s">
        <v>657</v>
      </c>
      <c r="O321" s="1">
        <v>320</v>
      </c>
      <c r="P321" s="12" t="str">
        <f t="shared" si="19"/>
        <v>Adding Vectors</v>
      </c>
      <c r="Q321" s="1">
        <v>4624</v>
      </c>
      <c r="R321" s="1" t="str">
        <f t="shared" si="18"/>
        <v>2005_01</v>
      </c>
      <c r="T321" s="1"/>
      <c r="AD321" s="1">
        <v>1</v>
      </c>
    </row>
    <row r="322" spans="1:77" x14ac:dyDescent="0.2">
      <c r="A322" t="str">
        <f t="shared" si="21"/>
        <v>2005_01_038</v>
      </c>
      <c r="B322" s="1">
        <v>2005</v>
      </c>
      <c r="C322" s="1">
        <v>1</v>
      </c>
      <c r="D322" s="1">
        <v>38</v>
      </c>
      <c r="E322" t="s">
        <v>1</v>
      </c>
      <c r="G322" s="1">
        <v>2</v>
      </c>
      <c r="H322" s="11" t="str">
        <f t="shared" ref="H322:H385" si="22">HYPERLINK(A322&amp;".gif")</f>
        <v>2005_01_038.gif</v>
      </c>
      <c r="I322"/>
      <c r="J322"/>
      <c r="L322" s="1" t="b">
        <v>0</v>
      </c>
      <c r="M322" s="1">
        <v>3</v>
      </c>
      <c r="N322" s="1" t="s">
        <v>657</v>
      </c>
      <c r="O322" s="1">
        <v>321</v>
      </c>
      <c r="P322" s="12" t="str">
        <f t="shared" si="19"/>
        <v>Estimation</v>
      </c>
      <c r="Q322" s="1">
        <v>4625</v>
      </c>
      <c r="R322" s="1" t="str">
        <f t="shared" si="18"/>
        <v>2005_01</v>
      </c>
      <c r="T322" s="1"/>
      <c r="U322" s="1">
        <v>1</v>
      </c>
    </row>
    <row r="323" spans="1:77" x14ac:dyDescent="0.2">
      <c r="A323" t="str">
        <f t="shared" si="21"/>
        <v>2005_01_039</v>
      </c>
      <c r="B323" s="1">
        <v>2005</v>
      </c>
      <c r="C323" s="1">
        <v>1</v>
      </c>
      <c r="D323" s="1">
        <v>39</v>
      </c>
      <c r="E323" t="s">
        <v>1</v>
      </c>
      <c r="G323" s="1">
        <v>1</v>
      </c>
      <c r="H323" s="11" t="str">
        <f t="shared" si="22"/>
        <v>2005_01_039.gif</v>
      </c>
      <c r="I323"/>
      <c r="J323"/>
      <c r="L323" s="1" t="b">
        <v>0</v>
      </c>
      <c r="M323" s="1">
        <v>0</v>
      </c>
      <c r="N323" s="1" t="s">
        <v>657</v>
      </c>
      <c r="O323" s="1">
        <v>322</v>
      </c>
      <c r="P323" s="12" t="str">
        <f t="shared" si="19"/>
        <v>Units</v>
      </c>
      <c r="Q323" s="1">
        <v>4626</v>
      </c>
      <c r="R323" s="1" t="str">
        <f t="shared" ref="R323:R386" si="23">B323&amp;"_"&amp;TEXT(C323,"00")</f>
        <v>2005_01</v>
      </c>
      <c r="T323" s="1"/>
      <c r="V323" s="1">
        <v>1</v>
      </c>
    </row>
    <row r="324" spans="1:77" x14ac:dyDescent="0.2">
      <c r="A324" t="str">
        <f t="shared" si="21"/>
        <v>2005_01_040</v>
      </c>
      <c r="B324" s="1">
        <v>2005</v>
      </c>
      <c r="C324" s="1">
        <v>1</v>
      </c>
      <c r="D324" s="1">
        <v>40</v>
      </c>
      <c r="E324" t="s">
        <v>10</v>
      </c>
      <c r="F324" t="s">
        <v>548</v>
      </c>
      <c r="G324" s="1">
        <v>4</v>
      </c>
      <c r="H324" s="11" t="str">
        <f t="shared" si="22"/>
        <v>2005_01_040.gif</v>
      </c>
      <c r="I324"/>
      <c r="J324"/>
      <c r="L324" s="1" t="b">
        <v>0</v>
      </c>
      <c r="M324" s="1">
        <v>0</v>
      </c>
      <c r="N324" s="1" t="s">
        <v>657</v>
      </c>
      <c r="O324" s="1">
        <v>323</v>
      </c>
      <c r="P324" s="12" t="str">
        <f t="shared" si="19"/>
        <v>Coulomb's Law,Mathematical Relationships (Numberless Problems)</v>
      </c>
      <c r="Q324" s="1">
        <v>4627</v>
      </c>
      <c r="R324" s="1" t="str">
        <f t="shared" si="23"/>
        <v>2005_01</v>
      </c>
      <c r="T324" s="1"/>
      <c r="BL324" s="1">
        <v>1</v>
      </c>
      <c r="BY324" s="1">
        <v>1</v>
      </c>
    </row>
    <row r="325" spans="1:77" x14ac:dyDescent="0.2">
      <c r="A325" t="str">
        <f t="shared" si="21"/>
        <v>2005_01_041</v>
      </c>
      <c r="B325" s="1">
        <v>2005</v>
      </c>
      <c r="C325" s="1">
        <v>1</v>
      </c>
      <c r="D325" s="1">
        <v>41</v>
      </c>
      <c r="E325" t="s">
        <v>9</v>
      </c>
      <c r="G325" s="1">
        <v>3</v>
      </c>
      <c r="H325" s="11" t="str">
        <f t="shared" si="22"/>
        <v>2005_01_041.gif</v>
      </c>
      <c r="I325"/>
      <c r="J325"/>
      <c r="L325" s="1" t="b">
        <v>0</v>
      </c>
      <c r="M325" s="1">
        <v>0</v>
      </c>
      <c r="N325" s="1" t="s">
        <v>657</v>
      </c>
      <c r="O325" s="1">
        <v>324</v>
      </c>
      <c r="P325" s="12" t="str">
        <f t="shared" si="19"/>
        <v>Light and Sound</v>
      </c>
      <c r="Q325" s="1">
        <v>4628</v>
      </c>
      <c r="R325" s="1" t="str">
        <f t="shared" si="23"/>
        <v>2005_01</v>
      </c>
      <c r="T325" s="1"/>
      <c r="BI325" s="1">
        <v>1</v>
      </c>
    </row>
    <row r="326" spans="1:77" x14ac:dyDescent="0.2">
      <c r="A326" t="str">
        <f t="shared" si="21"/>
        <v>2005_01_042</v>
      </c>
      <c r="B326" s="1">
        <v>2005</v>
      </c>
      <c r="C326" s="1">
        <v>1</v>
      </c>
      <c r="D326" s="1">
        <v>42</v>
      </c>
      <c r="E326" t="s">
        <v>11</v>
      </c>
      <c r="G326" s="1">
        <v>1</v>
      </c>
      <c r="H326" s="11" t="str">
        <f t="shared" si="22"/>
        <v>2005_01_042.gif</v>
      </c>
      <c r="I326"/>
      <c r="J326"/>
      <c r="L326" s="1" t="b">
        <v>0</v>
      </c>
      <c r="M326" s="1">
        <v>0</v>
      </c>
      <c r="N326" s="1" t="s">
        <v>657</v>
      </c>
      <c r="O326" s="1">
        <v>325</v>
      </c>
      <c r="P326" s="12" t="str">
        <f t="shared" si="19"/>
        <v>Series and Parallel</v>
      </c>
      <c r="Q326" s="1">
        <v>4629</v>
      </c>
      <c r="R326" s="1" t="str">
        <f t="shared" si="23"/>
        <v>2005_01</v>
      </c>
      <c r="T326" s="1"/>
      <c r="BS326" s="1">
        <v>1</v>
      </c>
    </row>
    <row r="327" spans="1:77" x14ac:dyDescent="0.2">
      <c r="A327" t="str">
        <f t="shared" si="21"/>
        <v>2005_01_043</v>
      </c>
      <c r="B327" s="1">
        <v>2005</v>
      </c>
      <c r="C327" s="1">
        <v>1</v>
      </c>
      <c r="D327" s="1">
        <v>43</v>
      </c>
      <c r="E327" t="s">
        <v>13</v>
      </c>
      <c r="G327" s="1">
        <v>3</v>
      </c>
      <c r="H327" s="11" t="str">
        <f t="shared" si="22"/>
        <v>2005_01_043.gif</v>
      </c>
      <c r="I327"/>
      <c r="J327"/>
      <c r="L327" s="1" t="b">
        <v>0</v>
      </c>
      <c r="M327" s="1">
        <v>0</v>
      </c>
      <c r="N327" s="1" t="s">
        <v>657</v>
      </c>
      <c r="O327" s="1">
        <v>326</v>
      </c>
      <c r="P327" s="12" t="str">
        <f t="shared" si="19"/>
        <v>Particle Physics</v>
      </c>
      <c r="Q327" s="1">
        <v>4630</v>
      </c>
      <c r="R327" s="1" t="str">
        <f t="shared" si="23"/>
        <v>2005_01</v>
      </c>
      <c r="T327" s="1"/>
      <c r="BW327" s="1">
        <v>1</v>
      </c>
    </row>
    <row r="328" spans="1:77" x14ac:dyDescent="0.2">
      <c r="A328" t="str">
        <f t="shared" si="21"/>
        <v>2005_01_044</v>
      </c>
      <c r="B328" s="1">
        <v>2005</v>
      </c>
      <c r="C328" s="1">
        <v>1</v>
      </c>
      <c r="D328" s="1">
        <v>44</v>
      </c>
      <c r="E328" t="s">
        <v>13</v>
      </c>
      <c r="G328" s="1">
        <v>1</v>
      </c>
      <c r="H328" s="11" t="str">
        <f t="shared" si="22"/>
        <v>2005_01_044.gif</v>
      </c>
      <c r="I328"/>
      <c r="J328"/>
      <c r="L328" s="1" t="b">
        <v>0</v>
      </c>
      <c r="M328" s="1">
        <v>0</v>
      </c>
      <c r="N328" s="1" t="s">
        <v>657</v>
      </c>
      <c r="O328" s="1">
        <v>327</v>
      </c>
      <c r="P328" s="12" t="str">
        <f t="shared" si="19"/>
        <v>Energy/Frequency of Photon</v>
      </c>
      <c r="Q328" s="1">
        <v>4631</v>
      </c>
      <c r="R328" s="1" t="str">
        <f t="shared" si="23"/>
        <v>2005_01</v>
      </c>
      <c r="T328" s="1"/>
      <c r="BU328" s="1">
        <v>1</v>
      </c>
    </row>
    <row r="329" spans="1:77" x14ac:dyDescent="0.2">
      <c r="A329" t="str">
        <f t="shared" si="21"/>
        <v>2005_01_045</v>
      </c>
      <c r="B329" s="1">
        <v>2005</v>
      </c>
      <c r="C329" s="1">
        <v>1</v>
      </c>
      <c r="D329" s="1">
        <v>45</v>
      </c>
      <c r="E329" t="s">
        <v>13</v>
      </c>
      <c r="G329" s="1">
        <v>2</v>
      </c>
      <c r="H329" s="11" t="str">
        <f t="shared" si="22"/>
        <v>2005_01_045.gif</v>
      </c>
      <c r="I329"/>
      <c r="J329"/>
      <c r="L329" s="1" t="b">
        <v>0</v>
      </c>
      <c r="M329" s="1">
        <v>0</v>
      </c>
      <c r="N329" s="1" t="s">
        <v>657</v>
      </c>
      <c r="O329" s="1">
        <v>328</v>
      </c>
      <c r="P329" s="12" t="str">
        <f t="shared" si="19"/>
        <v>Energy/Frequency of Photon</v>
      </c>
      <c r="Q329" s="1">
        <v>4632</v>
      </c>
      <c r="R329" s="1" t="str">
        <f t="shared" si="23"/>
        <v>2005_01</v>
      </c>
      <c r="T329" s="1"/>
      <c r="BU329" s="1">
        <v>1</v>
      </c>
    </row>
    <row r="330" spans="1:77" x14ac:dyDescent="0.2">
      <c r="A330" t="str">
        <f t="shared" si="21"/>
        <v>2005_01_046</v>
      </c>
      <c r="B330" s="1">
        <v>2005</v>
      </c>
      <c r="C330" s="1">
        <v>1</v>
      </c>
      <c r="D330" s="1">
        <v>46</v>
      </c>
      <c r="E330" t="s">
        <v>5</v>
      </c>
      <c r="G330" s="1">
        <v>3</v>
      </c>
      <c r="H330" s="11" t="str">
        <f t="shared" si="22"/>
        <v>2005_01_046.gif</v>
      </c>
      <c r="I330"/>
      <c r="J330"/>
      <c r="L330" s="1" t="b">
        <v>0</v>
      </c>
      <c r="M330" s="1">
        <v>0</v>
      </c>
      <c r="N330" s="1" t="s">
        <v>657</v>
      </c>
      <c r="O330" s="1">
        <v>329</v>
      </c>
      <c r="P330" s="12" t="str">
        <f t="shared" si="19"/>
        <v>Hooke's Law</v>
      </c>
      <c r="Q330" s="1">
        <v>4633</v>
      </c>
      <c r="R330" s="1" t="str">
        <f t="shared" si="23"/>
        <v>2005_01</v>
      </c>
      <c r="T330" s="1"/>
      <c r="AP330" s="1">
        <v>1</v>
      </c>
    </row>
    <row r="331" spans="1:77" x14ac:dyDescent="0.2">
      <c r="A331" t="str">
        <f t="shared" si="21"/>
        <v>2005_01_047</v>
      </c>
      <c r="B331" s="1">
        <v>2005</v>
      </c>
      <c r="C331" s="1">
        <v>1</v>
      </c>
      <c r="D331" s="1">
        <v>47</v>
      </c>
      <c r="E331" t="s">
        <v>11</v>
      </c>
      <c r="F331" t="s">
        <v>548</v>
      </c>
      <c r="G331" s="1">
        <v>4</v>
      </c>
      <c r="H331" s="11" t="str">
        <f t="shared" si="22"/>
        <v>2005_01_047.gif</v>
      </c>
      <c r="I331"/>
      <c r="J331"/>
      <c r="L331" s="1" t="b">
        <v>0</v>
      </c>
      <c r="M331" s="1">
        <v>0</v>
      </c>
      <c r="N331" s="1" t="s">
        <v>657</v>
      </c>
      <c r="O331" s="1">
        <v>330</v>
      </c>
      <c r="P331" s="12" t="str">
        <f t="shared" ref="P331:P394" si="24">concatenateif(U331:DI331,1,$U$1:$DI$1)</f>
        <v>Electrical Definitions,Graph Interpretation</v>
      </c>
      <c r="Q331" s="1">
        <v>4634</v>
      </c>
      <c r="R331" s="1" t="str">
        <f t="shared" si="23"/>
        <v>2005_01</v>
      </c>
      <c r="T331" s="1"/>
      <c r="BO331" s="1">
        <v>1</v>
      </c>
      <c r="BX331" s="1">
        <v>1</v>
      </c>
    </row>
    <row r="332" spans="1:77" x14ac:dyDescent="0.2">
      <c r="A332" t="str">
        <f t="shared" si="21"/>
        <v>2005_01_048</v>
      </c>
      <c r="B332" s="1">
        <v>2005</v>
      </c>
      <c r="C332" s="1">
        <v>1</v>
      </c>
      <c r="D332" s="1">
        <v>48</v>
      </c>
      <c r="E332" t="s">
        <v>8</v>
      </c>
      <c r="G332" s="1">
        <v>4</v>
      </c>
      <c r="H332" s="11" t="str">
        <f t="shared" si="22"/>
        <v>2005_01_048.gif</v>
      </c>
      <c r="I332"/>
      <c r="J332"/>
      <c r="L332" s="1" t="b">
        <v>0</v>
      </c>
      <c r="M332" s="1">
        <v>0</v>
      </c>
      <c r="N332" s="1" t="s">
        <v>657</v>
      </c>
      <c r="O332" s="1">
        <v>331</v>
      </c>
      <c r="P332" s="12" t="str">
        <f t="shared" si="24"/>
        <v>Wave Vocabulary</v>
      </c>
      <c r="Q332" s="1">
        <v>4635</v>
      </c>
      <c r="R332" s="1" t="str">
        <f t="shared" si="23"/>
        <v>2005_01</v>
      </c>
      <c r="T332" s="1"/>
      <c r="BF332" s="1">
        <v>1</v>
      </c>
    </row>
    <row r="333" spans="1:77" x14ac:dyDescent="0.2">
      <c r="A333" t="s">
        <v>257</v>
      </c>
      <c r="B333" s="1">
        <v>2005</v>
      </c>
      <c r="C333" s="1">
        <v>6</v>
      </c>
      <c r="D333" s="1">
        <v>1</v>
      </c>
      <c r="E333" t="s">
        <v>6</v>
      </c>
      <c r="G333" s="1">
        <v>3</v>
      </c>
      <c r="H333" s="11" t="str">
        <f t="shared" si="22"/>
        <v>2005_06_001.gif</v>
      </c>
      <c r="I333"/>
      <c r="J333"/>
      <c r="L333" s="1" t="b">
        <v>0</v>
      </c>
      <c r="M333" s="1">
        <v>0</v>
      </c>
      <c r="N333" s="1" t="s">
        <v>601</v>
      </c>
      <c r="O333" s="1">
        <v>332</v>
      </c>
      <c r="P333" s="12" t="str">
        <f t="shared" si="24"/>
        <v>Impulse</v>
      </c>
      <c r="Q333" s="1">
        <v>4662</v>
      </c>
      <c r="R333" s="1" t="str">
        <f t="shared" si="23"/>
        <v>2005_06</v>
      </c>
      <c r="T333" s="1"/>
      <c r="AV333" s="1">
        <v>1</v>
      </c>
    </row>
    <row r="334" spans="1:77" x14ac:dyDescent="0.2">
      <c r="A334" t="s">
        <v>258</v>
      </c>
      <c r="B334" s="1">
        <v>2005</v>
      </c>
      <c r="C334" s="1">
        <v>6</v>
      </c>
      <c r="D334" s="1">
        <v>2</v>
      </c>
      <c r="E334" t="s">
        <v>2</v>
      </c>
      <c r="G334" s="1">
        <v>2</v>
      </c>
      <c r="H334" s="11" t="str">
        <f t="shared" si="22"/>
        <v>2005_06_002.gif</v>
      </c>
      <c r="I334"/>
      <c r="J334"/>
      <c r="L334" s="1" t="b">
        <v>0</v>
      </c>
      <c r="M334" s="1">
        <v>0</v>
      </c>
      <c r="N334" s="1" t="s">
        <v>601</v>
      </c>
      <c r="O334" s="1">
        <v>333</v>
      </c>
      <c r="P334" s="12" t="str">
        <f t="shared" si="24"/>
        <v>Vertical Constant Acceleration Problems</v>
      </c>
      <c r="Q334" s="1">
        <v>4663</v>
      </c>
      <c r="R334" s="1" t="str">
        <f t="shared" si="23"/>
        <v>2005_06</v>
      </c>
      <c r="T334" s="1"/>
      <c r="AC334" s="1">
        <v>1</v>
      </c>
    </row>
    <row r="335" spans="1:77" x14ac:dyDescent="0.2">
      <c r="A335" t="s">
        <v>259</v>
      </c>
      <c r="B335" s="1">
        <v>2005</v>
      </c>
      <c r="C335" s="1">
        <v>6</v>
      </c>
      <c r="D335" s="1">
        <v>3</v>
      </c>
      <c r="E335" t="s">
        <v>3</v>
      </c>
      <c r="G335" s="1">
        <v>3</v>
      </c>
      <c r="H335" s="11" t="str">
        <f t="shared" si="22"/>
        <v>2005_06_003.gif</v>
      </c>
      <c r="I335"/>
      <c r="J335"/>
      <c r="L335" s="1" t="b">
        <v>0</v>
      </c>
      <c r="M335" s="1">
        <v>0</v>
      </c>
      <c r="N335" s="1" t="s">
        <v>601</v>
      </c>
      <c r="O335" s="1">
        <v>334</v>
      </c>
      <c r="P335" s="12" t="str">
        <f t="shared" si="24"/>
        <v>Adding Vectors</v>
      </c>
      <c r="Q335" s="1">
        <v>4664</v>
      </c>
      <c r="R335" s="1" t="str">
        <f t="shared" si="23"/>
        <v>2005_06</v>
      </c>
      <c r="T335" s="1"/>
      <c r="AD335" s="1">
        <v>1</v>
      </c>
    </row>
    <row r="336" spans="1:77" x14ac:dyDescent="0.2">
      <c r="A336" t="s">
        <v>260</v>
      </c>
      <c r="B336" s="1">
        <v>2005</v>
      </c>
      <c r="C336" s="1">
        <v>6</v>
      </c>
      <c r="D336" s="1">
        <v>4</v>
      </c>
      <c r="E336" t="s">
        <v>3</v>
      </c>
      <c r="G336" s="1">
        <v>3</v>
      </c>
      <c r="H336" s="11" t="str">
        <f t="shared" si="22"/>
        <v>2005_06_004.gif</v>
      </c>
      <c r="I336"/>
      <c r="J336"/>
      <c r="L336" s="1" t="b">
        <v>0</v>
      </c>
      <c r="M336" s="1">
        <v>0</v>
      </c>
      <c r="N336" s="1" t="s">
        <v>601</v>
      </c>
      <c r="O336" s="1">
        <v>335</v>
      </c>
      <c r="P336" s="12" t="str">
        <f t="shared" si="24"/>
        <v>Vector Components</v>
      </c>
      <c r="Q336" s="1">
        <v>4665</v>
      </c>
      <c r="R336" s="1" t="str">
        <f t="shared" si="23"/>
        <v>2005_06</v>
      </c>
      <c r="T336" s="1"/>
      <c r="AE336" s="1">
        <v>1</v>
      </c>
    </row>
    <row r="337" spans="1:78" x14ac:dyDescent="0.2">
      <c r="A337" t="s">
        <v>261</v>
      </c>
      <c r="B337" s="1">
        <v>2005</v>
      </c>
      <c r="C337" s="1">
        <v>6</v>
      </c>
      <c r="D337" s="1">
        <v>5</v>
      </c>
      <c r="E337" t="s">
        <v>4</v>
      </c>
      <c r="G337" s="1">
        <v>2</v>
      </c>
      <c r="H337" s="11" t="str">
        <f t="shared" si="22"/>
        <v>2005_06_005.gif</v>
      </c>
      <c r="I337"/>
      <c r="J337"/>
      <c r="L337" s="1" t="b">
        <v>0</v>
      </c>
      <c r="M337" s="1">
        <v>0</v>
      </c>
      <c r="N337" s="1" t="s">
        <v>601</v>
      </c>
      <c r="O337" s="1">
        <v>336</v>
      </c>
      <c r="P337" s="12" t="str">
        <f t="shared" si="24"/>
        <v>Acceleration of Projectile</v>
      </c>
      <c r="Q337" s="1">
        <v>4666</v>
      </c>
      <c r="R337" s="1" t="str">
        <f t="shared" si="23"/>
        <v>2005_06</v>
      </c>
      <c r="T337" s="1"/>
      <c r="AG337" s="1">
        <v>1</v>
      </c>
    </row>
    <row r="338" spans="1:78" x14ac:dyDescent="0.2">
      <c r="A338" t="s">
        <v>262</v>
      </c>
      <c r="B338" s="1">
        <v>2005</v>
      </c>
      <c r="C338" s="1">
        <v>6</v>
      </c>
      <c r="D338" s="1">
        <v>6</v>
      </c>
      <c r="E338" t="s">
        <v>6</v>
      </c>
      <c r="G338" s="1">
        <v>3</v>
      </c>
      <c r="H338" s="11" t="str">
        <f t="shared" si="22"/>
        <v>2005_06_006.gif</v>
      </c>
      <c r="I338"/>
      <c r="J338"/>
      <c r="L338" s="1" t="b">
        <v>0</v>
      </c>
      <c r="M338" s="1">
        <v>0</v>
      </c>
      <c r="N338" s="1" t="s">
        <v>601</v>
      </c>
      <c r="O338" s="1">
        <v>337</v>
      </c>
      <c r="P338" s="12" t="str">
        <f t="shared" si="24"/>
        <v>Conservation of Momentum</v>
      </c>
      <c r="Q338" s="1">
        <v>4667</v>
      </c>
      <c r="R338" s="1" t="str">
        <f t="shared" si="23"/>
        <v>2005_06</v>
      </c>
      <c r="T338" s="1"/>
      <c r="AU338" s="1">
        <v>1</v>
      </c>
    </row>
    <row r="339" spans="1:78" x14ac:dyDescent="0.2">
      <c r="A339" t="s">
        <v>263</v>
      </c>
      <c r="B339" s="1">
        <v>2005</v>
      </c>
      <c r="C339" s="1">
        <v>6</v>
      </c>
      <c r="D339" s="1">
        <v>7</v>
      </c>
      <c r="E339" t="s">
        <v>4</v>
      </c>
      <c r="G339" s="1">
        <v>3</v>
      </c>
      <c r="H339" s="11" t="str">
        <f t="shared" si="22"/>
        <v>2005_06_007.gif</v>
      </c>
      <c r="I339"/>
      <c r="J339"/>
      <c r="L339" s="1" t="b">
        <v>0</v>
      </c>
      <c r="M339" s="1">
        <v>0</v>
      </c>
      <c r="N339" s="1" t="s">
        <v>601</v>
      </c>
      <c r="O339" s="1">
        <v>338</v>
      </c>
      <c r="P339" s="12" t="str">
        <f t="shared" si="24"/>
        <v>Max Height of Projectile</v>
      </c>
      <c r="Q339" s="1">
        <v>4668</v>
      </c>
      <c r="R339" s="1" t="str">
        <f t="shared" si="23"/>
        <v>2005_06</v>
      </c>
      <c r="T339" s="1"/>
      <c r="AK339" s="1">
        <v>1</v>
      </c>
    </row>
    <row r="340" spans="1:78" x14ac:dyDescent="0.2">
      <c r="A340" t="s">
        <v>264</v>
      </c>
      <c r="B340" s="1">
        <v>2005</v>
      </c>
      <c r="C340" s="1">
        <v>6</v>
      </c>
      <c r="D340" s="1">
        <v>8</v>
      </c>
      <c r="E340" t="s">
        <v>5</v>
      </c>
      <c r="G340" s="1">
        <v>4</v>
      </c>
      <c r="H340" s="11" t="str">
        <f t="shared" si="22"/>
        <v>2005_06_008.gif</v>
      </c>
      <c r="I340"/>
      <c r="J340"/>
      <c r="L340" s="1" t="b">
        <v>0</v>
      </c>
      <c r="M340" s="1">
        <v>0</v>
      </c>
      <c r="N340" s="1" t="s">
        <v>601</v>
      </c>
      <c r="O340" s="1">
        <v>339</v>
      </c>
      <c r="P340" s="12" t="str">
        <f t="shared" si="24"/>
        <v>Newton's 1st Law (Inertia),Weight and Mass</v>
      </c>
      <c r="Q340" s="1">
        <v>4669</v>
      </c>
      <c r="R340" s="1" t="str">
        <f t="shared" si="23"/>
        <v>2005_06</v>
      </c>
      <c r="T340" s="1"/>
      <c r="AR340" s="1">
        <v>1</v>
      </c>
      <c r="AT340" s="1">
        <v>1</v>
      </c>
    </row>
    <row r="341" spans="1:78" x14ac:dyDescent="0.2">
      <c r="A341" t="s">
        <v>265</v>
      </c>
      <c r="B341" s="1">
        <v>2005</v>
      </c>
      <c r="C341" s="1">
        <v>6</v>
      </c>
      <c r="D341" s="1">
        <v>9</v>
      </c>
      <c r="E341" t="s">
        <v>5</v>
      </c>
      <c r="G341" s="1">
        <v>1</v>
      </c>
      <c r="H341" s="11" t="str">
        <f t="shared" si="22"/>
        <v>2005_06_009.gif</v>
      </c>
      <c r="I341"/>
      <c r="J341"/>
      <c r="L341" s="1" t="b">
        <v>0</v>
      </c>
      <c r="M341" s="1">
        <v>0</v>
      </c>
      <c r="N341" s="1" t="s">
        <v>601</v>
      </c>
      <c r="O341" s="1">
        <v>340</v>
      </c>
      <c r="P341" s="12" t="str">
        <f t="shared" si="24"/>
        <v>Weight and Mass</v>
      </c>
      <c r="Q341" s="1">
        <v>4670</v>
      </c>
      <c r="R341" s="1" t="str">
        <f t="shared" si="23"/>
        <v>2005_06</v>
      </c>
      <c r="T341" s="1"/>
      <c r="AT341" s="1">
        <v>1</v>
      </c>
    </row>
    <row r="342" spans="1:78" x14ac:dyDescent="0.2">
      <c r="A342" t="s">
        <v>266</v>
      </c>
      <c r="B342" s="1">
        <v>2005</v>
      </c>
      <c r="C342" s="1">
        <v>6</v>
      </c>
      <c r="D342" s="1">
        <v>10</v>
      </c>
      <c r="E342" t="s">
        <v>2</v>
      </c>
      <c r="G342" s="1">
        <v>3</v>
      </c>
      <c r="H342" s="11" t="str">
        <f t="shared" si="22"/>
        <v>2005_06_010.gif</v>
      </c>
      <c r="I342"/>
      <c r="J342"/>
      <c r="L342" s="1" t="b">
        <v>0</v>
      </c>
      <c r="M342" s="1">
        <v>0</v>
      </c>
      <c r="N342" s="1" t="s">
        <v>601</v>
      </c>
      <c r="O342" s="1">
        <v>341</v>
      </c>
      <c r="P342" s="12" t="str">
        <f t="shared" si="24"/>
        <v>Vertical Constant Acceleration Problems</v>
      </c>
      <c r="Q342" s="1">
        <v>4671</v>
      </c>
      <c r="R342" s="1" t="str">
        <f t="shared" si="23"/>
        <v>2005_06</v>
      </c>
      <c r="T342" s="1"/>
      <c r="AC342" s="1">
        <v>1</v>
      </c>
    </row>
    <row r="343" spans="1:78" x14ac:dyDescent="0.2">
      <c r="A343" t="s">
        <v>267</v>
      </c>
      <c r="B343" s="1">
        <v>2005</v>
      </c>
      <c r="C343" s="1">
        <v>6</v>
      </c>
      <c r="D343" s="1">
        <v>11</v>
      </c>
      <c r="E343" t="s">
        <v>5</v>
      </c>
      <c r="G343" s="1">
        <v>2</v>
      </c>
      <c r="H343" s="11" t="str">
        <f t="shared" si="22"/>
        <v>2005_06_011.gif</v>
      </c>
      <c r="I343"/>
      <c r="J343"/>
      <c r="L343" s="1" t="b">
        <v>0</v>
      </c>
      <c r="M343" s="1">
        <v>0</v>
      </c>
      <c r="N343" s="1" t="s">
        <v>601</v>
      </c>
      <c r="O343" s="1">
        <v>342</v>
      </c>
      <c r="P343" s="12" t="str">
        <f t="shared" si="24"/>
        <v>Hooke's Law</v>
      </c>
      <c r="Q343" s="1">
        <v>4672</v>
      </c>
      <c r="R343" s="1" t="str">
        <f t="shared" si="23"/>
        <v>2005_06</v>
      </c>
      <c r="T343" s="1"/>
      <c r="AP343" s="1">
        <v>1</v>
      </c>
    </row>
    <row r="344" spans="1:78" x14ac:dyDescent="0.2">
      <c r="A344" t="s">
        <v>268</v>
      </c>
      <c r="B344" s="1">
        <v>2005</v>
      </c>
      <c r="C344" s="1">
        <v>6</v>
      </c>
      <c r="D344" s="1">
        <v>12</v>
      </c>
      <c r="E344" t="s">
        <v>5</v>
      </c>
      <c r="F344" t="s">
        <v>548</v>
      </c>
      <c r="G344" s="1">
        <v>1</v>
      </c>
      <c r="H344" s="11" t="str">
        <f t="shared" si="22"/>
        <v>2005_06_012.gif</v>
      </c>
      <c r="I344"/>
      <c r="J344"/>
      <c r="L344" s="1" t="b">
        <v>0</v>
      </c>
      <c r="M344" s="1">
        <v>0</v>
      </c>
      <c r="N344" s="1" t="s">
        <v>601</v>
      </c>
      <c r="O344" s="1">
        <v>343</v>
      </c>
      <c r="P344" s="12" t="str">
        <f t="shared" si="24"/>
        <v>Law of Gravity,Mathematical Relationships (Numberless Problems)</v>
      </c>
      <c r="Q344" s="1">
        <v>4673</v>
      </c>
      <c r="R344" s="1" t="str">
        <f t="shared" si="23"/>
        <v>2005_06</v>
      </c>
      <c r="T344" s="1"/>
      <c r="AQ344" s="1">
        <v>1</v>
      </c>
      <c r="BY344" s="1">
        <v>1</v>
      </c>
    </row>
    <row r="345" spans="1:78" x14ac:dyDescent="0.2">
      <c r="A345" t="s">
        <v>269</v>
      </c>
      <c r="B345" s="1">
        <v>2005</v>
      </c>
      <c r="C345" s="1">
        <v>6</v>
      </c>
      <c r="D345" s="1">
        <v>13</v>
      </c>
      <c r="E345" t="s">
        <v>5</v>
      </c>
      <c r="G345" s="1">
        <v>1</v>
      </c>
      <c r="H345" s="11" t="str">
        <f t="shared" si="22"/>
        <v>2005_06_013.gif</v>
      </c>
      <c r="I345"/>
      <c r="J345"/>
      <c r="L345" s="1" t="b">
        <v>0</v>
      </c>
      <c r="M345" s="1">
        <v>0</v>
      </c>
      <c r="N345" s="1" t="s">
        <v>601</v>
      </c>
      <c r="O345" s="1">
        <v>344</v>
      </c>
      <c r="P345" s="12" t="str">
        <f t="shared" si="24"/>
        <v>Newton's 2nd Law (F=MA),Weight and Mass</v>
      </c>
      <c r="Q345" s="1">
        <v>4674</v>
      </c>
      <c r="R345" s="1" t="str">
        <f t="shared" si="23"/>
        <v>2005_06</v>
      </c>
      <c r="T345" s="1"/>
      <c r="AS345" s="1">
        <v>1</v>
      </c>
      <c r="AT345" s="1">
        <v>1</v>
      </c>
    </row>
    <row r="346" spans="1:78" x14ac:dyDescent="0.2">
      <c r="A346" t="s">
        <v>270</v>
      </c>
      <c r="B346" s="1">
        <v>2005</v>
      </c>
      <c r="C346" s="1">
        <v>6</v>
      </c>
      <c r="D346" s="1">
        <v>14</v>
      </c>
      <c r="E346" t="s">
        <v>10</v>
      </c>
      <c r="F346" t="s">
        <v>5</v>
      </c>
      <c r="G346" s="1">
        <v>4</v>
      </c>
      <c r="H346" s="11" t="str">
        <f t="shared" si="22"/>
        <v>2005_06_014.gif</v>
      </c>
      <c r="I346"/>
      <c r="J346"/>
      <c r="L346" s="1" t="b">
        <v>0</v>
      </c>
      <c r="M346" s="1">
        <v>0</v>
      </c>
      <c r="N346" s="1" t="s">
        <v>601</v>
      </c>
      <c r="O346" s="1">
        <v>345</v>
      </c>
      <c r="P346" s="12" t="str">
        <f t="shared" si="24"/>
        <v>Law of Gravity,Coulomb's Law</v>
      </c>
      <c r="Q346" s="1">
        <v>4675</v>
      </c>
      <c r="R346" s="1" t="str">
        <f t="shared" si="23"/>
        <v>2005_06</v>
      </c>
      <c r="T346" s="1"/>
      <c r="AQ346" s="1">
        <v>1</v>
      </c>
      <c r="BL346" s="1">
        <v>1</v>
      </c>
    </row>
    <row r="347" spans="1:78" x14ac:dyDescent="0.2">
      <c r="A347" t="s">
        <v>271</v>
      </c>
      <c r="B347" s="1">
        <v>2005</v>
      </c>
      <c r="C347" s="1">
        <v>6</v>
      </c>
      <c r="D347" s="1">
        <v>15</v>
      </c>
      <c r="E347" t="s">
        <v>588</v>
      </c>
      <c r="F347" t="s">
        <v>12</v>
      </c>
      <c r="G347" s="1">
        <v>2</v>
      </c>
      <c r="H347" s="11" t="str">
        <f t="shared" si="22"/>
        <v>2005_06_015.gif</v>
      </c>
      <c r="I347"/>
      <c r="J347"/>
      <c r="L347" s="1" t="b">
        <v>0</v>
      </c>
      <c r="M347" s="1">
        <v>0</v>
      </c>
      <c r="N347" s="1" t="s">
        <v>601</v>
      </c>
      <c r="O347" s="1">
        <v>346</v>
      </c>
      <c r="P347" s="12" t="str">
        <f t="shared" si="24"/>
        <v>Magnetism</v>
      </c>
      <c r="Q347" s="1">
        <v>4676</v>
      </c>
      <c r="R347" s="1" t="str">
        <f t="shared" si="23"/>
        <v>2005_06</v>
      </c>
      <c r="T347" s="1"/>
      <c r="BZ347" s="1">
        <v>1</v>
      </c>
    </row>
    <row r="348" spans="1:78" x14ac:dyDescent="0.2">
      <c r="A348" t="s">
        <v>272</v>
      </c>
      <c r="B348" s="1">
        <v>2005</v>
      </c>
      <c r="C348" s="1">
        <v>6</v>
      </c>
      <c r="D348" s="1">
        <v>16</v>
      </c>
      <c r="E348" t="s">
        <v>7</v>
      </c>
      <c r="G348" s="1">
        <v>2</v>
      </c>
      <c r="H348" s="11" t="str">
        <f t="shared" si="22"/>
        <v>2005_06_016.gif</v>
      </c>
      <c r="I348"/>
      <c r="J348"/>
      <c r="L348" s="1" t="b">
        <v>0</v>
      </c>
      <c r="M348" s="1">
        <v>0</v>
      </c>
      <c r="N348" s="1" t="s">
        <v>601</v>
      </c>
      <c r="O348" s="1">
        <v>347</v>
      </c>
      <c r="P348" s="12" t="str">
        <f t="shared" si="24"/>
        <v>Conservation of Energy,Work/Power</v>
      </c>
      <c r="Q348" s="1">
        <v>4677</v>
      </c>
      <c r="R348" s="1" t="str">
        <f t="shared" si="23"/>
        <v>2005_06</v>
      </c>
      <c r="T348" s="1"/>
      <c r="AX348" s="1">
        <v>1</v>
      </c>
      <c r="BB348" s="1">
        <v>1</v>
      </c>
    </row>
    <row r="349" spans="1:78" x14ac:dyDescent="0.2">
      <c r="A349" t="s">
        <v>273</v>
      </c>
      <c r="B349" s="1">
        <v>2005</v>
      </c>
      <c r="C349" s="1">
        <v>6</v>
      </c>
      <c r="D349" s="1">
        <v>17</v>
      </c>
      <c r="E349" t="s">
        <v>7</v>
      </c>
      <c r="G349" s="1">
        <v>4</v>
      </c>
      <c r="H349" s="11" t="str">
        <f t="shared" si="22"/>
        <v>2005_06_017.gif</v>
      </c>
      <c r="I349"/>
      <c r="J349"/>
      <c r="L349" s="1" t="b">
        <v>0</v>
      </c>
      <c r="M349" s="1">
        <v>0</v>
      </c>
      <c r="N349" s="1" t="s">
        <v>601</v>
      </c>
      <c r="O349" s="1">
        <v>348</v>
      </c>
      <c r="P349" s="12" t="str">
        <f t="shared" si="24"/>
        <v>Gravitational PE</v>
      </c>
      <c r="Q349" s="1">
        <v>4678</v>
      </c>
      <c r="R349" s="1" t="str">
        <f t="shared" si="23"/>
        <v>2005_06</v>
      </c>
      <c r="T349" s="1"/>
      <c r="AY349" s="1">
        <v>1</v>
      </c>
    </row>
    <row r="350" spans="1:78" x14ac:dyDescent="0.2">
      <c r="A350" t="s">
        <v>274</v>
      </c>
      <c r="B350" s="1">
        <v>2005</v>
      </c>
      <c r="C350" s="1">
        <v>6</v>
      </c>
      <c r="D350" s="1">
        <v>18</v>
      </c>
      <c r="E350" t="s">
        <v>7</v>
      </c>
      <c r="G350" s="1">
        <v>3</v>
      </c>
      <c r="H350" s="11" t="str">
        <f t="shared" si="22"/>
        <v>2005_06_018.gif</v>
      </c>
      <c r="I350"/>
      <c r="J350"/>
      <c r="L350" s="1" t="b">
        <v>0</v>
      </c>
      <c r="M350" s="1">
        <v>0</v>
      </c>
      <c r="N350" s="1" t="s">
        <v>601</v>
      </c>
      <c r="O350" s="1">
        <v>349</v>
      </c>
      <c r="P350" s="12" t="str">
        <f t="shared" si="24"/>
        <v>Work/Power</v>
      </c>
      <c r="Q350" s="1">
        <v>4679</v>
      </c>
      <c r="R350" s="1" t="str">
        <f t="shared" si="23"/>
        <v>2005_06</v>
      </c>
      <c r="T350" s="1"/>
      <c r="BB350" s="1">
        <v>1</v>
      </c>
    </row>
    <row r="351" spans="1:78" x14ac:dyDescent="0.2">
      <c r="A351" t="s">
        <v>275</v>
      </c>
      <c r="B351" s="1">
        <v>2005</v>
      </c>
      <c r="C351" s="1">
        <v>6</v>
      </c>
      <c r="D351" s="1">
        <v>19</v>
      </c>
      <c r="E351" t="s">
        <v>11</v>
      </c>
      <c r="G351" s="1">
        <v>3</v>
      </c>
      <c r="H351" s="11" t="str">
        <f t="shared" si="22"/>
        <v>2005_06_019.gif</v>
      </c>
      <c r="I351"/>
      <c r="J351"/>
      <c r="L351" s="1" t="b">
        <v>0</v>
      </c>
      <c r="M351" s="1">
        <v>0</v>
      </c>
      <c r="N351" s="1" t="s">
        <v>601</v>
      </c>
      <c r="O351" s="1">
        <v>350</v>
      </c>
      <c r="P351" s="12" t="str">
        <f t="shared" si="24"/>
        <v>Resistance of Wire</v>
      </c>
      <c r="Q351" s="1">
        <v>4680</v>
      </c>
      <c r="R351" s="1" t="str">
        <f t="shared" si="23"/>
        <v>2005_06</v>
      </c>
      <c r="T351" s="1"/>
      <c r="BR351" s="1">
        <v>1</v>
      </c>
    </row>
    <row r="352" spans="1:78" x14ac:dyDescent="0.2">
      <c r="A352" t="s">
        <v>276</v>
      </c>
      <c r="B352" s="1">
        <v>2005</v>
      </c>
      <c r="C352" s="1">
        <v>6</v>
      </c>
      <c r="D352" s="1">
        <v>20</v>
      </c>
      <c r="E352" t="s">
        <v>11</v>
      </c>
      <c r="G352" s="1">
        <v>2</v>
      </c>
      <c r="H352" s="11" t="str">
        <f t="shared" si="22"/>
        <v>2005_06_020.gif</v>
      </c>
      <c r="I352"/>
      <c r="J352"/>
      <c r="L352" s="1" t="b">
        <v>0</v>
      </c>
      <c r="M352" s="1">
        <v>0</v>
      </c>
      <c r="N352" s="1" t="s">
        <v>601</v>
      </c>
      <c r="O352" s="1">
        <v>351</v>
      </c>
      <c r="P352" s="12" t="str">
        <f t="shared" si="24"/>
        <v>Ohm's Law</v>
      </c>
      <c r="Q352" s="1">
        <v>4681</v>
      </c>
      <c r="R352" s="1" t="str">
        <f t="shared" si="23"/>
        <v>2005_06</v>
      </c>
      <c r="T352" s="1"/>
      <c r="BQ352" s="1">
        <v>1</v>
      </c>
    </row>
    <row r="353" spans="1:77" x14ac:dyDescent="0.2">
      <c r="A353" t="s">
        <v>277</v>
      </c>
      <c r="B353" s="1">
        <v>2005</v>
      </c>
      <c r="C353" s="1">
        <v>6</v>
      </c>
      <c r="D353" s="1">
        <v>21</v>
      </c>
      <c r="E353" t="s">
        <v>11</v>
      </c>
      <c r="G353" s="1">
        <v>3</v>
      </c>
      <c r="H353" s="11" t="str">
        <f t="shared" si="22"/>
        <v>2005_06_021.gif</v>
      </c>
      <c r="I353"/>
      <c r="J353"/>
      <c r="L353" s="1" t="b">
        <v>0</v>
      </c>
      <c r="M353" s="1">
        <v>0</v>
      </c>
      <c r="N353" s="1" t="s">
        <v>601</v>
      </c>
      <c r="O353" s="1">
        <v>352</v>
      </c>
      <c r="P353" s="12" t="str">
        <f t="shared" si="24"/>
        <v>Electrical Power</v>
      </c>
      <c r="Q353" s="1">
        <v>4682</v>
      </c>
      <c r="R353" s="1" t="str">
        <f t="shared" si="23"/>
        <v>2005_06</v>
      </c>
      <c r="T353" s="1"/>
      <c r="BP353" s="1">
        <v>1</v>
      </c>
    </row>
    <row r="354" spans="1:77" x14ac:dyDescent="0.2">
      <c r="A354" t="s">
        <v>278</v>
      </c>
      <c r="B354" s="1">
        <v>2005</v>
      </c>
      <c r="C354" s="1">
        <v>6</v>
      </c>
      <c r="D354" s="1">
        <v>22</v>
      </c>
      <c r="E354" t="s">
        <v>11</v>
      </c>
      <c r="G354" s="1">
        <v>2</v>
      </c>
      <c r="H354" s="11" t="str">
        <f t="shared" si="22"/>
        <v>2005_06_022.gif</v>
      </c>
      <c r="I354"/>
      <c r="J354"/>
      <c r="L354" s="1" t="b">
        <v>0</v>
      </c>
      <c r="M354" s="1">
        <v>0</v>
      </c>
      <c r="N354" s="1" t="s">
        <v>601</v>
      </c>
      <c r="O354" s="1">
        <v>353</v>
      </c>
      <c r="P354" s="12" t="str">
        <f t="shared" si="24"/>
        <v>Series and Parallel</v>
      </c>
      <c r="Q354" s="1">
        <v>4683</v>
      </c>
      <c r="R354" s="1" t="str">
        <f t="shared" si="23"/>
        <v>2005_06</v>
      </c>
      <c r="T354" s="1"/>
      <c r="BS354" s="1">
        <v>1</v>
      </c>
    </row>
    <row r="355" spans="1:77" x14ac:dyDescent="0.2">
      <c r="A355" t="s">
        <v>279</v>
      </c>
      <c r="B355" s="1">
        <v>2005</v>
      </c>
      <c r="C355" s="1">
        <v>6</v>
      </c>
      <c r="D355" s="1">
        <v>23</v>
      </c>
      <c r="E355" t="s">
        <v>11</v>
      </c>
      <c r="G355" s="1">
        <v>4</v>
      </c>
      <c r="H355" s="11" t="str">
        <f t="shared" si="22"/>
        <v>2005_06_023.gif</v>
      </c>
      <c r="I355"/>
      <c r="J355"/>
      <c r="L355" s="1" t="b">
        <v>0</v>
      </c>
      <c r="M355" s="1">
        <v>0</v>
      </c>
      <c r="N355" s="1" t="s">
        <v>601</v>
      </c>
      <c r="O355" s="1">
        <v>354</v>
      </c>
      <c r="P355" s="12" t="str">
        <f t="shared" si="24"/>
        <v>Series and Parallel</v>
      </c>
      <c r="Q355" s="1">
        <v>4684</v>
      </c>
      <c r="R355" s="1" t="str">
        <f t="shared" si="23"/>
        <v>2005_06</v>
      </c>
      <c r="T355" s="1"/>
      <c r="BS355" s="1">
        <v>1</v>
      </c>
    </row>
    <row r="356" spans="1:77" x14ac:dyDescent="0.2">
      <c r="A356" t="s">
        <v>280</v>
      </c>
      <c r="B356" s="1">
        <v>2005</v>
      </c>
      <c r="C356" s="1">
        <v>6</v>
      </c>
      <c r="D356" s="1">
        <v>24</v>
      </c>
      <c r="E356" t="s">
        <v>8</v>
      </c>
      <c r="G356" s="1">
        <v>3</v>
      </c>
      <c r="H356" s="11" t="str">
        <f t="shared" si="22"/>
        <v>2005_06_024.gif</v>
      </c>
      <c r="I356"/>
      <c r="J356"/>
      <c r="L356" s="1" t="b">
        <v>0</v>
      </c>
      <c r="M356" s="1">
        <v>0</v>
      </c>
      <c r="N356" s="1" t="s">
        <v>601</v>
      </c>
      <c r="O356" s="1">
        <v>355</v>
      </c>
      <c r="P356" s="12" t="str">
        <f t="shared" si="24"/>
        <v>Wave Vocabulary</v>
      </c>
      <c r="Q356" s="1">
        <v>4685</v>
      </c>
      <c r="R356" s="1" t="str">
        <f t="shared" si="23"/>
        <v>2005_06</v>
      </c>
      <c r="T356" s="1"/>
      <c r="BF356" s="1">
        <v>1</v>
      </c>
    </row>
    <row r="357" spans="1:77" x14ac:dyDescent="0.2">
      <c r="A357" t="s">
        <v>281</v>
      </c>
      <c r="B357" s="1">
        <v>2005</v>
      </c>
      <c r="C357" s="1">
        <v>6</v>
      </c>
      <c r="D357" s="1">
        <v>25</v>
      </c>
      <c r="E357" t="s">
        <v>9</v>
      </c>
      <c r="G357" s="1">
        <v>1</v>
      </c>
      <c r="H357" s="11" t="str">
        <f t="shared" si="22"/>
        <v>2005_06_025.gif</v>
      </c>
      <c r="I357"/>
      <c r="J357"/>
      <c r="L357" s="1" t="b">
        <v>0</v>
      </c>
      <c r="M357" s="1">
        <v>0</v>
      </c>
      <c r="N357" s="1" t="s">
        <v>601</v>
      </c>
      <c r="O357" s="1">
        <v>356</v>
      </c>
      <c r="P357" s="12" t="str">
        <f t="shared" si="24"/>
        <v>Refraction and Snell's Law</v>
      </c>
      <c r="Q357" s="1">
        <v>4686</v>
      </c>
      <c r="R357" s="1" t="str">
        <f t="shared" si="23"/>
        <v>2005_06</v>
      </c>
      <c r="T357" s="1"/>
      <c r="BJ357" s="1">
        <v>1</v>
      </c>
    </row>
    <row r="358" spans="1:77" x14ac:dyDescent="0.2">
      <c r="A358" t="s">
        <v>282</v>
      </c>
      <c r="B358" s="1">
        <v>2005</v>
      </c>
      <c r="C358" s="1">
        <v>6</v>
      </c>
      <c r="D358" s="1">
        <v>26</v>
      </c>
      <c r="E358" t="s">
        <v>9</v>
      </c>
      <c r="G358" s="1">
        <v>2</v>
      </c>
      <c r="H358" s="11" t="str">
        <f t="shared" si="22"/>
        <v>2005_06_026.gif</v>
      </c>
      <c r="I358"/>
      <c r="J358"/>
      <c r="L358" s="1" t="b">
        <v>0</v>
      </c>
      <c r="M358" s="1">
        <v>0</v>
      </c>
      <c r="N358" s="1" t="s">
        <v>601</v>
      </c>
      <c r="O358" s="1">
        <v>357</v>
      </c>
      <c r="P358" s="12" t="str">
        <f t="shared" si="24"/>
        <v>Refraction and Snell's Law</v>
      </c>
      <c r="Q358" s="1">
        <v>4687</v>
      </c>
      <c r="R358" s="1" t="str">
        <f t="shared" si="23"/>
        <v>2005_06</v>
      </c>
      <c r="T358" s="1"/>
      <c r="BJ358" s="1">
        <v>1</v>
      </c>
    </row>
    <row r="359" spans="1:77" x14ac:dyDescent="0.2">
      <c r="A359" t="s">
        <v>283</v>
      </c>
      <c r="B359" s="1">
        <v>2005</v>
      </c>
      <c r="C359" s="1">
        <v>6</v>
      </c>
      <c r="D359" s="1">
        <v>27</v>
      </c>
      <c r="E359" t="s">
        <v>9</v>
      </c>
      <c r="G359" s="1">
        <v>1</v>
      </c>
      <c r="H359" s="11" t="str">
        <f t="shared" si="22"/>
        <v>2005_06_027.gif</v>
      </c>
      <c r="I359"/>
      <c r="J359"/>
      <c r="L359" s="1" t="b">
        <v>0</v>
      </c>
      <c r="M359" s="1">
        <v>0</v>
      </c>
      <c r="N359" s="1" t="s">
        <v>601</v>
      </c>
      <c r="O359" s="1">
        <v>358</v>
      </c>
      <c r="P359" s="12" t="str">
        <f t="shared" si="24"/>
        <v>Light and Sound</v>
      </c>
      <c r="Q359" s="1">
        <v>4688</v>
      </c>
      <c r="R359" s="1" t="str">
        <f t="shared" si="23"/>
        <v>2005_06</v>
      </c>
      <c r="T359" s="1"/>
      <c r="BI359" s="1">
        <v>1</v>
      </c>
    </row>
    <row r="360" spans="1:77" x14ac:dyDescent="0.2">
      <c r="A360" t="s">
        <v>284</v>
      </c>
      <c r="B360" s="1">
        <v>2005</v>
      </c>
      <c r="C360" s="1">
        <v>6</v>
      </c>
      <c r="D360" s="1">
        <v>28</v>
      </c>
      <c r="E360" t="s">
        <v>8</v>
      </c>
      <c r="G360" s="1">
        <v>1</v>
      </c>
      <c r="H360" s="11" t="str">
        <f t="shared" si="22"/>
        <v>2005_06_028.gif</v>
      </c>
      <c r="I360"/>
      <c r="J360"/>
      <c r="L360" s="1" t="b">
        <v>0</v>
      </c>
      <c r="M360" s="1">
        <v>0</v>
      </c>
      <c r="N360" s="1" t="s">
        <v>601</v>
      </c>
      <c r="O360" s="1">
        <v>359</v>
      </c>
      <c r="P360" s="12" t="str">
        <f t="shared" si="24"/>
        <v>Wave Vocabulary</v>
      </c>
      <c r="Q360" s="1">
        <v>4689</v>
      </c>
      <c r="R360" s="1" t="str">
        <f t="shared" si="23"/>
        <v>2005_06</v>
      </c>
      <c r="T360" s="1"/>
      <c r="BF360" s="1">
        <v>1</v>
      </c>
    </row>
    <row r="361" spans="1:77" x14ac:dyDescent="0.2">
      <c r="A361" t="s">
        <v>285</v>
      </c>
      <c r="B361" s="1">
        <v>2005</v>
      </c>
      <c r="C361" s="1">
        <v>6</v>
      </c>
      <c r="D361" s="1">
        <v>29</v>
      </c>
      <c r="E361" t="s">
        <v>8</v>
      </c>
      <c r="F361" t="s">
        <v>548</v>
      </c>
      <c r="G361" s="1">
        <v>2</v>
      </c>
      <c r="H361" s="11" t="str">
        <f t="shared" si="22"/>
        <v>2005_06_029.gif</v>
      </c>
      <c r="I361"/>
      <c r="J361"/>
      <c r="L361" s="1" t="b">
        <v>0</v>
      </c>
      <c r="M361" s="1">
        <v>0</v>
      </c>
      <c r="N361" s="1" t="s">
        <v>601</v>
      </c>
      <c r="O361" s="1">
        <v>360</v>
      </c>
      <c r="P361" s="12" t="str">
        <f t="shared" si="24"/>
        <v>V=FxLamda,Mathematical Relationships (Numberless Problems)</v>
      </c>
      <c r="Q361" s="1">
        <v>4690</v>
      </c>
      <c r="R361" s="1" t="str">
        <f t="shared" si="23"/>
        <v>2005_06</v>
      </c>
      <c r="T361" s="1"/>
      <c r="BE361" s="1">
        <v>1</v>
      </c>
      <c r="BY361" s="1">
        <v>1</v>
      </c>
    </row>
    <row r="362" spans="1:77" x14ac:dyDescent="0.2">
      <c r="A362" t="s">
        <v>286</v>
      </c>
      <c r="B362" s="1">
        <v>2005</v>
      </c>
      <c r="C362" s="1">
        <v>6</v>
      </c>
      <c r="D362" s="1">
        <v>30</v>
      </c>
      <c r="E362" t="s">
        <v>9</v>
      </c>
      <c r="G362" s="1">
        <v>4</v>
      </c>
      <c r="H362" s="11" t="str">
        <f t="shared" si="22"/>
        <v>2005_06_030.gif</v>
      </c>
      <c r="I362"/>
      <c r="J362"/>
      <c r="L362" s="1" t="b">
        <v>0</v>
      </c>
      <c r="M362" s="1">
        <v>0</v>
      </c>
      <c r="N362" s="1" t="s">
        <v>601</v>
      </c>
      <c r="O362" s="1">
        <v>361</v>
      </c>
      <c r="P362" s="12" t="str">
        <f t="shared" si="24"/>
        <v>Diffraction,Light and Sound</v>
      </c>
      <c r="Q362" s="1">
        <v>4691</v>
      </c>
      <c r="R362" s="1" t="str">
        <f t="shared" si="23"/>
        <v>2005_06</v>
      </c>
      <c r="T362" s="1"/>
      <c r="BG362" s="1">
        <v>1</v>
      </c>
      <c r="BI362" s="1">
        <v>1</v>
      </c>
    </row>
    <row r="363" spans="1:77" x14ac:dyDescent="0.2">
      <c r="A363" t="s">
        <v>287</v>
      </c>
      <c r="B363" s="1">
        <v>2005</v>
      </c>
      <c r="C363" s="1">
        <v>6</v>
      </c>
      <c r="D363" s="1">
        <v>31</v>
      </c>
      <c r="E363" t="s">
        <v>10</v>
      </c>
      <c r="G363" s="1">
        <v>3</v>
      </c>
      <c r="H363" s="11" t="str">
        <f t="shared" si="22"/>
        <v>2005_06_031.gif</v>
      </c>
      <c r="I363"/>
      <c r="J363"/>
      <c r="L363" s="1" t="b">
        <v>0</v>
      </c>
      <c r="M363" s="1">
        <v>0</v>
      </c>
      <c r="N363" s="1" t="s">
        <v>601</v>
      </c>
      <c r="O363" s="1">
        <v>362</v>
      </c>
      <c r="P363" s="12" t="str">
        <f t="shared" si="24"/>
        <v>Conservation of Charge</v>
      </c>
      <c r="Q363" s="1">
        <v>4692</v>
      </c>
      <c r="R363" s="1" t="str">
        <f t="shared" si="23"/>
        <v>2005_06</v>
      </c>
      <c r="T363" s="1"/>
      <c r="BK363" s="1">
        <v>1</v>
      </c>
    </row>
    <row r="364" spans="1:77" x14ac:dyDescent="0.2">
      <c r="A364" t="s">
        <v>288</v>
      </c>
      <c r="B364" s="1">
        <v>2005</v>
      </c>
      <c r="C364" s="1">
        <v>6</v>
      </c>
      <c r="D364" s="1">
        <v>32</v>
      </c>
      <c r="E364" t="s">
        <v>13</v>
      </c>
      <c r="G364" s="1">
        <v>3</v>
      </c>
      <c r="H364" s="11" t="str">
        <f t="shared" si="22"/>
        <v>2005_06_032.gif</v>
      </c>
      <c r="I364"/>
      <c r="J364"/>
      <c r="L364" s="1" t="b">
        <v>0</v>
      </c>
      <c r="M364" s="1">
        <v>0</v>
      </c>
      <c r="N364" s="1" t="s">
        <v>601</v>
      </c>
      <c r="O364" s="1">
        <v>363</v>
      </c>
      <c r="P364" s="12" t="str">
        <f t="shared" si="24"/>
        <v>Energy/Frequency of Photon</v>
      </c>
      <c r="Q364" s="1">
        <v>4693</v>
      </c>
      <c r="R364" s="1" t="str">
        <f t="shared" si="23"/>
        <v>2005_06</v>
      </c>
      <c r="T364" s="1"/>
      <c r="BU364" s="1">
        <v>1</v>
      </c>
    </row>
    <row r="365" spans="1:77" x14ac:dyDescent="0.2">
      <c r="A365" t="s">
        <v>289</v>
      </c>
      <c r="B365" s="1">
        <v>2005</v>
      </c>
      <c r="C365" s="1">
        <v>6</v>
      </c>
      <c r="D365" s="1">
        <v>33</v>
      </c>
      <c r="E365" t="s">
        <v>13</v>
      </c>
      <c r="G365" s="1">
        <v>4</v>
      </c>
      <c r="H365" s="11" t="str">
        <f t="shared" si="22"/>
        <v>2005_06_033.gif</v>
      </c>
      <c r="I365"/>
      <c r="J365"/>
      <c r="L365" s="1" t="b">
        <v>0</v>
      </c>
      <c r="M365" s="1">
        <v>0</v>
      </c>
      <c r="N365" s="1" t="s">
        <v>601</v>
      </c>
      <c r="O365" s="1">
        <v>364</v>
      </c>
      <c r="P365" s="12" t="str">
        <f t="shared" si="24"/>
        <v>Particle Physics</v>
      </c>
      <c r="Q365" s="1">
        <v>4694</v>
      </c>
      <c r="R365" s="1" t="str">
        <f t="shared" si="23"/>
        <v>2005_06</v>
      </c>
      <c r="T365" s="1"/>
      <c r="BW365" s="1">
        <v>1</v>
      </c>
    </row>
    <row r="366" spans="1:77" x14ac:dyDescent="0.2">
      <c r="A366" t="s">
        <v>290</v>
      </c>
      <c r="B366" s="1">
        <v>2005</v>
      </c>
      <c r="C366" s="1">
        <v>6</v>
      </c>
      <c r="D366" s="1">
        <v>34</v>
      </c>
      <c r="E366" t="s">
        <v>13</v>
      </c>
      <c r="G366" s="1">
        <v>1</v>
      </c>
      <c r="H366" s="11" t="str">
        <f t="shared" si="22"/>
        <v>2005_06_034.gif</v>
      </c>
      <c r="I366"/>
      <c r="J366"/>
      <c r="L366" s="1" t="b">
        <v>0</v>
      </c>
      <c r="M366" s="1">
        <v>0</v>
      </c>
      <c r="N366" s="1" t="s">
        <v>601</v>
      </c>
      <c r="O366" s="1">
        <v>365</v>
      </c>
      <c r="P366" s="12" t="str">
        <f t="shared" si="24"/>
        <v>Particle Physics</v>
      </c>
      <c r="Q366" s="1">
        <v>4695</v>
      </c>
      <c r="R366" s="1" t="str">
        <f t="shared" si="23"/>
        <v>2005_06</v>
      </c>
      <c r="T366" s="1"/>
      <c r="BW366" s="1">
        <v>1</v>
      </c>
    </row>
    <row r="367" spans="1:77" x14ac:dyDescent="0.2">
      <c r="A367" t="s">
        <v>291</v>
      </c>
      <c r="B367" s="1">
        <v>2005</v>
      </c>
      <c r="C367" s="1">
        <v>6</v>
      </c>
      <c r="D367" s="1">
        <v>35</v>
      </c>
      <c r="E367" t="s">
        <v>13</v>
      </c>
      <c r="G367" s="1">
        <v>2</v>
      </c>
      <c r="H367" s="11" t="str">
        <f t="shared" si="22"/>
        <v>2005_06_035.gif</v>
      </c>
      <c r="I367"/>
      <c r="J367"/>
      <c r="L367" s="1" t="b">
        <v>1</v>
      </c>
      <c r="M367" s="1">
        <v>4</v>
      </c>
      <c r="N367" s="1" t="s">
        <v>601</v>
      </c>
      <c r="O367" s="1">
        <v>366</v>
      </c>
      <c r="P367" s="12" t="str">
        <f t="shared" si="24"/>
        <v>Particle Physics</v>
      </c>
      <c r="Q367" s="1">
        <v>4696</v>
      </c>
      <c r="R367" s="1" t="str">
        <f t="shared" si="23"/>
        <v>2005_06</v>
      </c>
      <c r="T367" s="1"/>
      <c r="BW367" s="1">
        <v>1</v>
      </c>
    </row>
    <row r="368" spans="1:77" x14ac:dyDescent="0.2">
      <c r="A368" t="str">
        <f t="shared" ref="A368:A379" si="25">B368 &amp; "_" &amp; TEXT(C368,"00") &amp; "_" &amp; TEXT(D368,"000")</f>
        <v>2005_06_036</v>
      </c>
      <c r="B368" s="1">
        <v>2005</v>
      </c>
      <c r="C368" s="1">
        <v>6</v>
      </c>
      <c r="D368" s="1">
        <v>36</v>
      </c>
      <c r="E368" t="s">
        <v>1</v>
      </c>
      <c r="G368" s="1">
        <v>2</v>
      </c>
      <c r="H368" s="11" t="str">
        <f t="shared" si="22"/>
        <v>2005_06_036.gif</v>
      </c>
      <c r="I368"/>
      <c r="J368"/>
      <c r="L368" s="1" t="b">
        <v>0</v>
      </c>
      <c r="M368" s="1">
        <v>0</v>
      </c>
      <c r="N368" s="1" t="s">
        <v>657</v>
      </c>
      <c r="O368" s="1">
        <v>367</v>
      </c>
      <c r="P368" s="12" t="str">
        <f t="shared" si="24"/>
        <v>Estimation</v>
      </c>
      <c r="Q368" s="1">
        <v>4697</v>
      </c>
      <c r="R368" s="1" t="str">
        <f t="shared" si="23"/>
        <v>2005_06</v>
      </c>
      <c r="T368" s="1"/>
      <c r="U368" s="1">
        <v>1</v>
      </c>
    </row>
    <row r="369" spans="1:76" x14ac:dyDescent="0.2">
      <c r="A369" t="str">
        <f t="shared" si="25"/>
        <v>2005_06_037</v>
      </c>
      <c r="B369" s="1">
        <v>2005</v>
      </c>
      <c r="C369" s="1">
        <v>6</v>
      </c>
      <c r="D369" s="1">
        <v>37</v>
      </c>
      <c r="E369" t="s">
        <v>1</v>
      </c>
      <c r="G369" s="1">
        <v>4</v>
      </c>
      <c r="H369" s="11" t="str">
        <f t="shared" si="22"/>
        <v>2005_06_037.gif</v>
      </c>
      <c r="I369"/>
      <c r="J369"/>
      <c r="L369" s="1" t="b">
        <v>0</v>
      </c>
      <c r="M369" s="1">
        <v>0</v>
      </c>
      <c r="N369" s="1" t="s">
        <v>657</v>
      </c>
      <c r="O369" s="1">
        <v>368</v>
      </c>
      <c r="P369" s="12" t="str">
        <f t="shared" si="24"/>
        <v>Units</v>
      </c>
      <c r="Q369" s="1">
        <v>4698</v>
      </c>
      <c r="R369" s="1" t="str">
        <f t="shared" si="23"/>
        <v>2005_06</v>
      </c>
      <c r="T369" s="1"/>
      <c r="V369" s="1">
        <v>1</v>
      </c>
    </row>
    <row r="370" spans="1:76" x14ac:dyDescent="0.2">
      <c r="A370" t="str">
        <f t="shared" si="25"/>
        <v>2005_06_038</v>
      </c>
      <c r="B370" s="1">
        <v>2005</v>
      </c>
      <c r="C370" s="1">
        <v>6</v>
      </c>
      <c r="D370" s="1">
        <v>38</v>
      </c>
      <c r="E370" t="s">
        <v>4</v>
      </c>
      <c r="F370" t="s">
        <v>548</v>
      </c>
      <c r="G370" s="1">
        <v>2</v>
      </c>
      <c r="H370" s="11" t="str">
        <f t="shared" si="22"/>
        <v>2005_06_038.gif</v>
      </c>
      <c r="I370"/>
      <c r="J370"/>
      <c r="L370" s="1" t="b">
        <v>0</v>
      </c>
      <c r="M370" s="1">
        <v>0</v>
      </c>
      <c r="N370" s="1" t="s">
        <v>657</v>
      </c>
      <c r="O370" s="1">
        <v>369</v>
      </c>
      <c r="P370" s="12" t="str">
        <f t="shared" si="24"/>
        <v>Centripetal Motion - Calculation,Graph Interpretation</v>
      </c>
      <c r="Q370" s="1">
        <v>4699</v>
      </c>
      <c r="R370" s="1" t="str">
        <f t="shared" si="23"/>
        <v>2005_06</v>
      </c>
      <c r="T370" s="1"/>
      <c r="AM370" s="1">
        <v>1</v>
      </c>
      <c r="BX370" s="1">
        <v>1</v>
      </c>
    </row>
    <row r="371" spans="1:76" x14ac:dyDescent="0.2">
      <c r="A371" t="str">
        <f t="shared" si="25"/>
        <v>2005_06_039</v>
      </c>
      <c r="B371" s="1">
        <v>2005</v>
      </c>
      <c r="C371" s="1">
        <v>6</v>
      </c>
      <c r="D371" s="1">
        <v>39</v>
      </c>
      <c r="E371" t="s">
        <v>7</v>
      </c>
      <c r="G371" s="1">
        <v>1</v>
      </c>
      <c r="H371" s="11" t="str">
        <f t="shared" si="22"/>
        <v>2005_06_039.gif</v>
      </c>
      <c r="I371"/>
      <c r="J371"/>
      <c r="L371" s="1" t="b">
        <v>0</v>
      </c>
      <c r="M371" s="1">
        <v>0</v>
      </c>
      <c r="N371" s="1" t="s">
        <v>657</v>
      </c>
      <c r="O371" s="1">
        <v>370</v>
      </c>
      <c r="P371" s="12" t="str">
        <f t="shared" si="24"/>
        <v>PE of Spring</v>
      </c>
      <c r="Q371" s="1">
        <v>4700</v>
      </c>
      <c r="R371" s="1" t="str">
        <f t="shared" si="23"/>
        <v>2005_06</v>
      </c>
      <c r="T371" s="1"/>
      <c r="BA371" s="1">
        <v>1</v>
      </c>
    </row>
    <row r="372" spans="1:76" x14ac:dyDescent="0.2">
      <c r="A372" t="str">
        <f t="shared" si="25"/>
        <v>2005_06_040</v>
      </c>
      <c r="B372" s="1">
        <v>2005</v>
      </c>
      <c r="C372" s="1">
        <v>6</v>
      </c>
      <c r="D372" s="1">
        <v>40</v>
      </c>
      <c r="E372" t="s">
        <v>11</v>
      </c>
      <c r="G372" s="1">
        <v>3</v>
      </c>
      <c r="H372" s="11" t="str">
        <f t="shared" si="22"/>
        <v>2005_06_040.gif</v>
      </c>
      <c r="I372"/>
      <c r="J372"/>
      <c r="L372" s="1" t="b">
        <v>0</v>
      </c>
      <c r="M372" s="1">
        <v>0</v>
      </c>
      <c r="N372" s="1" t="s">
        <v>657</v>
      </c>
      <c r="O372" s="1">
        <v>371</v>
      </c>
      <c r="P372" s="12" t="str">
        <f t="shared" si="24"/>
        <v>Electrical Definitions</v>
      </c>
      <c r="Q372" s="1">
        <v>4701</v>
      </c>
      <c r="R372" s="1" t="str">
        <f t="shared" si="23"/>
        <v>2005_06</v>
      </c>
      <c r="T372" s="1"/>
      <c r="BO372" s="1">
        <v>1</v>
      </c>
    </row>
    <row r="373" spans="1:76" x14ac:dyDescent="0.2">
      <c r="A373" t="str">
        <f t="shared" si="25"/>
        <v>2005_06_041</v>
      </c>
      <c r="B373" s="1">
        <v>2005</v>
      </c>
      <c r="C373" s="1">
        <v>6</v>
      </c>
      <c r="D373" s="1">
        <v>41</v>
      </c>
      <c r="E373" t="s">
        <v>11</v>
      </c>
      <c r="G373" s="1">
        <v>2</v>
      </c>
      <c r="H373" s="11" t="str">
        <f t="shared" si="22"/>
        <v>2005_06_041.gif</v>
      </c>
      <c r="I373"/>
      <c r="J373"/>
      <c r="L373" s="1" t="b">
        <v>0</v>
      </c>
      <c r="M373" s="1">
        <v>0</v>
      </c>
      <c r="N373" s="1" t="s">
        <v>657</v>
      </c>
      <c r="O373" s="1">
        <v>372</v>
      </c>
      <c r="P373" s="12" t="str">
        <f t="shared" si="24"/>
        <v>Ohm's Law</v>
      </c>
      <c r="Q373" s="1">
        <v>4702</v>
      </c>
      <c r="R373" s="1" t="str">
        <f t="shared" si="23"/>
        <v>2005_06</v>
      </c>
      <c r="T373" s="1"/>
      <c r="BQ373" s="1">
        <v>1</v>
      </c>
    </row>
    <row r="374" spans="1:76" x14ac:dyDescent="0.2">
      <c r="A374" t="str">
        <f t="shared" si="25"/>
        <v>2005_06_042</v>
      </c>
      <c r="B374" s="1">
        <v>2005</v>
      </c>
      <c r="C374" s="1">
        <v>6</v>
      </c>
      <c r="D374" s="1">
        <v>42</v>
      </c>
      <c r="E374" t="s">
        <v>8</v>
      </c>
      <c r="F374" t="s">
        <v>9</v>
      </c>
      <c r="G374" s="1">
        <v>1</v>
      </c>
      <c r="H374" s="11" t="str">
        <f t="shared" si="22"/>
        <v>2005_06_042.gif</v>
      </c>
      <c r="I374"/>
      <c r="J374"/>
      <c r="L374" s="1" t="b">
        <v>0</v>
      </c>
      <c r="M374" s="1">
        <v>0</v>
      </c>
      <c r="N374" s="1" t="s">
        <v>657</v>
      </c>
      <c r="O374" s="1">
        <v>373</v>
      </c>
      <c r="P374" s="12" t="str">
        <f t="shared" si="24"/>
        <v>Wave Vocabulary,Light and Sound</v>
      </c>
      <c r="Q374" s="1">
        <v>4703</v>
      </c>
      <c r="R374" s="1" t="str">
        <f t="shared" si="23"/>
        <v>2005_06</v>
      </c>
      <c r="T374" s="1"/>
      <c r="BF374" s="1">
        <v>1</v>
      </c>
      <c r="BI374" s="1">
        <v>1</v>
      </c>
    </row>
    <row r="375" spans="1:76" x14ac:dyDescent="0.2">
      <c r="A375" t="str">
        <f t="shared" si="25"/>
        <v>2005_06_043</v>
      </c>
      <c r="B375" s="1">
        <v>2005</v>
      </c>
      <c r="C375" s="1">
        <v>6</v>
      </c>
      <c r="D375" s="1">
        <v>43</v>
      </c>
      <c r="E375" t="s">
        <v>13</v>
      </c>
      <c r="G375" s="1">
        <v>3</v>
      </c>
      <c r="H375" s="11" t="str">
        <f t="shared" si="22"/>
        <v>2005_06_043.gif</v>
      </c>
      <c r="I375"/>
      <c r="J375"/>
      <c r="L375" s="1" t="b">
        <v>0</v>
      </c>
      <c r="M375" s="1">
        <v>0</v>
      </c>
      <c r="N375" s="1" t="s">
        <v>657</v>
      </c>
      <c r="O375" s="1">
        <v>374</v>
      </c>
      <c r="P375" s="12" t="str">
        <f t="shared" si="24"/>
        <v>Energy/Frequency of Photon</v>
      </c>
      <c r="Q375" s="1">
        <v>4704</v>
      </c>
      <c r="R375" s="1" t="str">
        <f t="shared" si="23"/>
        <v>2005_06</v>
      </c>
      <c r="T375" s="1"/>
      <c r="BU375" s="1">
        <v>1</v>
      </c>
    </row>
    <row r="376" spans="1:76" x14ac:dyDescent="0.2">
      <c r="A376" t="str">
        <f t="shared" si="25"/>
        <v>2005_06_044</v>
      </c>
      <c r="B376" s="1">
        <v>2005</v>
      </c>
      <c r="C376" s="1">
        <v>6</v>
      </c>
      <c r="D376" s="1">
        <v>44</v>
      </c>
      <c r="E376" t="s">
        <v>11</v>
      </c>
      <c r="F376" t="s">
        <v>548</v>
      </c>
      <c r="G376" s="1">
        <v>3</v>
      </c>
      <c r="H376" s="11" t="str">
        <f t="shared" si="22"/>
        <v>2005_06_044.gif</v>
      </c>
      <c r="I376"/>
      <c r="J376"/>
      <c r="L376" s="1" t="b">
        <v>0</v>
      </c>
      <c r="M376" s="1">
        <v>0</v>
      </c>
      <c r="N376" s="1" t="s">
        <v>657</v>
      </c>
      <c r="O376" s="1">
        <v>375</v>
      </c>
      <c r="P376" s="12" t="str">
        <f t="shared" si="24"/>
        <v>Ohm's Law,Graph Interpretation</v>
      </c>
      <c r="Q376" s="1">
        <v>4705</v>
      </c>
      <c r="R376" s="1" t="str">
        <f t="shared" si="23"/>
        <v>2005_06</v>
      </c>
      <c r="T376" s="1"/>
      <c r="BQ376" s="1">
        <v>1</v>
      </c>
      <c r="BX376" s="1">
        <v>1</v>
      </c>
    </row>
    <row r="377" spans="1:76" x14ac:dyDescent="0.2">
      <c r="A377" t="str">
        <f t="shared" si="25"/>
        <v>2005_06_045</v>
      </c>
      <c r="B377" s="1">
        <v>2005</v>
      </c>
      <c r="C377" s="1">
        <v>6</v>
      </c>
      <c r="D377" s="1">
        <v>45</v>
      </c>
      <c r="E377" t="s">
        <v>5</v>
      </c>
      <c r="G377" s="1">
        <v>4</v>
      </c>
      <c r="H377" s="11" t="str">
        <f t="shared" si="22"/>
        <v>2005_06_045.gif</v>
      </c>
      <c r="I377"/>
      <c r="J377"/>
      <c r="L377" s="1" t="b">
        <v>0</v>
      </c>
      <c r="M377" s="1">
        <v>0</v>
      </c>
      <c r="N377" s="1" t="s">
        <v>657</v>
      </c>
      <c r="O377" s="1">
        <v>376</v>
      </c>
      <c r="P377" s="12" t="str">
        <f t="shared" si="24"/>
        <v>Inclined Plane</v>
      </c>
      <c r="Q377" s="1">
        <v>4706</v>
      </c>
      <c r="R377" s="1" t="str">
        <f t="shared" si="23"/>
        <v>2005_06</v>
      </c>
      <c r="T377" s="1"/>
      <c r="AO377" s="1">
        <v>1</v>
      </c>
    </row>
    <row r="378" spans="1:76" x14ac:dyDescent="0.2">
      <c r="A378" t="str">
        <f t="shared" si="25"/>
        <v>2005_06_046</v>
      </c>
      <c r="B378" s="1">
        <v>2005</v>
      </c>
      <c r="C378" s="1">
        <v>6</v>
      </c>
      <c r="D378" s="1">
        <v>46</v>
      </c>
      <c r="E378" t="s">
        <v>4</v>
      </c>
      <c r="G378" s="1">
        <v>1</v>
      </c>
      <c r="H378" s="11" t="str">
        <f t="shared" si="22"/>
        <v>2005_06_046.gif</v>
      </c>
      <c r="I378"/>
      <c r="J378"/>
      <c r="L378" s="1" t="b">
        <v>0</v>
      </c>
      <c r="M378" s="1">
        <v>0</v>
      </c>
      <c r="N378" s="1" t="s">
        <v>657</v>
      </c>
      <c r="O378" s="1">
        <v>377</v>
      </c>
      <c r="P378" s="12" t="str">
        <f t="shared" si="24"/>
        <v>Centripetal Motion - Direction F,A,V</v>
      </c>
      <c r="Q378" s="1">
        <v>4707</v>
      </c>
      <c r="R378" s="1" t="str">
        <f t="shared" si="23"/>
        <v>2005_06</v>
      </c>
      <c r="T378" s="1"/>
      <c r="AL378" s="1">
        <v>1</v>
      </c>
    </row>
    <row r="379" spans="1:76" x14ac:dyDescent="0.2">
      <c r="A379" t="str">
        <f t="shared" si="25"/>
        <v>2005_06_047</v>
      </c>
      <c r="B379" s="1">
        <v>2005</v>
      </c>
      <c r="C379" s="1">
        <v>6</v>
      </c>
      <c r="D379" s="1">
        <v>47</v>
      </c>
      <c r="E379" t="s">
        <v>10</v>
      </c>
      <c r="F379" t="s">
        <v>548</v>
      </c>
      <c r="G379" s="1">
        <v>4</v>
      </c>
      <c r="H379" s="11" t="str">
        <f t="shared" si="22"/>
        <v>2005_06_047.gif</v>
      </c>
      <c r="I379"/>
      <c r="J379"/>
      <c r="L379" s="1" t="b">
        <v>0</v>
      </c>
      <c r="M379" s="1">
        <v>0</v>
      </c>
      <c r="N379" s="1" t="s">
        <v>657</v>
      </c>
      <c r="O379" s="1">
        <v>378</v>
      </c>
      <c r="P379" s="12" t="str">
        <f t="shared" si="24"/>
        <v>Coulomb's Law,Graph Interpretation</v>
      </c>
      <c r="Q379" s="1">
        <v>4708</v>
      </c>
      <c r="R379" s="1" t="str">
        <f t="shared" si="23"/>
        <v>2005_06</v>
      </c>
      <c r="T379" s="1"/>
      <c r="BL379" s="1">
        <v>1</v>
      </c>
      <c r="BX379" s="1">
        <v>1</v>
      </c>
    </row>
    <row r="380" spans="1:76" x14ac:dyDescent="0.2">
      <c r="A380" t="s">
        <v>292</v>
      </c>
      <c r="B380" s="1">
        <v>2006</v>
      </c>
      <c r="C380" s="1">
        <v>1</v>
      </c>
      <c r="D380" s="1">
        <v>1</v>
      </c>
      <c r="E380" t="s">
        <v>2</v>
      </c>
      <c r="G380" s="1">
        <v>2</v>
      </c>
      <c r="H380" s="11" t="str">
        <f t="shared" si="22"/>
        <v>2006_01_001.gif</v>
      </c>
      <c r="I380"/>
      <c r="J380"/>
      <c r="L380" s="1" t="b">
        <v>0</v>
      </c>
      <c r="M380" s="1">
        <v>0</v>
      </c>
      <c r="N380" s="1" t="s">
        <v>601</v>
      </c>
      <c r="O380" s="1">
        <v>379</v>
      </c>
      <c r="P380" s="12" t="str">
        <f t="shared" si="24"/>
        <v>Horizontal Constant Acceleration Problems</v>
      </c>
      <c r="Q380" s="1">
        <v>4734</v>
      </c>
      <c r="R380" s="1" t="str">
        <f t="shared" si="23"/>
        <v>2006_01</v>
      </c>
      <c r="T380" s="1"/>
      <c r="AB380" s="1">
        <v>1</v>
      </c>
    </row>
    <row r="381" spans="1:76" x14ac:dyDescent="0.2">
      <c r="A381" t="s">
        <v>293</v>
      </c>
      <c r="B381" s="1">
        <v>2006</v>
      </c>
      <c r="C381" s="1">
        <v>1</v>
      </c>
      <c r="D381" s="1">
        <v>2</v>
      </c>
      <c r="E381" t="s">
        <v>2</v>
      </c>
      <c r="G381" s="1">
        <v>1</v>
      </c>
      <c r="H381" s="11" t="str">
        <f t="shared" si="22"/>
        <v>2006_01_002.gif</v>
      </c>
      <c r="I381"/>
      <c r="J381"/>
      <c r="L381" s="1" t="b">
        <v>0</v>
      </c>
      <c r="M381" s="1">
        <v>0</v>
      </c>
      <c r="N381" s="1" t="s">
        <v>601</v>
      </c>
      <c r="O381" s="1">
        <v>380</v>
      </c>
      <c r="P381" s="12" t="str">
        <f t="shared" si="24"/>
        <v>Vertical Constant Acceleration Problems</v>
      </c>
      <c r="Q381" s="1">
        <v>4735</v>
      </c>
      <c r="R381" s="1" t="str">
        <f t="shared" si="23"/>
        <v>2006_01</v>
      </c>
      <c r="T381" s="1"/>
      <c r="AC381" s="1">
        <v>1</v>
      </c>
    </row>
    <row r="382" spans="1:76" x14ac:dyDescent="0.2">
      <c r="A382" t="s">
        <v>294</v>
      </c>
      <c r="B382" s="1">
        <v>2006</v>
      </c>
      <c r="C382" s="1">
        <v>1</v>
      </c>
      <c r="D382" s="1">
        <v>3</v>
      </c>
      <c r="E382" t="s">
        <v>3</v>
      </c>
      <c r="G382" s="1">
        <v>3</v>
      </c>
      <c r="H382" s="11" t="str">
        <f t="shared" si="22"/>
        <v>2006_01_003.gif</v>
      </c>
      <c r="I382"/>
      <c r="J382"/>
      <c r="L382" s="1" t="b">
        <v>0</v>
      </c>
      <c r="M382" s="1">
        <v>0</v>
      </c>
      <c r="N382" s="1" t="s">
        <v>601</v>
      </c>
      <c r="O382" s="1">
        <v>381</v>
      </c>
      <c r="P382" s="12" t="str">
        <f t="shared" si="24"/>
        <v>Vector vs. Scalar</v>
      </c>
      <c r="Q382" s="1">
        <v>4736</v>
      </c>
      <c r="R382" s="1" t="str">
        <f t="shared" si="23"/>
        <v>2006_01</v>
      </c>
      <c r="T382" s="1"/>
      <c r="AF382" s="1">
        <v>1</v>
      </c>
    </row>
    <row r="383" spans="1:76" x14ac:dyDescent="0.2">
      <c r="A383" t="s">
        <v>295</v>
      </c>
      <c r="B383" s="1">
        <v>2006</v>
      </c>
      <c r="C383" s="1">
        <v>1</v>
      </c>
      <c r="D383" s="1">
        <v>4</v>
      </c>
      <c r="E383" t="s">
        <v>3</v>
      </c>
      <c r="F383" t="s">
        <v>4</v>
      </c>
      <c r="G383" s="1">
        <v>3</v>
      </c>
      <c r="H383" s="11" t="str">
        <f t="shared" si="22"/>
        <v>2006_01_004.gif</v>
      </c>
      <c r="I383"/>
      <c r="J383"/>
      <c r="L383" s="1" t="b">
        <v>0</v>
      </c>
      <c r="M383" s="1">
        <v>0</v>
      </c>
      <c r="N383" s="1" t="s">
        <v>601</v>
      </c>
      <c r="O383" s="1">
        <v>382</v>
      </c>
      <c r="P383" s="12" t="str">
        <f t="shared" si="24"/>
        <v>Vector Components,Projectiles at an Angle</v>
      </c>
      <c r="Q383" s="1">
        <v>4737</v>
      </c>
      <c r="R383" s="1" t="str">
        <f t="shared" si="23"/>
        <v>2006_01</v>
      </c>
      <c r="T383" s="1"/>
      <c r="AE383" s="1">
        <v>1</v>
      </c>
      <c r="AH383" s="1">
        <v>1</v>
      </c>
    </row>
    <row r="384" spans="1:76" x14ac:dyDescent="0.2">
      <c r="A384" t="s">
        <v>296</v>
      </c>
      <c r="B384" s="1">
        <v>2006</v>
      </c>
      <c r="C384" s="1">
        <v>1</v>
      </c>
      <c r="D384" s="1">
        <v>5</v>
      </c>
      <c r="E384" t="s">
        <v>6</v>
      </c>
      <c r="G384" s="1">
        <v>2</v>
      </c>
      <c r="H384" s="11" t="str">
        <f t="shared" si="22"/>
        <v>2006_01_005.gif</v>
      </c>
      <c r="I384"/>
      <c r="J384"/>
      <c r="L384" s="1" t="b">
        <v>0</v>
      </c>
      <c r="M384" s="1">
        <v>0</v>
      </c>
      <c r="N384" s="1" t="s">
        <v>601</v>
      </c>
      <c r="O384" s="1">
        <v>383</v>
      </c>
      <c r="P384" s="12" t="str">
        <f t="shared" si="24"/>
        <v>Impulse</v>
      </c>
      <c r="Q384" s="1">
        <v>4738</v>
      </c>
      <c r="R384" s="1" t="str">
        <f t="shared" si="23"/>
        <v>2006_01</v>
      </c>
      <c r="T384" s="1"/>
      <c r="AV384" s="1">
        <v>1</v>
      </c>
    </row>
    <row r="385" spans="1:77" x14ac:dyDescent="0.2">
      <c r="A385" t="s">
        <v>297</v>
      </c>
      <c r="B385" s="1">
        <v>2006</v>
      </c>
      <c r="C385" s="1">
        <v>1</v>
      </c>
      <c r="D385" s="1">
        <v>6</v>
      </c>
      <c r="E385" t="s">
        <v>5</v>
      </c>
      <c r="G385" s="1">
        <v>3</v>
      </c>
      <c r="H385" s="11" t="str">
        <f t="shared" si="22"/>
        <v>2006_01_006.gif</v>
      </c>
      <c r="I385"/>
      <c r="J385"/>
      <c r="L385" s="1" t="b">
        <v>0</v>
      </c>
      <c r="M385" s="1">
        <v>0</v>
      </c>
      <c r="N385" s="1" t="s">
        <v>601</v>
      </c>
      <c r="O385" s="1">
        <v>384</v>
      </c>
      <c r="P385" s="12" t="str">
        <f t="shared" si="24"/>
        <v>Weight and Mass</v>
      </c>
      <c r="Q385" s="1">
        <v>4739</v>
      </c>
      <c r="R385" s="1" t="str">
        <f t="shared" si="23"/>
        <v>2006_01</v>
      </c>
      <c r="T385" s="1"/>
      <c r="AT385" s="1">
        <v>1</v>
      </c>
    </row>
    <row r="386" spans="1:77" x14ac:dyDescent="0.2">
      <c r="A386" t="s">
        <v>298</v>
      </c>
      <c r="B386" s="1">
        <v>2006</v>
      </c>
      <c r="C386" s="1">
        <v>1</v>
      </c>
      <c r="D386" s="1">
        <v>7</v>
      </c>
      <c r="E386" t="s">
        <v>5</v>
      </c>
      <c r="G386" s="1">
        <v>3</v>
      </c>
      <c r="H386" s="11" t="str">
        <f t="shared" ref="H386:H449" si="26">HYPERLINK(A386&amp;".gif")</f>
        <v>2006_01_007.gif</v>
      </c>
      <c r="I386"/>
      <c r="J386"/>
      <c r="L386" s="1" t="b">
        <v>0</v>
      </c>
      <c r="M386" s="1">
        <v>0</v>
      </c>
      <c r="N386" s="1" t="s">
        <v>601</v>
      </c>
      <c r="O386" s="1">
        <v>385</v>
      </c>
      <c r="P386" s="12" t="str">
        <f t="shared" si="24"/>
        <v>Newton's 1st Law (Inertia)</v>
      </c>
      <c r="Q386" s="1">
        <v>4740</v>
      </c>
      <c r="R386" s="1" t="str">
        <f t="shared" si="23"/>
        <v>2006_01</v>
      </c>
      <c r="T386" s="1"/>
      <c r="AR386" s="1">
        <v>1</v>
      </c>
    </row>
    <row r="387" spans="1:77" x14ac:dyDescent="0.2">
      <c r="A387" t="s">
        <v>299</v>
      </c>
      <c r="B387" s="1">
        <v>2006</v>
      </c>
      <c r="C387" s="1">
        <v>1</v>
      </c>
      <c r="D387" s="1">
        <v>8</v>
      </c>
      <c r="E387" t="s">
        <v>5</v>
      </c>
      <c r="G387" s="1">
        <v>1</v>
      </c>
      <c r="H387" s="11" t="str">
        <f t="shared" si="26"/>
        <v>2006_01_008.gif</v>
      </c>
      <c r="I387"/>
      <c r="J387"/>
      <c r="L387" s="1" t="b">
        <v>0</v>
      </c>
      <c r="M387" s="1">
        <v>0</v>
      </c>
      <c r="N387" s="1" t="s">
        <v>601</v>
      </c>
      <c r="O387" s="1">
        <v>386</v>
      </c>
      <c r="P387" s="12" t="str">
        <f t="shared" si="24"/>
        <v>Newton's 1st Law (Inertia)</v>
      </c>
      <c r="Q387" s="1">
        <v>4741</v>
      </c>
      <c r="R387" s="1" t="str">
        <f t="shared" ref="R387:R450" si="27">B387&amp;"_"&amp;TEXT(C387,"00")</f>
        <v>2006_01</v>
      </c>
      <c r="T387" s="1"/>
      <c r="AR387" s="1">
        <v>1</v>
      </c>
    </row>
    <row r="388" spans="1:77" x14ac:dyDescent="0.2">
      <c r="A388" t="s">
        <v>300</v>
      </c>
      <c r="B388" s="1">
        <v>2006</v>
      </c>
      <c r="C388" s="1">
        <v>1</v>
      </c>
      <c r="D388" s="1">
        <v>9</v>
      </c>
      <c r="E388" t="s">
        <v>5</v>
      </c>
      <c r="G388" s="1">
        <v>4</v>
      </c>
      <c r="H388" s="11" t="str">
        <f t="shared" si="26"/>
        <v>2006_01_009.gif</v>
      </c>
      <c r="I388"/>
      <c r="J388"/>
      <c r="L388" s="1" t="b">
        <v>0</v>
      </c>
      <c r="M388" s="1">
        <v>0</v>
      </c>
      <c r="N388" s="1" t="s">
        <v>601</v>
      </c>
      <c r="O388" s="1">
        <v>387</v>
      </c>
      <c r="P388" s="12" t="str">
        <f t="shared" si="24"/>
        <v>Hooke's Law</v>
      </c>
      <c r="Q388" s="1">
        <v>4742</v>
      </c>
      <c r="R388" s="1" t="str">
        <f t="shared" si="27"/>
        <v>2006_01</v>
      </c>
      <c r="T388" s="1"/>
      <c r="AP388" s="1">
        <v>1</v>
      </c>
    </row>
    <row r="389" spans="1:77" x14ac:dyDescent="0.2">
      <c r="A389" t="s">
        <v>301</v>
      </c>
      <c r="B389" s="1">
        <v>2006</v>
      </c>
      <c r="C389" s="1">
        <v>1</v>
      </c>
      <c r="D389" s="1">
        <v>10</v>
      </c>
      <c r="E389" t="s">
        <v>5</v>
      </c>
      <c r="G389" s="1">
        <v>1</v>
      </c>
      <c r="H389" s="11" t="str">
        <f t="shared" si="26"/>
        <v>2006_01_010.gif</v>
      </c>
      <c r="I389"/>
      <c r="J389"/>
      <c r="L389" s="1" t="b">
        <v>0</v>
      </c>
      <c r="M389" s="1">
        <v>0</v>
      </c>
      <c r="N389" s="1" t="s">
        <v>601</v>
      </c>
      <c r="O389" s="1">
        <v>388</v>
      </c>
      <c r="P389" s="12" t="str">
        <f t="shared" si="24"/>
        <v>Friction</v>
      </c>
      <c r="Q389" s="1">
        <v>4743</v>
      </c>
      <c r="R389" s="1" t="str">
        <f t="shared" si="27"/>
        <v>2006_01</v>
      </c>
      <c r="T389" s="1"/>
      <c r="AN389" s="1">
        <v>1</v>
      </c>
    </row>
    <row r="390" spans="1:77" x14ac:dyDescent="0.2">
      <c r="A390" t="s">
        <v>302</v>
      </c>
      <c r="B390" s="1">
        <v>2006</v>
      </c>
      <c r="C390" s="1">
        <v>1</v>
      </c>
      <c r="D390" s="1">
        <v>11</v>
      </c>
      <c r="E390" t="s">
        <v>6</v>
      </c>
      <c r="G390" s="1">
        <v>2</v>
      </c>
      <c r="H390" s="11" t="str">
        <f t="shared" si="26"/>
        <v>2006_01_011.gif</v>
      </c>
      <c r="I390"/>
      <c r="J390"/>
      <c r="L390" s="1" t="b">
        <v>0</v>
      </c>
      <c r="M390" s="1">
        <v>0</v>
      </c>
      <c r="N390" s="1" t="s">
        <v>601</v>
      </c>
      <c r="O390" s="1">
        <v>389</v>
      </c>
      <c r="P390" s="12" t="str">
        <f t="shared" si="24"/>
        <v>Newton's 3rd Law (Equal But Opposite)</v>
      </c>
      <c r="Q390" s="1">
        <v>4744</v>
      </c>
      <c r="R390" s="1" t="str">
        <f t="shared" si="27"/>
        <v>2006_01</v>
      </c>
      <c r="T390" s="1"/>
      <c r="AW390" s="1">
        <v>1</v>
      </c>
    </row>
    <row r="391" spans="1:77" x14ac:dyDescent="0.2">
      <c r="A391" t="s">
        <v>303</v>
      </c>
      <c r="B391" s="1">
        <v>2006</v>
      </c>
      <c r="C391" s="1">
        <v>1</v>
      </c>
      <c r="D391" s="1">
        <v>12</v>
      </c>
      <c r="E391" t="s">
        <v>2</v>
      </c>
      <c r="G391" s="1">
        <v>1</v>
      </c>
      <c r="H391" s="11" t="str">
        <f t="shared" si="26"/>
        <v>2006_01_012.gif</v>
      </c>
      <c r="I391"/>
      <c r="J391"/>
      <c r="L391" s="1" t="b">
        <v>0</v>
      </c>
      <c r="M391" s="1">
        <v>0</v>
      </c>
      <c r="N391" s="1" t="s">
        <v>601</v>
      </c>
      <c r="O391" s="1">
        <v>390</v>
      </c>
      <c r="P391" s="12" t="str">
        <f t="shared" si="24"/>
        <v>DT/VT Graphs</v>
      </c>
      <c r="Q391" s="1">
        <v>4745</v>
      </c>
      <c r="R391" s="1" t="str">
        <f t="shared" si="27"/>
        <v>2006_01</v>
      </c>
      <c r="T391" s="1"/>
      <c r="W391" s="1">
        <v>1</v>
      </c>
    </row>
    <row r="392" spans="1:77" x14ac:dyDescent="0.2">
      <c r="A392" t="s">
        <v>304</v>
      </c>
      <c r="B392" s="1">
        <v>2006</v>
      </c>
      <c r="C392" s="1">
        <v>1</v>
      </c>
      <c r="D392" s="1">
        <v>13</v>
      </c>
      <c r="E392" t="s">
        <v>5</v>
      </c>
      <c r="F392" t="s">
        <v>548</v>
      </c>
      <c r="G392" s="1">
        <v>3</v>
      </c>
      <c r="H392" s="11" t="str">
        <f t="shared" si="26"/>
        <v>2006_01_013.gif</v>
      </c>
      <c r="I392"/>
      <c r="J392"/>
      <c r="L392" s="1" t="b">
        <v>0</v>
      </c>
      <c r="M392" s="1">
        <v>0</v>
      </c>
      <c r="N392" s="1" t="s">
        <v>601</v>
      </c>
      <c r="O392" s="1">
        <v>391</v>
      </c>
      <c r="P392" s="12" t="str">
        <f t="shared" si="24"/>
        <v>Law of Gravity,Mathematical Relationships (Numberless Problems)</v>
      </c>
      <c r="Q392" s="1">
        <v>4746</v>
      </c>
      <c r="R392" s="1" t="str">
        <f t="shared" si="27"/>
        <v>2006_01</v>
      </c>
      <c r="T392" s="1"/>
      <c r="AQ392" s="1">
        <v>1</v>
      </c>
      <c r="BY392" s="1">
        <v>1</v>
      </c>
    </row>
    <row r="393" spans="1:77" x14ac:dyDescent="0.2">
      <c r="A393" t="s">
        <v>305</v>
      </c>
      <c r="B393" s="1">
        <v>2006</v>
      </c>
      <c r="C393" s="1">
        <v>1</v>
      </c>
      <c r="D393" s="1">
        <v>14</v>
      </c>
      <c r="E393" t="s">
        <v>4</v>
      </c>
      <c r="G393" s="1">
        <v>3</v>
      </c>
      <c r="H393" s="11" t="str">
        <f t="shared" si="26"/>
        <v>2006_01_014.gif</v>
      </c>
      <c r="I393"/>
      <c r="J393"/>
      <c r="L393" s="1" t="b">
        <v>0</v>
      </c>
      <c r="M393" s="1">
        <v>0</v>
      </c>
      <c r="N393" s="1" t="s">
        <v>601</v>
      </c>
      <c r="O393" s="1">
        <v>392</v>
      </c>
      <c r="P393" s="12" t="str">
        <f t="shared" si="24"/>
        <v>Centripetal Motion - Calculation</v>
      </c>
      <c r="Q393" s="1">
        <v>4747</v>
      </c>
      <c r="R393" s="1" t="str">
        <f t="shared" si="27"/>
        <v>2006_01</v>
      </c>
      <c r="T393" s="1"/>
      <c r="AM393" s="1">
        <v>1</v>
      </c>
    </row>
    <row r="394" spans="1:77" x14ac:dyDescent="0.2">
      <c r="A394" t="s">
        <v>306</v>
      </c>
      <c r="B394" s="1">
        <v>2006</v>
      </c>
      <c r="C394" s="1">
        <v>1</v>
      </c>
      <c r="D394" s="1">
        <v>15</v>
      </c>
      <c r="E394" t="s">
        <v>7</v>
      </c>
      <c r="G394" s="1">
        <v>3</v>
      </c>
      <c r="H394" s="11" t="str">
        <f t="shared" si="26"/>
        <v>2006_01_015.gif</v>
      </c>
      <c r="I394"/>
      <c r="J394"/>
      <c r="L394" s="1" t="b">
        <v>0</v>
      </c>
      <c r="M394" s="1">
        <v>0</v>
      </c>
      <c r="N394" s="1" t="s">
        <v>601</v>
      </c>
      <c r="O394" s="1">
        <v>393</v>
      </c>
      <c r="P394" s="12" t="str">
        <f t="shared" si="24"/>
        <v>Kinetic Energy</v>
      </c>
      <c r="Q394" s="1">
        <v>4748</v>
      </c>
      <c r="R394" s="1" t="str">
        <f t="shared" si="27"/>
        <v>2006_01</v>
      </c>
      <c r="T394" s="1"/>
      <c r="AZ394" s="1">
        <v>1</v>
      </c>
    </row>
    <row r="395" spans="1:77" x14ac:dyDescent="0.2">
      <c r="A395" t="s">
        <v>307</v>
      </c>
      <c r="B395" s="1">
        <v>2006</v>
      </c>
      <c r="C395" s="1">
        <v>1</v>
      </c>
      <c r="D395" s="1">
        <v>16</v>
      </c>
      <c r="E395" t="s">
        <v>7</v>
      </c>
      <c r="G395" s="1">
        <v>2</v>
      </c>
      <c r="H395" s="11" t="str">
        <f t="shared" si="26"/>
        <v>2006_01_016.gif</v>
      </c>
      <c r="I395"/>
      <c r="J395"/>
      <c r="L395" s="1" t="b">
        <v>0</v>
      </c>
      <c r="M395" s="1">
        <v>0</v>
      </c>
      <c r="N395" s="1" t="s">
        <v>601</v>
      </c>
      <c r="O395" s="1">
        <v>394</v>
      </c>
      <c r="P395" s="12" t="str">
        <f t="shared" ref="P395:P458" si="28">concatenateif(U395:DI395,1,$U$1:$DI$1)</f>
        <v>Gravitational PE,Work/Power</v>
      </c>
      <c r="Q395" s="1">
        <v>4749</v>
      </c>
      <c r="R395" s="1" t="str">
        <f t="shared" si="27"/>
        <v>2006_01</v>
      </c>
      <c r="T395" s="1"/>
      <c r="AY395" s="1">
        <v>1</v>
      </c>
      <c r="BB395" s="1">
        <v>1</v>
      </c>
    </row>
    <row r="396" spans="1:77" x14ac:dyDescent="0.2">
      <c r="A396" t="s">
        <v>308</v>
      </c>
      <c r="B396" s="1">
        <v>2006</v>
      </c>
      <c r="C396" s="1">
        <v>1</v>
      </c>
      <c r="D396" s="1">
        <v>17</v>
      </c>
      <c r="E396" t="s">
        <v>7</v>
      </c>
      <c r="G396" s="1">
        <v>1</v>
      </c>
      <c r="H396" s="11" t="str">
        <f t="shared" si="26"/>
        <v>2006_01_017.gif</v>
      </c>
      <c r="I396"/>
      <c r="J396"/>
      <c r="L396" s="1" t="b">
        <v>0</v>
      </c>
      <c r="M396" s="1">
        <v>0</v>
      </c>
      <c r="N396" s="1" t="s">
        <v>601</v>
      </c>
      <c r="O396" s="1">
        <v>395</v>
      </c>
      <c r="P396" s="12" t="str">
        <f t="shared" si="28"/>
        <v>PE of Spring</v>
      </c>
      <c r="Q396" s="1">
        <v>4750</v>
      </c>
      <c r="R396" s="1" t="str">
        <f t="shared" si="27"/>
        <v>2006_01</v>
      </c>
      <c r="T396" s="1"/>
      <c r="BA396" s="1">
        <v>1</v>
      </c>
    </row>
    <row r="397" spans="1:77" x14ac:dyDescent="0.2">
      <c r="A397" t="s">
        <v>309</v>
      </c>
      <c r="B397" s="1">
        <v>2006</v>
      </c>
      <c r="C397" s="1">
        <v>1</v>
      </c>
      <c r="D397" s="1">
        <v>18</v>
      </c>
      <c r="E397" t="s">
        <v>7</v>
      </c>
      <c r="G397" s="1">
        <v>3</v>
      </c>
      <c r="H397" s="11" t="str">
        <f t="shared" si="26"/>
        <v>2006_01_018.gif</v>
      </c>
      <c r="I397"/>
      <c r="J397"/>
      <c r="L397" s="1" t="b">
        <v>0</v>
      </c>
      <c r="M397" s="1">
        <v>0</v>
      </c>
      <c r="N397" s="1" t="s">
        <v>601</v>
      </c>
      <c r="O397" s="1">
        <v>396</v>
      </c>
      <c r="P397" s="12" t="str">
        <f t="shared" si="28"/>
        <v>Gravitational PE</v>
      </c>
      <c r="Q397" s="1">
        <v>4751</v>
      </c>
      <c r="R397" s="1" t="str">
        <f t="shared" si="27"/>
        <v>2006_01</v>
      </c>
      <c r="T397" s="1"/>
      <c r="AY397" s="1">
        <v>1</v>
      </c>
    </row>
    <row r="398" spans="1:77" x14ac:dyDescent="0.2">
      <c r="A398" t="s">
        <v>310</v>
      </c>
      <c r="B398" s="1">
        <v>2006</v>
      </c>
      <c r="C398" s="1">
        <v>1</v>
      </c>
      <c r="D398" s="1">
        <v>19</v>
      </c>
      <c r="E398" t="s">
        <v>7</v>
      </c>
      <c r="G398" s="1">
        <v>4</v>
      </c>
      <c r="H398" s="11" t="str">
        <f t="shared" si="26"/>
        <v>2006_01_019.gif</v>
      </c>
      <c r="I398"/>
      <c r="J398"/>
      <c r="L398" s="1" t="b">
        <v>0</v>
      </c>
      <c r="M398" s="1">
        <v>0</v>
      </c>
      <c r="N398" s="1" t="s">
        <v>601</v>
      </c>
      <c r="O398" s="1">
        <v>397</v>
      </c>
      <c r="P398" s="12" t="str">
        <f t="shared" si="28"/>
        <v>Conservation of Energy,Gravitational PE</v>
      </c>
      <c r="Q398" s="1">
        <v>4752</v>
      </c>
      <c r="R398" s="1" t="str">
        <f t="shared" si="27"/>
        <v>2006_01</v>
      </c>
      <c r="T398" s="1"/>
      <c r="AX398" s="1">
        <v>1</v>
      </c>
      <c r="AY398" s="1">
        <v>1</v>
      </c>
    </row>
    <row r="399" spans="1:77" x14ac:dyDescent="0.2">
      <c r="A399" t="s">
        <v>311</v>
      </c>
      <c r="B399" s="1">
        <v>2006</v>
      </c>
      <c r="C399" s="1">
        <v>1</v>
      </c>
      <c r="D399" s="1">
        <v>20</v>
      </c>
      <c r="E399" t="s">
        <v>2</v>
      </c>
      <c r="G399" s="1">
        <v>2</v>
      </c>
      <c r="H399" s="11" t="str">
        <f t="shared" si="26"/>
        <v>2006_01_020.gif</v>
      </c>
      <c r="I399"/>
      <c r="J399"/>
      <c r="L399" s="1" t="b">
        <v>0</v>
      </c>
      <c r="M399" s="1">
        <v>0</v>
      </c>
      <c r="N399" s="1" t="s">
        <v>601</v>
      </c>
      <c r="O399" s="1">
        <v>398</v>
      </c>
      <c r="P399" s="12" t="str">
        <f t="shared" si="28"/>
        <v>Vertical Constant Acceleration Problems</v>
      </c>
      <c r="Q399" s="1">
        <v>4753</v>
      </c>
      <c r="R399" s="1" t="str">
        <f t="shared" si="27"/>
        <v>2006_01</v>
      </c>
      <c r="T399" s="1"/>
      <c r="AC399" s="1">
        <v>1</v>
      </c>
    </row>
    <row r="400" spans="1:77" x14ac:dyDescent="0.2">
      <c r="A400" t="s">
        <v>312</v>
      </c>
      <c r="B400" s="1">
        <v>2006</v>
      </c>
      <c r="C400" s="1">
        <v>1</v>
      </c>
      <c r="D400" s="1">
        <v>21</v>
      </c>
      <c r="E400" t="s">
        <v>7</v>
      </c>
      <c r="G400" s="1">
        <v>1</v>
      </c>
      <c r="H400" s="11" t="str">
        <f t="shared" si="26"/>
        <v>2006_01_021.gif</v>
      </c>
      <c r="I400"/>
      <c r="J400"/>
      <c r="L400" s="1" t="b">
        <v>0</v>
      </c>
      <c r="M400" s="1">
        <v>0</v>
      </c>
      <c r="N400" s="1" t="s">
        <v>601</v>
      </c>
      <c r="O400" s="1">
        <v>399</v>
      </c>
      <c r="P400" s="12" t="str">
        <f t="shared" si="28"/>
        <v>Work/Power</v>
      </c>
      <c r="Q400" s="1">
        <v>4754</v>
      </c>
      <c r="R400" s="1" t="str">
        <f t="shared" si="27"/>
        <v>2006_01</v>
      </c>
      <c r="T400" s="1"/>
      <c r="BB400" s="1">
        <v>1</v>
      </c>
    </row>
    <row r="401" spans="1:76" x14ac:dyDescent="0.2">
      <c r="A401" t="s">
        <v>313</v>
      </c>
      <c r="B401" s="1">
        <v>2006</v>
      </c>
      <c r="C401" s="1">
        <v>1</v>
      </c>
      <c r="D401" s="1">
        <v>22</v>
      </c>
      <c r="E401" t="s">
        <v>11</v>
      </c>
      <c r="F401" t="s">
        <v>548</v>
      </c>
      <c r="G401" s="1">
        <v>2</v>
      </c>
      <c r="H401" s="11" t="str">
        <f t="shared" si="26"/>
        <v>2006_01_022.gif</v>
      </c>
      <c r="I401"/>
      <c r="J401"/>
      <c r="L401" s="1" t="b">
        <v>0</v>
      </c>
      <c r="M401" s="1">
        <v>0</v>
      </c>
      <c r="N401" s="1" t="s">
        <v>601</v>
      </c>
      <c r="O401" s="1">
        <v>400</v>
      </c>
      <c r="P401" s="12" t="str">
        <f t="shared" si="28"/>
        <v>Ohm's Law,Graph Interpretation</v>
      </c>
      <c r="Q401" s="1">
        <v>4755</v>
      </c>
      <c r="R401" s="1" t="str">
        <f t="shared" si="27"/>
        <v>2006_01</v>
      </c>
      <c r="T401" s="1"/>
      <c r="BQ401" s="1">
        <v>1</v>
      </c>
      <c r="BX401" s="1">
        <v>1</v>
      </c>
    </row>
    <row r="402" spans="1:76" x14ac:dyDescent="0.2">
      <c r="A402" t="s">
        <v>314</v>
      </c>
      <c r="B402" s="1">
        <v>2006</v>
      </c>
      <c r="C402" s="1">
        <v>1</v>
      </c>
      <c r="D402" s="1">
        <v>23</v>
      </c>
      <c r="E402" t="s">
        <v>11</v>
      </c>
      <c r="G402" s="1">
        <v>4</v>
      </c>
      <c r="H402" s="11" t="str">
        <f t="shared" si="26"/>
        <v>2006_01_023.gif</v>
      </c>
      <c r="I402"/>
      <c r="J402"/>
      <c r="L402" s="1" t="b">
        <v>0</v>
      </c>
      <c r="M402" s="1">
        <v>0</v>
      </c>
      <c r="N402" s="1" t="s">
        <v>601</v>
      </c>
      <c r="O402" s="1">
        <v>401</v>
      </c>
      <c r="P402" s="12" t="str">
        <f t="shared" si="28"/>
        <v>Resistance of Wire</v>
      </c>
      <c r="Q402" s="1">
        <v>4756</v>
      </c>
      <c r="R402" s="1" t="str">
        <f t="shared" si="27"/>
        <v>2006_01</v>
      </c>
      <c r="T402" s="1"/>
      <c r="BR402" s="1">
        <v>1</v>
      </c>
    </row>
    <row r="403" spans="1:76" x14ac:dyDescent="0.2">
      <c r="A403" t="s">
        <v>315</v>
      </c>
      <c r="B403" s="1">
        <v>2006</v>
      </c>
      <c r="C403" s="1">
        <v>1</v>
      </c>
      <c r="D403" s="1">
        <v>24</v>
      </c>
      <c r="E403" t="s">
        <v>11</v>
      </c>
      <c r="G403" s="1">
        <v>3</v>
      </c>
      <c r="H403" s="11" t="str">
        <f t="shared" si="26"/>
        <v>2006_01_024.gif</v>
      </c>
      <c r="I403"/>
      <c r="J403"/>
      <c r="L403" s="1" t="b">
        <v>0</v>
      </c>
      <c r="M403" s="1">
        <v>0</v>
      </c>
      <c r="N403" s="1" t="s">
        <v>601</v>
      </c>
      <c r="O403" s="1">
        <v>402</v>
      </c>
      <c r="P403" s="12" t="str">
        <f t="shared" si="28"/>
        <v>Electrical Power</v>
      </c>
      <c r="Q403" s="1">
        <v>4757</v>
      </c>
      <c r="R403" s="1" t="str">
        <f t="shared" si="27"/>
        <v>2006_01</v>
      </c>
      <c r="T403" s="1"/>
      <c r="BP403" s="1">
        <v>1</v>
      </c>
    </row>
    <row r="404" spans="1:76" x14ac:dyDescent="0.2">
      <c r="A404" t="s">
        <v>316</v>
      </c>
      <c r="B404" s="1">
        <v>2006</v>
      </c>
      <c r="C404" s="1">
        <v>1</v>
      </c>
      <c r="D404" s="1">
        <v>25</v>
      </c>
      <c r="E404" t="s">
        <v>11</v>
      </c>
      <c r="G404" s="1">
        <v>4</v>
      </c>
      <c r="H404" s="11" t="str">
        <f t="shared" si="26"/>
        <v>2006_01_025.gif</v>
      </c>
      <c r="I404"/>
      <c r="J404"/>
      <c r="L404" s="1" t="b">
        <v>0</v>
      </c>
      <c r="M404" s="1">
        <v>0</v>
      </c>
      <c r="N404" s="1" t="s">
        <v>601</v>
      </c>
      <c r="O404" s="1">
        <v>403</v>
      </c>
      <c r="P404" s="12" t="str">
        <f t="shared" si="28"/>
        <v>Electrical Definitions</v>
      </c>
      <c r="Q404" s="1">
        <v>4758</v>
      </c>
      <c r="R404" s="1" t="str">
        <f t="shared" si="27"/>
        <v>2006_01</v>
      </c>
      <c r="T404" s="1"/>
      <c r="BO404" s="1">
        <v>1</v>
      </c>
    </row>
    <row r="405" spans="1:76" x14ac:dyDescent="0.2">
      <c r="A405" t="s">
        <v>317</v>
      </c>
      <c r="B405" s="1">
        <v>2006</v>
      </c>
      <c r="C405" s="1">
        <v>1</v>
      </c>
      <c r="D405" s="1">
        <v>26</v>
      </c>
      <c r="E405" t="s">
        <v>11</v>
      </c>
      <c r="G405" s="1">
        <v>2</v>
      </c>
      <c r="H405" s="11" t="str">
        <f t="shared" si="26"/>
        <v>2006_01_026.gif</v>
      </c>
      <c r="I405"/>
      <c r="J405"/>
      <c r="L405" s="1" t="b">
        <v>0</v>
      </c>
      <c r="M405" s="1">
        <v>0</v>
      </c>
      <c r="N405" s="1" t="s">
        <v>601</v>
      </c>
      <c r="O405" s="1">
        <v>404</v>
      </c>
      <c r="P405" s="12" t="str">
        <f t="shared" si="28"/>
        <v>Electrical Power</v>
      </c>
      <c r="Q405" s="1">
        <v>4759</v>
      </c>
      <c r="R405" s="1" t="str">
        <f t="shared" si="27"/>
        <v>2006_01</v>
      </c>
      <c r="T405" s="1"/>
      <c r="BP405" s="1">
        <v>1</v>
      </c>
    </row>
    <row r="406" spans="1:76" x14ac:dyDescent="0.2">
      <c r="A406" t="s">
        <v>318</v>
      </c>
      <c r="B406" s="1">
        <v>2006</v>
      </c>
      <c r="C406" s="1">
        <v>1</v>
      </c>
      <c r="D406" s="1">
        <v>27</v>
      </c>
      <c r="E406" t="s">
        <v>588</v>
      </c>
      <c r="F406" t="s">
        <v>10</v>
      </c>
      <c r="G406" s="1">
        <v>2</v>
      </c>
      <c r="H406" s="11" t="str">
        <f t="shared" si="26"/>
        <v>2006_01_027.gif</v>
      </c>
      <c r="I406"/>
      <c r="J406"/>
      <c r="L406" s="1" t="b">
        <v>0</v>
      </c>
      <c r="M406" s="1">
        <v>0</v>
      </c>
      <c r="N406" s="1" t="s">
        <v>601</v>
      </c>
      <c r="O406" s="1">
        <v>405</v>
      </c>
      <c r="P406" s="12" t="str">
        <f t="shared" si="28"/>
        <v>Electric Fields and Potential</v>
      </c>
      <c r="Q406" s="1">
        <v>4760</v>
      </c>
      <c r="R406" s="1" t="str">
        <f t="shared" si="27"/>
        <v>2006_01</v>
      </c>
      <c r="T406" s="1"/>
      <c r="BN406" s="1">
        <v>1</v>
      </c>
    </row>
    <row r="407" spans="1:76" x14ac:dyDescent="0.2">
      <c r="A407" t="s">
        <v>319</v>
      </c>
      <c r="B407" s="1">
        <v>2006</v>
      </c>
      <c r="C407" s="1">
        <v>1</v>
      </c>
      <c r="D407" s="1">
        <v>28</v>
      </c>
      <c r="E407" t="s">
        <v>9</v>
      </c>
      <c r="G407" s="1">
        <v>4</v>
      </c>
      <c r="H407" s="11" t="str">
        <f t="shared" si="26"/>
        <v>2006_01_028.gif</v>
      </c>
      <c r="I407"/>
      <c r="J407"/>
      <c r="L407" s="1" t="b">
        <v>0</v>
      </c>
      <c r="M407" s="1">
        <v>0</v>
      </c>
      <c r="N407" s="1" t="s">
        <v>601</v>
      </c>
      <c r="O407" s="1">
        <v>406</v>
      </c>
      <c r="P407" s="12" t="str">
        <f t="shared" si="28"/>
        <v>Refraction and Snell's Law</v>
      </c>
      <c r="Q407" s="1">
        <v>4761</v>
      </c>
      <c r="R407" s="1" t="str">
        <f t="shared" si="27"/>
        <v>2006_01</v>
      </c>
      <c r="T407" s="1"/>
      <c r="BJ407" s="1">
        <v>1</v>
      </c>
    </row>
    <row r="408" spans="1:76" x14ac:dyDescent="0.2">
      <c r="A408" t="s">
        <v>320</v>
      </c>
      <c r="B408" s="1">
        <v>2006</v>
      </c>
      <c r="C408" s="1">
        <v>1</v>
      </c>
      <c r="D408" s="1">
        <v>29</v>
      </c>
      <c r="E408" t="s">
        <v>9</v>
      </c>
      <c r="G408" s="1">
        <v>1</v>
      </c>
      <c r="H408" s="11" t="str">
        <f t="shared" si="26"/>
        <v>2006_01_029.gif</v>
      </c>
      <c r="I408"/>
      <c r="J408"/>
      <c r="L408" s="1" t="b">
        <v>0</v>
      </c>
      <c r="M408" s="1">
        <v>0</v>
      </c>
      <c r="N408" s="1" t="s">
        <v>601</v>
      </c>
      <c r="O408" s="1">
        <v>407</v>
      </c>
      <c r="P408" s="12" t="str">
        <f t="shared" si="28"/>
        <v>Light and Sound</v>
      </c>
      <c r="Q408" s="1">
        <v>4762</v>
      </c>
      <c r="R408" s="1" t="str">
        <f t="shared" si="27"/>
        <v>2006_01</v>
      </c>
      <c r="T408" s="1"/>
      <c r="BI408" s="1">
        <v>1</v>
      </c>
    </row>
    <row r="409" spans="1:76" x14ac:dyDescent="0.2">
      <c r="A409" t="s">
        <v>321</v>
      </c>
      <c r="B409" s="1">
        <v>2006</v>
      </c>
      <c r="C409" s="1">
        <v>1</v>
      </c>
      <c r="D409" s="1">
        <v>30</v>
      </c>
      <c r="E409" t="s">
        <v>8</v>
      </c>
      <c r="G409" s="1">
        <v>3</v>
      </c>
      <c r="H409" s="11" t="str">
        <f t="shared" si="26"/>
        <v>2006_01_030.gif</v>
      </c>
      <c r="I409"/>
      <c r="J409"/>
      <c r="L409" s="1" t="b">
        <v>0</v>
      </c>
      <c r="M409" s="1">
        <v>0</v>
      </c>
      <c r="N409" s="1" t="s">
        <v>601</v>
      </c>
      <c r="O409" s="1">
        <v>408</v>
      </c>
      <c r="P409" s="12" t="str">
        <f t="shared" si="28"/>
        <v>Wave Vocabulary</v>
      </c>
      <c r="Q409" s="1">
        <v>4763</v>
      </c>
      <c r="R409" s="1" t="str">
        <f t="shared" si="27"/>
        <v>2006_01</v>
      </c>
      <c r="T409" s="1"/>
      <c r="BF409" s="1">
        <v>1</v>
      </c>
    </row>
    <row r="410" spans="1:76" x14ac:dyDescent="0.2">
      <c r="A410" t="s">
        <v>322</v>
      </c>
      <c r="B410" s="1">
        <v>2006</v>
      </c>
      <c r="C410" s="1">
        <v>1</v>
      </c>
      <c r="D410" s="1">
        <v>31</v>
      </c>
      <c r="E410" t="s">
        <v>9</v>
      </c>
      <c r="G410" s="1">
        <v>2</v>
      </c>
      <c r="H410" s="11" t="str">
        <f t="shared" si="26"/>
        <v>2006_01_031.gif</v>
      </c>
      <c r="I410"/>
      <c r="J410"/>
      <c r="L410" s="1" t="b">
        <v>0</v>
      </c>
      <c r="M410" s="1">
        <v>0</v>
      </c>
      <c r="N410" s="1" t="s">
        <v>601</v>
      </c>
      <c r="O410" s="1">
        <v>409</v>
      </c>
      <c r="P410" s="12" t="str">
        <f t="shared" si="28"/>
        <v>Doppler Effect</v>
      </c>
      <c r="Q410" s="1">
        <v>4764</v>
      </c>
      <c r="R410" s="1" t="str">
        <f t="shared" si="27"/>
        <v>2006_01</v>
      </c>
      <c r="T410" s="1"/>
      <c r="BH410" s="1">
        <v>1</v>
      </c>
    </row>
    <row r="411" spans="1:76" x14ac:dyDescent="0.2">
      <c r="A411" t="s">
        <v>323</v>
      </c>
      <c r="B411" s="1">
        <v>2006</v>
      </c>
      <c r="C411" s="1">
        <v>1</v>
      </c>
      <c r="D411" s="1">
        <v>32</v>
      </c>
      <c r="E411" t="s">
        <v>8</v>
      </c>
      <c r="G411" s="1">
        <v>4</v>
      </c>
      <c r="H411" s="11" t="str">
        <f t="shared" si="26"/>
        <v>2006_01_032.gif</v>
      </c>
      <c r="I411"/>
      <c r="J411"/>
      <c r="L411" s="1" t="b">
        <v>0</v>
      </c>
      <c r="M411" s="1">
        <v>0</v>
      </c>
      <c r="N411" s="1" t="s">
        <v>601</v>
      </c>
      <c r="O411" s="1">
        <v>410</v>
      </c>
      <c r="P411" s="12" t="str">
        <f t="shared" si="28"/>
        <v>Superposition and Standing Waves</v>
      </c>
      <c r="Q411" s="1">
        <v>4765</v>
      </c>
      <c r="R411" s="1" t="str">
        <f t="shared" si="27"/>
        <v>2006_01</v>
      </c>
      <c r="T411" s="1"/>
      <c r="BD411" s="1">
        <v>1</v>
      </c>
    </row>
    <row r="412" spans="1:76" x14ac:dyDescent="0.2">
      <c r="A412" t="s">
        <v>324</v>
      </c>
      <c r="B412" s="1">
        <v>2006</v>
      </c>
      <c r="C412" s="1">
        <v>1</v>
      </c>
      <c r="D412" s="1">
        <v>33</v>
      </c>
      <c r="E412" t="s">
        <v>10</v>
      </c>
      <c r="G412" s="1">
        <v>4</v>
      </c>
      <c r="H412" s="11" t="str">
        <f t="shared" si="26"/>
        <v>2006_01_033.gif</v>
      </c>
      <c r="I412"/>
      <c r="J412"/>
      <c r="L412" s="1" t="b">
        <v>0</v>
      </c>
      <c r="M412" s="1">
        <v>0</v>
      </c>
      <c r="N412" s="1" t="s">
        <v>601</v>
      </c>
      <c r="O412" s="1">
        <v>411</v>
      </c>
      <c r="P412" s="12" t="str">
        <f t="shared" si="28"/>
        <v>Conservation of Charge</v>
      </c>
      <c r="Q412" s="1">
        <v>4766</v>
      </c>
      <c r="R412" s="1" t="str">
        <f t="shared" si="27"/>
        <v>2006_01</v>
      </c>
      <c r="T412" s="1"/>
      <c r="BK412" s="1">
        <v>1</v>
      </c>
    </row>
    <row r="413" spans="1:76" x14ac:dyDescent="0.2">
      <c r="A413" t="s">
        <v>325</v>
      </c>
      <c r="B413" s="1">
        <v>2006</v>
      </c>
      <c r="C413" s="1">
        <v>1</v>
      </c>
      <c r="D413" s="1">
        <v>34</v>
      </c>
      <c r="E413" t="s">
        <v>13</v>
      </c>
      <c r="G413" s="1">
        <v>1</v>
      </c>
      <c r="H413" s="11" t="str">
        <f t="shared" si="26"/>
        <v>2006_01_034.gif</v>
      </c>
      <c r="I413"/>
      <c r="J413"/>
      <c r="L413" s="1" t="b">
        <v>0</v>
      </c>
      <c r="M413" s="1">
        <v>0</v>
      </c>
      <c r="N413" s="1" t="s">
        <v>601</v>
      </c>
      <c r="O413" s="1">
        <v>412</v>
      </c>
      <c r="P413" s="12" t="str">
        <f t="shared" si="28"/>
        <v>Energy/Frequency of Photon</v>
      </c>
      <c r="Q413" s="1">
        <v>4767</v>
      </c>
      <c r="R413" s="1" t="str">
        <f t="shared" si="27"/>
        <v>2006_01</v>
      </c>
      <c r="T413" s="1"/>
      <c r="BU413" s="1">
        <v>1</v>
      </c>
    </row>
    <row r="414" spans="1:76" x14ac:dyDescent="0.2">
      <c r="A414" t="s">
        <v>326</v>
      </c>
      <c r="B414" s="1">
        <v>2006</v>
      </c>
      <c r="C414" s="1">
        <v>1</v>
      </c>
      <c r="D414" s="1">
        <v>35</v>
      </c>
      <c r="E414" t="s">
        <v>13</v>
      </c>
      <c r="G414" s="1">
        <v>2</v>
      </c>
      <c r="H414" s="11" t="str">
        <f t="shared" si="26"/>
        <v>2006_01_035.gif</v>
      </c>
      <c r="I414"/>
      <c r="J414"/>
      <c r="L414" s="1" t="b">
        <v>0</v>
      </c>
      <c r="M414" s="1">
        <v>0</v>
      </c>
      <c r="N414" s="1" t="s">
        <v>601</v>
      </c>
      <c r="O414" s="1">
        <v>413</v>
      </c>
      <c r="P414" s="12" t="str">
        <f t="shared" si="28"/>
        <v>Particle Physics</v>
      </c>
      <c r="Q414" s="1">
        <v>4768</v>
      </c>
      <c r="R414" s="1" t="str">
        <f t="shared" si="27"/>
        <v>2006_01</v>
      </c>
      <c r="T414" s="1"/>
      <c r="BW414" s="1">
        <v>1</v>
      </c>
    </row>
    <row r="415" spans="1:76" x14ac:dyDescent="0.2">
      <c r="A415" t="str">
        <f t="shared" ref="A415:A426" si="29">B415 &amp; "_" &amp; TEXT(C415,"00") &amp; "_" &amp; TEXT(D415,"000")</f>
        <v>2006_01_036</v>
      </c>
      <c r="B415" s="1">
        <v>2006</v>
      </c>
      <c r="C415" s="1">
        <v>1</v>
      </c>
      <c r="D415" s="1">
        <v>36</v>
      </c>
      <c r="E415" t="s">
        <v>1</v>
      </c>
      <c r="G415" s="1">
        <v>3</v>
      </c>
      <c r="H415" s="11" t="str">
        <f t="shared" si="26"/>
        <v>2006_01_036.gif</v>
      </c>
      <c r="I415"/>
      <c r="J415"/>
      <c r="L415" s="1" t="b">
        <v>0</v>
      </c>
      <c r="M415" s="1">
        <v>0</v>
      </c>
      <c r="N415" s="1" t="s">
        <v>657</v>
      </c>
      <c r="O415" s="1">
        <v>414</v>
      </c>
      <c r="P415" s="12" t="str">
        <f t="shared" si="28"/>
        <v>Estimation</v>
      </c>
      <c r="Q415" s="1">
        <v>4769</v>
      </c>
      <c r="R415" s="1" t="str">
        <f t="shared" si="27"/>
        <v>2006_01</v>
      </c>
      <c r="T415" s="1"/>
      <c r="U415" s="1">
        <v>1</v>
      </c>
    </row>
    <row r="416" spans="1:76" x14ac:dyDescent="0.2">
      <c r="A416" t="str">
        <f t="shared" si="29"/>
        <v>2006_01_037</v>
      </c>
      <c r="B416" s="1">
        <v>2006</v>
      </c>
      <c r="C416" s="1">
        <v>1</v>
      </c>
      <c r="D416" s="1">
        <v>37</v>
      </c>
      <c r="E416" t="s">
        <v>1</v>
      </c>
      <c r="G416" s="1">
        <v>1</v>
      </c>
      <c r="H416" s="11" t="str">
        <f t="shared" si="26"/>
        <v>2006_01_037.gif</v>
      </c>
      <c r="I416"/>
      <c r="J416"/>
      <c r="L416" s="1" t="b">
        <v>0</v>
      </c>
      <c r="M416" s="1">
        <v>0</v>
      </c>
      <c r="N416" s="1" t="s">
        <v>657</v>
      </c>
      <c r="O416" s="1">
        <v>415</v>
      </c>
      <c r="P416" s="12" t="str">
        <f t="shared" si="28"/>
        <v>Units</v>
      </c>
      <c r="Q416" s="1">
        <v>4770</v>
      </c>
      <c r="R416" s="1" t="str">
        <f t="shared" si="27"/>
        <v>2006_01</v>
      </c>
      <c r="T416" s="1"/>
      <c r="V416" s="1">
        <v>1</v>
      </c>
    </row>
    <row r="417" spans="1:77" x14ac:dyDescent="0.2">
      <c r="A417" t="str">
        <f t="shared" si="29"/>
        <v>2006_01_038</v>
      </c>
      <c r="B417" s="1">
        <v>2006</v>
      </c>
      <c r="C417" s="1">
        <v>1</v>
      </c>
      <c r="D417" s="1">
        <v>38</v>
      </c>
      <c r="E417" t="s">
        <v>2</v>
      </c>
      <c r="G417" s="1">
        <v>3</v>
      </c>
      <c r="H417" s="11" t="str">
        <f t="shared" si="26"/>
        <v>2006_01_038.gif</v>
      </c>
      <c r="I417"/>
      <c r="J417"/>
      <c r="L417" s="1" t="b">
        <v>0</v>
      </c>
      <c r="M417" s="1">
        <v>0</v>
      </c>
      <c r="N417" s="1" t="s">
        <v>657</v>
      </c>
      <c r="O417" s="1">
        <v>416</v>
      </c>
      <c r="P417" s="12" t="str">
        <f t="shared" si="28"/>
        <v>DT/VT Graphs</v>
      </c>
      <c r="Q417" s="1">
        <v>4771</v>
      </c>
      <c r="R417" s="1" t="str">
        <f t="shared" si="27"/>
        <v>2006_01</v>
      </c>
      <c r="T417" s="1"/>
      <c r="W417" s="1">
        <v>1</v>
      </c>
    </row>
    <row r="418" spans="1:77" x14ac:dyDescent="0.2">
      <c r="A418" t="str">
        <f t="shared" si="29"/>
        <v>2006_01_039</v>
      </c>
      <c r="B418" s="1">
        <v>2006</v>
      </c>
      <c r="C418" s="1">
        <v>1</v>
      </c>
      <c r="D418" s="1">
        <v>39</v>
      </c>
      <c r="E418" t="s">
        <v>7</v>
      </c>
      <c r="G418" s="1">
        <v>2</v>
      </c>
      <c r="H418" s="11" t="str">
        <f t="shared" si="26"/>
        <v>2006_01_039.gif</v>
      </c>
      <c r="I418"/>
      <c r="J418"/>
      <c r="L418" s="1" t="b">
        <v>0</v>
      </c>
      <c r="M418" s="1">
        <v>0</v>
      </c>
      <c r="N418" s="1" t="s">
        <v>657</v>
      </c>
      <c r="O418" s="1">
        <v>417</v>
      </c>
      <c r="P418" s="12" t="str">
        <f t="shared" si="28"/>
        <v>Conservation of Energy</v>
      </c>
      <c r="Q418" s="1">
        <v>4772</v>
      </c>
      <c r="R418" s="1" t="str">
        <f t="shared" si="27"/>
        <v>2006_01</v>
      </c>
      <c r="T418" s="1"/>
      <c r="AX418" s="1">
        <v>1</v>
      </c>
    </row>
    <row r="419" spans="1:77" x14ac:dyDescent="0.2">
      <c r="A419" t="str">
        <f t="shared" si="29"/>
        <v>2006_01_040</v>
      </c>
      <c r="B419" s="1">
        <v>2006</v>
      </c>
      <c r="C419" s="1">
        <v>1</v>
      </c>
      <c r="D419" s="1">
        <v>40</v>
      </c>
      <c r="E419" t="s">
        <v>4</v>
      </c>
      <c r="G419" s="1">
        <v>1</v>
      </c>
      <c r="H419" s="11" t="str">
        <f t="shared" si="26"/>
        <v>2006_01_040.gif</v>
      </c>
      <c r="I419"/>
      <c r="J419"/>
      <c r="L419" s="1" t="b">
        <v>0</v>
      </c>
      <c r="M419" s="1">
        <v>0</v>
      </c>
      <c r="N419" s="1" t="s">
        <v>657</v>
      </c>
      <c r="O419" s="1">
        <v>418</v>
      </c>
      <c r="P419" s="12" t="str">
        <f t="shared" si="28"/>
        <v>Centripetal Motion - Direction F,A,V</v>
      </c>
      <c r="Q419" s="1">
        <v>4773</v>
      </c>
      <c r="R419" s="1" t="str">
        <f t="shared" si="27"/>
        <v>2006_01</v>
      </c>
      <c r="T419" s="1"/>
      <c r="AL419" s="1">
        <v>1</v>
      </c>
    </row>
    <row r="420" spans="1:77" x14ac:dyDescent="0.2">
      <c r="A420" t="str">
        <f t="shared" si="29"/>
        <v>2006_01_041</v>
      </c>
      <c r="B420" s="1">
        <v>2006</v>
      </c>
      <c r="C420" s="1">
        <v>1</v>
      </c>
      <c r="D420" s="1">
        <v>41</v>
      </c>
      <c r="E420" t="s">
        <v>11</v>
      </c>
      <c r="F420" t="s">
        <v>548</v>
      </c>
      <c r="G420" s="1">
        <v>1</v>
      </c>
      <c r="H420" s="11" t="str">
        <f t="shared" si="26"/>
        <v>2006_01_041.gif</v>
      </c>
      <c r="I420"/>
      <c r="J420"/>
      <c r="L420" s="1" t="b">
        <v>0</v>
      </c>
      <c r="M420" s="1">
        <v>0</v>
      </c>
      <c r="N420" s="1" t="s">
        <v>657</v>
      </c>
      <c r="O420" s="1">
        <v>419</v>
      </c>
      <c r="P420" s="12" t="str">
        <f t="shared" si="28"/>
        <v>Resistance of Wire,Mathematical Relationships (Numberless Problems)</v>
      </c>
      <c r="Q420" s="1">
        <v>4774</v>
      </c>
      <c r="R420" s="1" t="str">
        <f t="shared" si="27"/>
        <v>2006_01</v>
      </c>
      <c r="T420" s="1"/>
      <c r="BR420" s="1">
        <v>1</v>
      </c>
      <c r="BY420" s="1">
        <v>1</v>
      </c>
    </row>
    <row r="421" spans="1:77" x14ac:dyDescent="0.2">
      <c r="A421" t="str">
        <f t="shared" si="29"/>
        <v>2006_01_042</v>
      </c>
      <c r="B421" s="1">
        <v>2006</v>
      </c>
      <c r="C421" s="1">
        <v>1</v>
      </c>
      <c r="D421" s="1">
        <v>42</v>
      </c>
      <c r="E421" t="s">
        <v>13</v>
      </c>
      <c r="G421" s="1">
        <v>2</v>
      </c>
      <c r="H421" s="11" t="str">
        <f t="shared" si="26"/>
        <v>2006_01_042.gif</v>
      </c>
      <c r="I421"/>
      <c r="J421"/>
      <c r="L421" s="1" t="b">
        <v>0</v>
      </c>
      <c r="M421" s="1">
        <v>0</v>
      </c>
      <c r="N421" s="1" t="s">
        <v>657</v>
      </c>
      <c r="O421" s="1">
        <v>420</v>
      </c>
      <c r="P421" s="12" t="str">
        <f t="shared" si="28"/>
        <v>Particle Physics</v>
      </c>
      <c r="Q421" s="1">
        <v>4775</v>
      </c>
      <c r="R421" s="1" t="str">
        <f t="shared" si="27"/>
        <v>2006_01</v>
      </c>
      <c r="T421" s="1"/>
      <c r="BW421" s="1">
        <v>1</v>
      </c>
    </row>
    <row r="422" spans="1:77" x14ac:dyDescent="0.2">
      <c r="A422" t="str">
        <f t="shared" si="29"/>
        <v>2006_01_043</v>
      </c>
      <c r="B422" s="1">
        <v>2006</v>
      </c>
      <c r="C422" s="1">
        <v>1</v>
      </c>
      <c r="D422" s="1">
        <v>43</v>
      </c>
      <c r="E422" t="s">
        <v>5</v>
      </c>
      <c r="G422" s="1">
        <v>2</v>
      </c>
      <c r="H422" s="11" t="str">
        <f t="shared" si="26"/>
        <v>2006_01_043.gif</v>
      </c>
      <c r="I422"/>
      <c r="J422"/>
      <c r="L422" s="1" t="b">
        <v>0</v>
      </c>
      <c r="M422" s="1">
        <v>0</v>
      </c>
      <c r="N422" s="1" t="s">
        <v>657</v>
      </c>
      <c r="O422" s="1">
        <v>421</v>
      </c>
      <c r="P422" s="12" t="str">
        <f t="shared" si="28"/>
        <v>Newton's 2nd Law (F=MA)</v>
      </c>
      <c r="Q422" s="1">
        <v>4776</v>
      </c>
      <c r="R422" s="1" t="str">
        <f t="shared" si="27"/>
        <v>2006_01</v>
      </c>
      <c r="T422" s="1"/>
      <c r="AS422" s="1">
        <v>1</v>
      </c>
    </row>
    <row r="423" spans="1:77" x14ac:dyDescent="0.2">
      <c r="A423" t="str">
        <f t="shared" si="29"/>
        <v>2006_01_044</v>
      </c>
      <c r="B423" s="1">
        <v>2006</v>
      </c>
      <c r="C423" s="1">
        <v>1</v>
      </c>
      <c r="D423" s="1">
        <v>44</v>
      </c>
      <c r="E423" t="s">
        <v>7</v>
      </c>
      <c r="F423" t="s">
        <v>548</v>
      </c>
      <c r="G423" s="1">
        <v>4</v>
      </c>
      <c r="H423" s="11" t="str">
        <f t="shared" si="26"/>
        <v>2006_01_044.gif</v>
      </c>
      <c r="I423"/>
      <c r="J423"/>
      <c r="L423" s="1" t="b">
        <v>0</v>
      </c>
      <c r="M423" s="1">
        <v>0</v>
      </c>
      <c r="N423" s="1" t="s">
        <v>657</v>
      </c>
      <c r="O423" s="1">
        <v>422</v>
      </c>
      <c r="P423" s="12" t="str">
        <f t="shared" si="28"/>
        <v>Kinetic Energy,Graph Interpretation</v>
      </c>
      <c r="Q423" s="1">
        <v>4777</v>
      </c>
      <c r="R423" s="1" t="str">
        <f t="shared" si="27"/>
        <v>2006_01</v>
      </c>
      <c r="T423" s="1"/>
      <c r="AZ423" s="1">
        <v>1</v>
      </c>
      <c r="BX423" s="1">
        <v>1</v>
      </c>
    </row>
    <row r="424" spans="1:77" x14ac:dyDescent="0.2">
      <c r="A424" t="str">
        <f t="shared" si="29"/>
        <v>2006_01_045</v>
      </c>
      <c r="B424" s="1">
        <v>2006</v>
      </c>
      <c r="C424" s="1">
        <v>1</v>
      </c>
      <c r="D424" s="1">
        <v>45</v>
      </c>
      <c r="E424" t="s">
        <v>6</v>
      </c>
      <c r="F424" t="s">
        <v>548</v>
      </c>
      <c r="G424" s="1">
        <v>4</v>
      </c>
      <c r="H424" s="11" t="str">
        <f t="shared" si="26"/>
        <v>2006_01_045.gif</v>
      </c>
      <c r="I424"/>
      <c r="J424"/>
      <c r="L424" s="1" t="b">
        <v>0</v>
      </c>
      <c r="M424" s="1">
        <v>0</v>
      </c>
      <c r="N424" s="1" t="s">
        <v>657</v>
      </c>
      <c r="O424" s="1">
        <v>423</v>
      </c>
      <c r="P424" s="12" t="str">
        <f t="shared" si="28"/>
        <v>Conservation of Momentum,Mathematical Relationships (Numberless Problems)</v>
      </c>
      <c r="Q424" s="1">
        <v>4778</v>
      </c>
      <c r="R424" s="1" t="str">
        <f t="shared" si="27"/>
        <v>2006_01</v>
      </c>
      <c r="T424" s="1"/>
      <c r="AU424" s="1">
        <v>1</v>
      </c>
      <c r="BY424" s="1">
        <v>1</v>
      </c>
    </row>
    <row r="425" spans="1:77" x14ac:dyDescent="0.2">
      <c r="A425" t="str">
        <f t="shared" si="29"/>
        <v>2006_01_046</v>
      </c>
      <c r="B425" s="1">
        <v>2006</v>
      </c>
      <c r="C425" s="1">
        <v>1</v>
      </c>
      <c r="D425" s="1">
        <v>46</v>
      </c>
      <c r="E425" t="s">
        <v>3</v>
      </c>
      <c r="G425" s="1">
        <v>3</v>
      </c>
      <c r="H425" s="11" t="str">
        <f t="shared" si="26"/>
        <v>2006_01_046.gif</v>
      </c>
      <c r="I425"/>
      <c r="J425"/>
      <c r="L425" s="1" t="b">
        <v>0</v>
      </c>
      <c r="M425" s="1">
        <v>0</v>
      </c>
      <c r="N425" s="1" t="s">
        <v>657</v>
      </c>
      <c r="O425" s="1">
        <v>424</v>
      </c>
      <c r="P425" s="12" t="str">
        <f t="shared" si="28"/>
        <v>Adding Vectors</v>
      </c>
      <c r="Q425" s="1">
        <v>4779</v>
      </c>
      <c r="R425" s="1" t="str">
        <f t="shared" si="27"/>
        <v>2006_01</v>
      </c>
      <c r="T425" s="1"/>
      <c r="AD425" s="1">
        <v>1</v>
      </c>
    </row>
    <row r="426" spans="1:77" x14ac:dyDescent="0.2">
      <c r="A426" t="str">
        <f t="shared" si="29"/>
        <v>2006_01_047</v>
      </c>
      <c r="B426" s="1">
        <v>2006</v>
      </c>
      <c r="C426" s="1">
        <v>1</v>
      </c>
      <c r="D426" s="1">
        <v>47</v>
      </c>
      <c r="E426" t="s">
        <v>13</v>
      </c>
      <c r="G426" s="1">
        <v>3</v>
      </c>
      <c r="H426" s="11" t="str">
        <f t="shared" si="26"/>
        <v>2006_01_047.gif</v>
      </c>
      <c r="I426"/>
      <c r="J426"/>
      <c r="L426" s="1" t="b">
        <v>0</v>
      </c>
      <c r="M426" s="1">
        <v>0</v>
      </c>
      <c r="N426" s="1" t="s">
        <v>657</v>
      </c>
      <c r="O426" s="1">
        <v>425</v>
      </c>
      <c r="P426" s="12" t="str">
        <f t="shared" si="28"/>
        <v>Energy/Frequency of Photon</v>
      </c>
      <c r="Q426" s="1">
        <v>4780</v>
      </c>
      <c r="R426" s="1" t="str">
        <f t="shared" si="27"/>
        <v>2006_01</v>
      </c>
      <c r="T426" s="1"/>
      <c r="BU426" s="1">
        <v>1</v>
      </c>
    </row>
    <row r="427" spans="1:77" x14ac:dyDescent="0.2">
      <c r="A427" t="s">
        <v>327</v>
      </c>
      <c r="B427" s="1">
        <v>2006</v>
      </c>
      <c r="C427" s="1">
        <v>6</v>
      </c>
      <c r="D427" s="1">
        <v>1</v>
      </c>
      <c r="E427" t="s">
        <v>2</v>
      </c>
      <c r="G427" s="1">
        <v>3</v>
      </c>
      <c r="H427" s="11" t="str">
        <f t="shared" si="26"/>
        <v>2006_06_001.gif</v>
      </c>
      <c r="I427"/>
      <c r="J427"/>
      <c r="L427" s="1" t="b">
        <v>0</v>
      </c>
      <c r="M427" s="1">
        <v>0</v>
      </c>
      <c r="N427" s="1" t="s">
        <v>601</v>
      </c>
      <c r="O427" s="1">
        <v>426</v>
      </c>
      <c r="P427" s="12" t="str">
        <f t="shared" si="28"/>
        <v>Vertical Constant Acceleration Problems</v>
      </c>
      <c r="Q427" s="1">
        <v>4808</v>
      </c>
      <c r="R427" s="1" t="str">
        <f t="shared" si="27"/>
        <v>2006_06</v>
      </c>
      <c r="T427" s="1"/>
      <c r="AC427" s="1">
        <v>1</v>
      </c>
    </row>
    <row r="428" spans="1:77" x14ac:dyDescent="0.2">
      <c r="A428" t="s">
        <v>328</v>
      </c>
      <c r="B428" s="1">
        <v>2006</v>
      </c>
      <c r="C428" s="1">
        <v>6</v>
      </c>
      <c r="D428" s="1">
        <v>2</v>
      </c>
      <c r="E428" t="s">
        <v>2</v>
      </c>
      <c r="G428" s="1">
        <v>1</v>
      </c>
      <c r="H428" s="11" t="str">
        <f t="shared" si="26"/>
        <v>2006_06_002.gif</v>
      </c>
      <c r="I428"/>
      <c r="J428"/>
      <c r="L428" s="1" t="b">
        <v>0</v>
      </c>
      <c r="M428" s="1">
        <v>0</v>
      </c>
      <c r="N428" s="1" t="s">
        <v>601</v>
      </c>
      <c r="O428" s="1">
        <v>427</v>
      </c>
      <c r="P428" s="12" t="str">
        <f t="shared" si="28"/>
        <v>Vertical Constant Acceleration Problems</v>
      </c>
      <c r="Q428" s="1">
        <v>4809</v>
      </c>
      <c r="R428" s="1" t="str">
        <f t="shared" si="27"/>
        <v>2006_06</v>
      </c>
      <c r="T428" s="1"/>
      <c r="AC428" s="1">
        <v>1</v>
      </c>
    </row>
    <row r="429" spans="1:77" x14ac:dyDescent="0.2">
      <c r="A429" t="s">
        <v>329</v>
      </c>
      <c r="B429" s="1">
        <v>2006</v>
      </c>
      <c r="C429" s="1">
        <v>6</v>
      </c>
      <c r="D429" s="1">
        <v>3</v>
      </c>
      <c r="E429" t="s">
        <v>3</v>
      </c>
      <c r="G429" s="1">
        <v>1</v>
      </c>
      <c r="H429" s="11" t="str">
        <f t="shared" si="26"/>
        <v>2006_06_003.gif</v>
      </c>
      <c r="I429"/>
      <c r="J429"/>
      <c r="L429" s="1" t="b">
        <v>0</v>
      </c>
      <c r="M429" s="1">
        <v>0</v>
      </c>
      <c r="N429" s="1" t="s">
        <v>601</v>
      </c>
      <c r="O429" s="1">
        <v>428</v>
      </c>
      <c r="P429" s="12" t="str">
        <f t="shared" si="28"/>
        <v>Adding Vectors</v>
      </c>
      <c r="Q429" s="1">
        <v>4810</v>
      </c>
      <c r="R429" s="1" t="str">
        <f t="shared" si="27"/>
        <v>2006_06</v>
      </c>
      <c r="T429" s="1"/>
      <c r="AD429" s="1">
        <v>1</v>
      </c>
    </row>
    <row r="430" spans="1:77" x14ac:dyDescent="0.2">
      <c r="A430" t="s">
        <v>330</v>
      </c>
      <c r="B430" s="1">
        <v>2006</v>
      </c>
      <c r="C430" s="1">
        <v>6</v>
      </c>
      <c r="D430" s="1">
        <v>4</v>
      </c>
      <c r="E430" t="s">
        <v>3</v>
      </c>
      <c r="F430" t="s">
        <v>4</v>
      </c>
      <c r="G430" s="1">
        <v>4</v>
      </c>
      <c r="H430" s="11" t="str">
        <f t="shared" si="26"/>
        <v>2006_06_004.gif</v>
      </c>
      <c r="I430"/>
      <c r="J430"/>
      <c r="L430" s="1" t="b">
        <v>0</v>
      </c>
      <c r="M430" s="1">
        <v>0</v>
      </c>
      <c r="N430" s="1" t="s">
        <v>601</v>
      </c>
      <c r="O430" s="1">
        <v>429</v>
      </c>
      <c r="P430" s="12" t="str">
        <f t="shared" si="28"/>
        <v>Vector Components,Projectiles at an Angle</v>
      </c>
      <c r="Q430" s="1">
        <v>4811</v>
      </c>
      <c r="R430" s="1" t="str">
        <f t="shared" si="27"/>
        <v>2006_06</v>
      </c>
      <c r="T430" s="1"/>
      <c r="AE430" s="1">
        <v>1</v>
      </c>
      <c r="AH430" s="1">
        <v>1</v>
      </c>
    </row>
    <row r="431" spans="1:77" x14ac:dyDescent="0.2">
      <c r="A431" t="s">
        <v>331</v>
      </c>
      <c r="B431" s="1">
        <v>2006</v>
      </c>
      <c r="C431" s="1">
        <v>6</v>
      </c>
      <c r="D431" s="1">
        <v>5</v>
      </c>
      <c r="E431" t="s">
        <v>5</v>
      </c>
      <c r="G431" s="1">
        <v>4</v>
      </c>
      <c r="H431" s="11" t="str">
        <f t="shared" si="26"/>
        <v>2006_06_005.gif</v>
      </c>
      <c r="I431"/>
      <c r="J431"/>
      <c r="L431" s="1" t="b">
        <v>0</v>
      </c>
      <c r="M431" s="1">
        <v>0</v>
      </c>
      <c r="N431" s="1" t="s">
        <v>601</v>
      </c>
      <c r="O431" s="1">
        <v>430</v>
      </c>
      <c r="P431" s="12" t="str">
        <f t="shared" si="28"/>
        <v>Newton's 1st Law (Inertia)</v>
      </c>
      <c r="Q431" s="1">
        <v>4812</v>
      </c>
      <c r="R431" s="1" t="str">
        <f t="shared" si="27"/>
        <v>2006_06</v>
      </c>
      <c r="T431" s="1"/>
      <c r="AR431" s="1">
        <v>1</v>
      </c>
    </row>
    <row r="432" spans="1:77" x14ac:dyDescent="0.2">
      <c r="A432" t="s">
        <v>332</v>
      </c>
      <c r="B432" s="1">
        <v>2006</v>
      </c>
      <c r="C432" s="1">
        <v>6</v>
      </c>
      <c r="D432" s="1">
        <v>6</v>
      </c>
      <c r="E432" t="s">
        <v>3</v>
      </c>
      <c r="G432" s="1">
        <v>3</v>
      </c>
      <c r="H432" s="11" t="str">
        <f t="shared" si="26"/>
        <v>2006_06_006.gif</v>
      </c>
      <c r="I432"/>
      <c r="J432"/>
      <c r="L432" s="1" t="b">
        <v>0</v>
      </c>
      <c r="M432" s="1">
        <v>0</v>
      </c>
      <c r="N432" s="1" t="s">
        <v>601</v>
      </c>
      <c r="O432" s="1">
        <v>431</v>
      </c>
      <c r="P432" s="12" t="str">
        <f t="shared" si="28"/>
        <v>Adding Vectors</v>
      </c>
      <c r="Q432" s="1">
        <v>4813</v>
      </c>
      <c r="R432" s="1" t="str">
        <f t="shared" si="27"/>
        <v>2006_06</v>
      </c>
      <c r="T432" s="1"/>
      <c r="AD432" s="1">
        <v>1</v>
      </c>
    </row>
    <row r="433" spans="1:77" x14ac:dyDescent="0.2">
      <c r="A433" t="s">
        <v>333</v>
      </c>
      <c r="B433" s="1">
        <v>2006</v>
      </c>
      <c r="C433" s="1">
        <v>6</v>
      </c>
      <c r="D433" s="1">
        <v>7</v>
      </c>
      <c r="E433" t="s">
        <v>4</v>
      </c>
      <c r="G433" s="1">
        <v>1</v>
      </c>
      <c r="H433" s="11" t="str">
        <f t="shared" si="26"/>
        <v>2006_06_007.gif</v>
      </c>
      <c r="I433"/>
      <c r="J433"/>
      <c r="L433" s="1" t="b">
        <v>0</v>
      </c>
      <c r="M433" s="1">
        <v>0</v>
      </c>
      <c r="N433" s="1" t="s">
        <v>601</v>
      </c>
      <c r="O433" s="1">
        <v>432</v>
      </c>
      <c r="P433" s="12" t="str">
        <f t="shared" si="28"/>
        <v>Centripetal Motion - Direction F,A,V</v>
      </c>
      <c r="Q433" s="1">
        <v>4814</v>
      </c>
      <c r="R433" s="1" t="str">
        <f t="shared" si="27"/>
        <v>2006_06</v>
      </c>
      <c r="T433" s="1"/>
      <c r="AL433" s="1">
        <v>1</v>
      </c>
    </row>
    <row r="434" spans="1:77" x14ac:dyDescent="0.2">
      <c r="A434" t="s">
        <v>334</v>
      </c>
      <c r="B434" s="1">
        <v>2006</v>
      </c>
      <c r="C434" s="1">
        <v>6</v>
      </c>
      <c r="D434" s="1">
        <v>8</v>
      </c>
      <c r="E434" t="s">
        <v>4</v>
      </c>
      <c r="G434" s="1">
        <v>2</v>
      </c>
      <c r="H434" s="11" t="str">
        <f t="shared" si="26"/>
        <v>2006_06_008.gif</v>
      </c>
      <c r="I434"/>
      <c r="J434"/>
      <c r="L434" s="1" t="b">
        <v>0</v>
      </c>
      <c r="M434" s="1">
        <v>0</v>
      </c>
      <c r="N434" s="1" t="s">
        <v>601</v>
      </c>
      <c r="O434" s="1">
        <v>433</v>
      </c>
      <c r="P434" s="12" t="str">
        <f t="shared" si="28"/>
        <v>Centripetal Motion - Calculation</v>
      </c>
      <c r="Q434" s="1">
        <v>4815</v>
      </c>
      <c r="R434" s="1" t="str">
        <f t="shared" si="27"/>
        <v>2006_06</v>
      </c>
      <c r="T434" s="1"/>
      <c r="AM434" s="1">
        <v>1</v>
      </c>
    </row>
    <row r="435" spans="1:77" x14ac:dyDescent="0.2">
      <c r="A435" t="s">
        <v>335</v>
      </c>
      <c r="B435" s="1">
        <v>2006</v>
      </c>
      <c r="C435" s="1">
        <v>6</v>
      </c>
      <c r="D435" s="1">
        <v>9</v>
      </c>
      <c r="E435" t="s">
        <v>6</v>
      </c>
      <c r="G435" s="1">
        <v>3</v>
      </c>
      <c r="H435" s="11" t="str">
        <f t="shared" si="26"/>
        <v>2006_06_009.gif</v>
      </c>
      <c r="I435"/>
      <c r="J435"/>
      <c r="L435" s="1" t="b">
        <v>0</v>
      </c>
      <c r="M435" s="1">
        <v>0</v>
      </c>
      <c r="N435" s="1" t="s">
        <v>601</v>
      </c>
      <c r="O435" s="1">
        <v>434</v>
      </c>
      <c r="P435" s="12" t="str">
        <f t="shared" si="28"/>
        <v>Impulse</v>
      </c>
      <c r="Q435" s="1">
        <v>4816</v>
      </c>
      <c r="R435" s="1" t="str">
        <f t="shared" si="27"/>
        <v>2006_06</v>
      </c>
      <c r="T435" s="1"/>
      <c r="AV435" s="1">
        <v>1</v>
      </c>
    </row>
    <row r="436" spans="1:77" x14ac:dyDescent="0.2">
      <c r="A436" t="s">
        <v>336</v>
      </c>
      <c r="B436" s="1">
        <v>2006</v>
      </c>
      <c r="C436" s="1">
        <v>6</v>
      </c>
      <c r="D436" s="1">
        <v>10</v>
      </c>
      <c r="E436" t="s">
        <v>10</v>
      </c>
      <c r="G436" s="1">
        <v>1</v>
      </c>
      <c r="H436" s="11" t="str">
        <f t="shared" si="26"/>
        <v>2006_06_010.gif</v>
      </c>
      <c r="I436"/>
      <c r="J436"/>
      <c r="L436" s="1" t="b">
        <v>0</v>
      </c>
      <c r="M436" s="1">
        <v>0</v>
      </c>
      <c r="N436" s="1" t="s">
        <v>601</v>
      </c>
      <c r="O436" s="1">
        <v>435</v>
      </c>
      <c r="P436" s="12" t="str">
        <f t="shared" si="28"/>
        <v>Induction, Conduction, Polarization</v>
      </c>
      <c r="Q436" s="1">
        <v>4817</v>
      </c>
      <c r="R436" s="1" t="str">
        <f t="shared" si="27"/>
        <v>2006_06</v>
      </c>
      <c r="T436" s="1"/>
      <c r="BM436" s="1">
        <v>1</v>
      </c>
    </row>
    <row r="437" spans="1:77" x14ac:dyDescent="0.2">
      <c r="A437" t="s">
        <v>337</v>
      </c>
      <c r="B437" s="1">
        <v>2006</v>
      </c>
      <c r="C437" s="1">
        <v>6</v>
      </c>
      <c r="D437" s="1">
        <v>11</v>
      </c>
      <c r="E437" t="s">
        <v>588</v>
      </c>
      <c r="F437" t="s">
        <v>5</v>
      </c>
      <c r="G437" s="1">
        <v>4</v>
      </c>
      <c r="H437" s="11" t="str">
        <f t="shared" si="26"/>
        <v>2006_06_011.gif</v>
      </c>
      <c r="I437"/>
      <c r="J437"/>
      <c r="L437" s="1" t="b">
        <v>0</v>
      </c>
      <c r="M437" s="1">
        <v>0</v>
      </c>
      <c r="N437" s="1" t="s">
        <v>601</v>
      </c>
      <c r="O437" s="1">
        <v>436</v>
      </c>
      <c r="P437" s="12" t="str">
        <f t="shared" si="28"/>
        <v>Law of Gravity</v>
      </c>
      <c r="Q437" s="1">
        <v>4818</v>
      </c>
      <c r="R437" s="1" t="str">
        <f t="shared" si="27"/>
        <v>2006_06</v>
      </c>
      <c r="T437" s="1"/>
      <c r="AQ437" s="1">
        <v>1</v>
      </c>
    </row>
    <row r="438" spans="1:77" x14ac:dyDescent="0.2">
      <c r="A438" t="s">
        <v>338</v>
      </c>
      <c r="B438" s="1">
        <v>2006</v>
      </c>
      <c r="C438" s="1">
        <v>6</v>
      </c>
      <c r="D438" s="1">
        <v>12</v>
      </c>
      <c r="E438" t="s">
        <v>7</v>
      </c>
      <c r="G438" s="1">
        <v>2</v>
      </c>
      <c r="H438" s="11" t="str">
        <f t="shared" si="26"/>
        <v>2006_06_012.gif</v>
      </c>
      <c r="I438"/>
      <c r="J438"/>
      <c r="L438" s="1" t="b">
        <v>0</v>
      </c>
      <c r="M438" s="1">
        <v>0</v>
      </c>
      <c r="N438" s="1" t="s">
        <v>601</v>
      </c>
      <c r="O438" s="1">
        <v>437</v>
      </c>
      <c r="P438" s="12" t="str">
        <f t="shared" si="28"/>
        <v>Work/Power</v>
      </c>
      <c r="Q438" s="1">
        <v>4819</v>
      </c>
      <c r="R438" s="1" t="str">
        <f t="shared" si="27"/>
        <v>2006_06</v>
      </c>
      <c r="T438" s="1"/>
      <c r="BB438" s="1">
        <v>1</v>
      </c>
    </row>
    <row r="439" spans="1:77" x14ac:dyDescent="0.2">
      <c r="A439" t="s">
        <v>339</v>
      </c>
      <c r="B439" s="1">
        <v>2006</v>
      </c>
      <c r="C439" s="1">
        <v>6</v>
      </c>
      <c r="D439" s="1">
        <v>13</v>
      </c>
      <c r="E439" t="s">
        <v>7</v>
      </c>
      <c r="G439" s="1">
        <v>4</v>
      </c>
      <c r="H439" s="11" t="str">
        <f t="shared" si="26"/>
        <v>2006_06_013.gif</v>
      </c>
      <c r="I439"/>
      <c r="J439"/>
      <c r="L439" s="1" t="b">
        <v>0</v>
      </c>
      <c r="M439" s="1">
        <v>0</v>
      </c>
      <c r="N439" s="1" t="s">
        <v>601</v>
      </c>
      <c r="O439" s="1">
        <v>438</v>
      </c>
      <c r="P439" s="12" t="str">
        <f t="shared" si="28"/>
        <v>Gravitational PE</v>
      </c>
      <c r="Q439" s="1">
        <v>4820</v>
      </c>
      <c r="R439" s="1" t="str">
        <f t="shared" si="27"/>
        <v>2006_06</v>
      </c>
      <c r="T439" s="1"/>
      <c r="AY439" s="1">
        <v>1</v>
      </c>
    </row>
    <row r="440" spans="1:77" x14ac:dyDescent="0.2">
      <c r="A440" t="s">
        <v>340</v>
      </c>
      <c r="B440" s="1">
        <v>2006</v>
      </c>
      <c r="C440" s="1">
        <v>6</v>
      </c>
      <c r="D440" s="1">
        <v>14</v>
      </c>
      <c r="E440" t="s">
        <v>7</v>
      </c>
      <c r="G440" s="1">
        <v>1</v>
      </c>
      <c r="H440" s="11" t="str">
        <f t="shared" si="26"/>
        <v>2006_06_014.gif</v>
      </c>
      <c r="I440"/>
      <c r="J440"/>
      <c r="L440" s="1" t="b">
        <v>0</v>
      </c>
      <c r="M440" s="1">
        <v>0</v>
      </c>
      <c r="N440" s="1" t="s">
        <v>601</v>
      </c>
      <c r="O440" s="1">
        <v>439</v>
      </c>
      <c r="P440" s="12" t="str">
        <f t="shared" si="28"/>
        <v>Kinetic Energy,PE of Spring</v>
      </c>
      <c r="Q440" s="1">
        <v>4821</v>
      </c>
      <c r="R440" s="1" t="str">
        <f t="shared" si="27"/>
        <v>2006_06</v>
      </c>
      <c r="T440" s="1"/>
      <c r="AZ440" s="1">
        <v>1</v>
      </c>
      <c r="BA440" s="1">
        <v>1</v>
      </c>
    </row>
    <row r="441" spans="1:77" x14ac:dyDescent="0.2">
      <c r="A441" t="s">
        <v>341</v>
      </c>
      <c r="B441" s="1">
        <v>2006</v>
      </c>
      <c r="C441" s="1">
        <v>6</v>
      </c>
      <c r="D441" s="1">
        <v>15</v>
      </c>
      <c r="E441" t="s">
        <v>7</v>
      </c>
      <c r="G441" s="1">
        <v>3</v>
      </c>
      <c r="H441" s="11" t="str">
        <f t="shared" si="26"/>
        <v>2006_06_015.gif</v>
      </c>
      <c r="I441"/>
      <c r="J441"/>
      <c r="L441" s="1" t="b">
        <v>0</v>
      </c>
      <c r="M441" s="1">
        <v>0</v>
      </c>
      <c r="N441" s="1" t="s">
        <v>601</v>
      </c>
      <c r="O441" s="1">
        <v>440</v>
      </c>
      <c r="P441" s="12" t="str">
        <f t="shared" si="28"/>
        <v>Conservation of Energy</v>
      </c>
      <c r="Q441" s="1">
        <v>4822</v>
      </c>
      <c r="R441" s="1" t="str">
        <f t="shared" si="27"/>
        <v>2006_06</v>
      </c>
      <c r="T441" s="1"/>
      <c r="AX441" s="1">
        <v>1</v>
      </c>
    </row>
    <row r="442" spans="1:77" x14ac:dyDescent="0.2">
      <c r="A442" t="s">
        <v>342</v>
      </c>
      <c r="B442" s="1">
        <v>2006</v>
      </c>
      <c r="C442" s="1">
        <v>6</v>
      </c>
      <c r="D442" s="1">
        <v>16</v>
      </c>
      <c r="E442" t="s">
        <v>7</v>
      </c>
      <c r="G442" s="1">
        <v>3</v>
      </c>
      <c r="H442" s="11" t="str">
        <f t="shared" si="26"/>
        <v>2006_06_016.gif</v>
      </c>
      <c r="I442"/>
      <c r="J442"/>
      <c r="L442" s="1" t="b">
        <v>0</v>
      </c>
      <c r="M442" s="1">
        <v>0</v>
      </c>
      <c r="N442" s="1" t="s">
        <v>601</v>
      </c>
      <c r="O442" s="1">
        <v>441</v>
      </c>
      <c r="P442" s="12" t="str">
        <f t="shared" si="28"/>
        <v>Kinetic Energy</v>
      </c>
      <c r="Q442" s="1">
        <v>4823</v>
      </c>
      <c r="R442" s="1" t="str">
        <f t="shared" si="27"/>
        <v>2006_06</v>
      </c>
      <c r="T442" s="1"/>
      <c r="AZ442" s="1">
        <v>1</v>
      </c>
    </row>
    <row r="443" spans="1:77" x14ac:dyDescent="0.2">
      <c r="A443" t="s">
        <v>343</v>
      </c>
      <c r="B443" s="1">
        <v>2006</v>
      </c>
      <c r="C443" s="1">
        <v>6</v>
      </c>
      <c r="D443" s="1">
        <v>17</v>
      </c>
      <c r="E443" t="s">
        <v>9</v>
      </c>
      <c r="G443" s="1">
        <v>2</v>
      </c>
      <c r="H443" s="11" t="str">
        <f t="shared" si="26"/>
        <v>2006_06_017.gif</v>
      </c>
      <c r="I443"/>
      <c r="J443"/>
      <c r="L443" s="1" t="b">
        <v>0</v>
      </c>
      <c r="M443" s="1">
        <v>0</v>
      </c>
      <c r="N443" s="1" t="s">
        <v>601</v>
      </c>
      <c r="O443" s="1">
        <v>442</v>
      </c>
      <c r="P443" s="12" t="str">
        <f t="shared" si="28"/>
        <v>Light and Sound</v>
      </c>
      <c r="Q443" s="1">
        <v>4824</v>
      </c>
      <c r="R443" s="1" t="str">
        <f t="shared" si="27"/>
        <v>2006_06</v>
      </c>
      <c r="T443" s="1"/>
      <c r="BI443" s="1">
        <v>1</v>
      </c>
    </row>
    <row r="444" spans="1:77" x14ac:dyDescent="0.2">
      <c r="A444" t="s">
        <v>344</v>
      </c>
      <c r="B444" s="1">
        <v>2006</v>
      </c>
      <c r="C444" s="1">
        <v>6</v>
      </c>
      <c r="D444" s="1">
        <v>18</v>
      </c>
      <c r="E444" t="s">
        <v>11</v>
      </c>
      <c r="G444" s="1">
        <v>2</v>
      </c>
      <c r="H444" s="11" t="str">
        <f t="shared" si="26"/>
        <v>2006_06_018.gif</v>
      </c>
      <c r="I444"/>
      <c r="J444"/>
      <c r="L444" s="1" t="b">
        <v>0</v>
      </c>
      <c r="M444" s="1">
        <v>0</v>
      </c>
      <c r="N444" s="1" t="s">
        <v>601</v>
      </c>
      <c r="O444" s="1">
        <v>443</v>
      </c>
      <c r="P444" s="12" t="str">
        <f t="shared" si="28"/>
        <v>Resistance of Wire</v>
      </c>
      <c r="Q444" s="1">
        <v>4825</v>
      </c>
      <c r="R444" s="1" t="str">
        <f t="shared" si="27"/>
        <v>2006_06</v>
      </c>
      <c r="T444" s="1"/>
      <c r="BR444" s="1">
        <v>1</v>
      </c>
    </row>
    <row r="445" spans="1:77" x14ac:dyDescent="0.2">
      <c r="A445" t="s">
        <v>345</v>
      </c>
      <c r="B445" s="1">
        <v>2006</v>
      </c>
      <c r="C445" s="1">
        <v>6</v>
      </c>
      <c r="D445" s="1">
        <v>19</v>
      </c>
      <c r="E445" t="s">
        <v>11</v>
      </c>
      <c r="F445" t="s">
        <v>548</v>
      </c>
      <c r="G445" s="1">
        <v>3</v>
      </c>
      <c r="H445" s="11" t="str">
        <f t="shared" si="26"/>
        <v>2006_06_019.gif</v>
      </c>
      <c r="I445"/>
      <c r="J445"/>
      <c r="L445" s="1" t="b">
        <v>0</v>
      </c>
      <c r="M445" s="1">
        <v>0</v>
      </c>
      <c r="N445" s="1" t="s">
        <v>601</v>
      </c>
      <c r="O445" s="1">
        <v>444</v>
      </c>
      <c r="P445" s="12" t="str">
        <f t="shared" si="28"/>
        <v>Ohm's Law,Mathematical Relationships (Numberless Problems)</v>
      </c>
      <c r="Q445" s="1">
        <v>4826</v>
      </c>
      <c r="R445" s="1" t="str">
        <f t="shared" si="27"/>
        <v>2006_06</v>
      </c>
      <c r="T445" s="1"/>
      <c r="BQ445" s="1">
        <v>1</v>
      </c>
      <c r="BY445" s="1">
        <v>1</v>
      </c>
    </row>
    <row r="446" spans="1:77" x14ac:dyDescent="0.2">
      <c r="A446" t="s">
        <v>346</v>
      </c>
      <c r="B446" s="1">
        <v>2006</v>
      </c>
      <c r="C446" s="1">
        <v>6</v>
      </c>
      <c r="D446" s="1">
        <v>20</v>
      </c>
      <c r="E446" t="s">
        <v>11</v>
      </c>
      <c r="G446" s="1">
        <v>4</v>
      </c>
      <c r="H446" s="11" t="str">
        <f t="shared" si="26"/>
        <v>2006_06_020.gif</v>
      </c>
      <c r="I446"/>
      <c r="J446"/>
      <c r="L446" s="1" t="b">
        <v>0</v>
      </c>
      <c r="M446" s="1">
        <v>0</v>
      </c>
      <c r="N446" s="1" t="s">
        <v>601</v>
      </c>
      <c r="O446" s="1">
        <v>445</v>
      </c>
      <c r="P446" s="12" t="str">
        <f t="shared" si="28"/>
        <v>Series and Parallel</v>
      </c>
      <c r="Q446" s="1">
        <v>4827</v>
      </c>
      <c r="R446" s="1" t="str">
        <f t="shared" si="27"/>
        <v>2006_06</v>
      </c>
      <c r="T446" s="1"/>
      <c r="BS446" s="1">
        <v>1</v>
      </c>
    </row>
    <row r="447" spans="1:77" x14ac:dyDescent="0.2">
      <c r="A447" t="s">
        <v>347</v>
      </c>
      <c r="B447" s="1">
        <v>2006</v>
      </c>
      <c r="C447" s="1">
        <v>6</v>
      </c>
      <c r="D447" s="1">
        <v>21</v>
      </c>
      <c r="E447" t="s">
        <v>11</v>
      </c>
      <c r="G447" s="1">
        <v>1</v>
      </c>
      <c r="H447" s="11" t="str">
        <f t="shared" si="26"/>
        <v>2006_06_021.gif</v>
      </c>
      <c r="I447"/>
      <c r="J447"/>
      <c r="L447" s="1" t="b">
        <v>0</v>
      </c>
      <c r="M447" s="1">
        <v>0</v>
      </c>
      <c r="N447" s="1" t="s">
        <v>601</v>
      </c>
      <c r="O447" s="1">
        <v>446</v>
      </c>
      <c r="P447" s="12" t="str">
        <f t="shared" si="28"/>
        <v>Series and Parallel</v>
      </c>
      <c r="Q447" s="1">
        <v>4828</v>
      </c>
      <c r="R447" s="1" t="str">
        <f t="shared" si="27"/>
        <v>2006_06</v>
      </c>
      <c r="T447" s="1"/>
      <c r="BS447" s="1">
        <v>1</v>
      </c>
    </row>
    <row r="448" spans="1:77" x14ac:dyDescent="0.2">
      <c r="A448" t="s">
        <v>348</v>
      </c>
      <c r="B448" s="1">
        <v>2006</v>
      </c>
      <c r="C448" s="1">
        <v>6</v>
      </c>
      <c r="D448" s="1">
        <v>22</v>
      </c>
      <c r="E448" t="s">
        <v>11</v>
      </c>
      <c r="F448" t="s">
        <v>548</v>
      </c>
      <c r="G448" s="1">
        <v>1</v>
      </c>
      <c r="H448" s="11" t="str">
        <f t="shared" si="26"/>
        <v>2006_06_022.gif</v>
      </c>
      <c r="I448"/>
      <c r="J448"/>
      <c r="L448" s="1" t="b">
        <v>0</v>
      </c>
      <c r="M448" s="1">
        <v>0</v>
      </c>
      <c r="N448" s="1" t="s">
        <v>601</v>
      </c>
      <c r="O448" s="1">
        <v>447</v>
      </c>
      <c r="P448" s="12" t="str">
        <f t="shared" si="28"/>
        <v>Electrical Power,Mathematical Relationships (Numberless Problems)</v>
      </c>
      <c r="Q448" s="1">
        <v>4829</v>
      </c>
      <c r="R448" s="1" t="str">
        <f t="shared" si="27"/>
        <v>2006_06</v>
      </c>
      <c r="T448" s="1"/>
      <c r="BP448" s="1">
        <v>1</v>
      </c>
      <c r="BY448" s="1">
        <v>1</v>
      </c>
    </row>
    <row r="449" spans="1:75" x14ac:dyDescent="0.2">
      <c r="A449" t="s">
        <v>349</v>
      </c>
      <c r="B449" s="1">
        <v>2006</v>
      </c>
      <c r="C449" s="1">
        <v>6</v>
      </c>
      <c r="D449" s="1">
        <v>23</v>
      </c>
      <c r="E449" t="s">
        <v>11</v>
      </c>
      <c r="G449" s="1">
        <v>4</v>
      </c>
      <c r="H449" s="11" t="str">
        <f t="shared" si="26"/>
        <v>2006_06_023.gif</v>
      </c>
      <c r="I449"/>
      <c r="J449"/>
      <c r="L449" s="1" t="b">
        <v>0</v>
      </c>
      <c r="M449" s="1">
        <v>0</v>
      </c>
      <c r="N449" s="1" t="s">
        <v>601</v>
      </c>
      <c r="O449" s="1">
        <v>448</v>
      </c>
      <c r="P449" s="12" t="str">
        <f t="shared" si="28"/>
        <v>Electrical Power</v>
      </c>
      <c r="Q449" s="1">
        <v>4830</v>
      </c>
      <c r="R449" s="1" t="str">
        <f t="shared" si="27"/>
        <v>2006_06</v>
      </c>
      <c r="T449" s="1"/>
      <c r="BP449" s="1">
        <v>1</v>
      </c>
    </row>
    <row r="450" spans="1:75" x14ac:dyDescent="0.2">
      <c r="A450" t="s">
        <v>350</v>
      </c>
      <c r="B450" s="1">
        <v>2006</v>
      </c>
      <c r="C450" s="1">
        <v>6</v>
      </c>
      <c r="D450" s="1">
        <v>24</v>
      </c>
      <c r="E450" t="s">
        <v>11</v>
      </c>
      <c r="G450" s="1">
        <v>3</v>
      </c>
      <c r="H450" s="11" t="str">
        <f t="shared" ref="H450:H513" si="30">HYPERLINK(A450&amp;".gif")</f>
        <v>2006_06_024.gif</v>
      </c>
      <c r="I450"/>
      <c r="J450"/>
      <c r="L450" s="1" t="b">
        <v>0</v>
      </c>
      <c r="M450" s="1">
        <v>0</v>
      </c>
      <c r="N450" s="1" t="s">
        <v>601</v>
      </c>
      <c r="O450" s="1">
        <v>449</v>
      </c>
      <c r="P450" s="12" t="str">
        <f t="shared" si="28"/>
        <v>Series and Parallel</v>
      </c>
      <c r="Q450" s="1">
        <v>4831</v>
      </c>
      <c r="R450" s="1" t="str">
        <f t="shared" si="27"/>
        <v>2006_06</v>
      </c>
      <c r="T450" s="1"/>
      <c r="BS450" s="1">
        <v>1</v>
      </c>
    </row>
    <row r="451" spans="1:75" x14ac:dyDescent="0.2">
      <c r="A451" t="s">
        <v>351</v>
      </c>
      <c r="B451" s="1">
        <v>2006</v>
      </c>
      <c r="C451" s="1">
        <v>6</v>
      </c>
      <c r="D451" s="1">
        <v>25</v>
      </c>
      <c r="E451" t="s">
        <v>9</v>
      </c>
      <c r="G451" s="1">
        <v>2</v>
      </c>
      <c r="H451" s="11" t="str">
        <f t="shared" si="30"/>
        <v>2006_06_025.gif</v>
      </c>
      <c r="I451"/>
      <c r="J451"/>
      <c r="L451" s="1" t="b">
        <v>0</v>
      </c>
      <c r="M451" s="1">
        <v>0</v>
      </c>
      <c r="N451" s="1" t="s">
        <v>601</v>
      </c>
      <c r="O451" s="1">
        <v>450</v>
      </c>
      <c r="P451" s="12" t="str">
        <f t="shared" si="28"/>
        <v>Light and Sound</v>
      </c>
      <c r="Q451" s="1">
        <v>4832</v>
      </c>
      <c r="R451" s="1" t="str">
        <f t="shared" ref="R451:R514" si="31">B451&amp;"_"&amp;TEXT(C451,"00")</f>
        <v>2006_06</v>
      </c>
      <c r="T451" s="1"/>
      <c r="BI451" s="1">
        <v>1</v>
      </c>
    </row>
    <row r="452" spans="1:75" x14ac:dyDescent="0.2">
      <c r="A452" t="s">
        <v>352</v>
      </c>
      <c r="B452" s="1">
        <v>2006</v>
      </c>
      <c r="C452" s="1">
        <v>6</v>
      </c>
      <c r="D452" s="1">
        <v>26</v>
      </c>
      <c r="E452" t="s">
        <v>2</v>
      </c>
      <c r="G452" s="1">
        <v>2</v>
      </c>
      <c r="H452" s="11" t="str">
        <f t="shared" si="30"/>
        <v>2006_06_026.gif</v>
      </c>
      <c r="I452"/>
      <c r="J452"/>
      <c r="L452" s="1" t="b">
        <v>0</v>
      </c>
      <c r="M452" s="1">
        <v>0</v>
      </c>
      <c r="N452" s="1" t="s">
        <v>601</v>
      </c>
      <c r="O452" s="1">
        <v>451</v>
      </c>
      <c r="P452" s="12" t="str">
        <f t="shared" si="28"/>
        <v>DT/VT Graphs</v>
      </c>
      <c r="Q452" s="1">
        <v>4833</v>
      </c>
      <c r="R452" s="1" t="str">
        <f t="shared" si="31"/>
        <v>2006_06</v>
      </c>
      <c r="T452" s="1"/>
      <c r="W452" s="1">
        <v>1</v>
      </c>
    </row>
    <row r="453" spans="1:75" x14ac:dyDescent="0.2">
      <c r="A453" t="s">
        <v>353</v>
      </c>
      <c r="B453" s="1">
        <v>2006</v>
      </c>
      <c r="C453" s="1">
        <v>6</v>
      </c>
      <c r="D453" s="1">
        <v>27</v>
      </c>
      <c r="E453" t="s">
        <v>8</v>
      </c>
      <c r="G453" s="1">
        <v>4</v>
      </c>
      <c r="H453" s="11" t="str">
        <f t="shared" si="30"/>
        <v>2006_06_027.gif</v>
      </c>
      <c r="I453"/>
      <c r="J453"/>
      <c r="L453" s="1" t="b">
        <v>0</v>
      </c>
      <c r="M453" s="1">
        <v>0</v>
      </c>
      <c r="N453" s="1" t="s">
        <v>601</v>
      </c>
      <c r="O453" s="1">
        <v>452</v>
      </c>
      <c r="P453" s="12" t="str">
        <f t="shared" si="28"/>
        <v>Wave Vocabulary</v>
      </c>
      <c r="Q453" s="1">
        <v>4834</v>
      </c>
      <c r="R453" s="1" t="str">
        <f t="shared" si="31"/>
        <v>2006_06</v>
      </c>
      <c r="T453" s="1"/>
      <c r="BF453" s="1">
        <v>1</v>
      </c>
    </row>
    <row r="454" spans="1:75" x14ac:dyDescent="0.2">
      <c r="A454" t="s">
        <v>354</v>
      </c>
      <c r="B454" s="1">
        <v>2006</v>
      </c>
      <c r="C454" s="1">
        <v>6</v>
      </c>
      <c r="D454" s="1">
        <v>28</v>
      </c>
      <c r="E454" t="s">
        <v>9</v>
      </c>
      <c r="G454" s="1">
        <v>2</v>
      </c>
      <c r="H454" s="11" t="str">
        <f t="shared" si="30"/>
        <v>2006_06_028.gif</v>
      </c>
      <c r="I454"/>
      <c r="J454"/>
      <c r="L454" s="1" t="b">
        <v>0</v>
      </c>
      <c r="M454" s="1">
        <v>0</v>
      </c>
      <c r="N454" s="1" t="s">
        <v>601</v>
      </c>
      <c r="O454" s="1">
        <v>453</v>
      </c>
      <c r="P454" s="12" t="str">
        <f t="shared" si="28"/>
        <v>Refraction and Snell's Law</v>
      </c>
      <c r="Q454" s="1">
        <v>4835</v>
      </c>
      <c r="R454" s="1" t="str">
        <f t="shared" si="31"/>
        <v>2006_06</v>
      </c>
      <c r="T454" s="1"/>
      <c r="BJ454" s="1">
        <v>1</v>
      </c>
    </row>
    <row r="455" spans="1:75" x14ac:dyDescent="0.2">
      <c r="A455" t="s">
        <v>355</v>
      </c>
      <c r="B455" s="1">
        <v>2006</v>
      </c>
      <c r="C455" s="1">
        <v>6</v>
      </c>
      <c r="D455" s="1">
        <v>29</v>
      </c>
      <c r="E455" t="s">
        <v>9</v>
      </c>
      <c r="G455" s="1">
        <v>2</v>
      </c>
      <c r="H455" s="11" t="str">
        <f t="shared" si="30"/>
        <v>2006_06_029.gif</v>
      </c>
      <c r="I455"/>
      <c r="J455"/>
      <c r="L455" s="1" t="b">
        <v>0</v>
      </c>
      <c r="M455" s="1">
        <v>0</v>
      </c>
      <c r="N455" s="1" t="s">
        <v>601</v>
      </c>
      <c r="O455" s="1">
        <v>454</v>
      </c>
      <c r="P455" s="12" t="str">
        <f t="shared" si="28"/>
        <v>Refraction and Snell's Law</v>
      </c>
      <c r="Q455" s="1">
        <v>4836</v>
      </c>
      <c r="R455" s="1" t="str">
        <f t="shared" si="31"/>
        <v>2006_06</v>
      </c>
      <c r="T455" s="1"/>
      <c r="BJ455" s="1">
        <v>1</v>
      </c>
    </row>
    <row r="456" spans="1:75" x14ac:dyDescent="0.2">
      <c r="A456" t="s">
        <v>356</v>
      </c>
      <c r="B456" s="1">
        <v>2006</v>
      </c>
      <c r="C456" s="1">
        <v>6</v>
      </c>
      <c r="D456" s="1">
        <v>30</v>
      </c>
      <c r="E456" t="s">
        <v>9</v>
      </c>
      <c r="G456" s="1">
        <v>2</v>
      </c>
      <c r="H456" s="11" t="str">
        <f t="shared" si="30"/>
        <v>2006_06_030.gif</v>
      </c>
      <c r="I456"/>
      <c r="J456"/>
      <c r="L456" s="1" t="b">
        <v>0</v>
      </c>
      <c r="M456" s="1">
        <v>0</v>
      </c>
      <c r="N456" s="1" t="s">
        <v>601</v>
      </c>
      <c r="O456" s="1">
        <v>455</v>
      </c>
      <c r="P456" s="12" t="str">
        <f t="shared" si="28"/>
        <v>Refraction and Snell's Law</v>
      </c>
      <c r="Q456" s="1">
        <v>4837</v>
      </c>
      <c r="R456" s="1" t="str">
        <f t="shared" si="31"/>
        <v>2006_06</v>
      </c>
      <c r="T456" s="1"/>
      <c r="BJ456" s="1">
        <v>1</v>
      </c>
    </row>
    <row r="457" spans="1:75" x14ac:dyDescent="0.2">
      <c r="A457" t="s">
        <v>357</v>
      </c>
      <c r="B457" s="1">
        <v>2006</v>
      </c>
      <c r="C457" s="1">
        <v>6</v>
      </c>
      <c r="D457" s="1">
        <v>31</v>
      </c>
      <c r="E457" t="s">
        <v>8</v>
      </c>
      <c r="G457" s="1">
        <v>4</v>
      </c>
      <c r="H457" s="11" t="str">
        <f t="shared" si="30"/>
        <v>2006_06_031.gif</v>
      </c>
      <c r="I457"/>
      <c r="J457"/>
      <c r="L457" s="1" t="b">
        <v>0</v>
      </c>
      <c r="M457" s="1">
        <v>0</v>
      </c>
      <c r="N457" s="1" t="s">
        <v>601</v>
      </c>
      <c r="O457" s="1">
        <v>456</v>
      </c>
      <c r="P457" s="12" t="str">
        <f t="shared" si="28"/>
        <v>Resonance</v>
      </c>
      <c r="Q457" s="1">
        <v>4838</v>
      </c>
      <c r="R457" s="1" t="str">
        <f t="shared" si="31"/>
        <v>2006_06</v>
      </c>
      <c r="T457" s="1"/>
      <c r="BC457" s="1">
        <v>1</v>
      </c>
    </row>
    <row r="458" spans="1:75" x14ac:dyDescent="0.2">
      <c r="A458" t="s">
        <v>358</v>
      </c>
      <c r="B458" s="1">
        <v>2006</v>
      </c>
      <c r="C458" s="1">
        <v>6</v>
      </c>
      <c r="D458" s="1">
        <v>32</v>
      </c>
      <c r="E458" t="s">
        <v>8</v>
      </c>
      <c r="G458" s="1">
        <v>3</v>
      </c>
      <c r="H458" s="11" t="str">
        <f t="shared" si="30"/>
        <v>2006_06_032.gif</v>
      </c>
      <c r="I458"/>
      <c r="J458"/>
      <c r="L458" s="1" t="b">
        <v>0</v>
      </c>
      <c r="M458" s="1">
        <v>0</v>
      </c>
      <c r="N458" s="1" t="s">
        <v>601</v>
      </c>
      <c r="O458" s="1">
        <v>457</v>
      </c>
      <c r="P458" s="12" t="str">
        <f t="shared" si="28"/>
        <v>Superposition and Standing Waves</v>
      </c>
      <c r="Q458" s="1">
        <v>4839</v>
      </c>
      <c r="R458" s="1" t="str">
        <f t="shared" si="31"/>
        <v>2006_06</v>
      </c>
      <c r="T458" s="1"/>
      <c r="BD458" s="1">
        <v>1</v>
      </c>
    </row>
    <row r="459" spans="1:75" x14ac:dyDescent="0.2">
      <c r="A459" t="s">
        <v>359</v>
      </c>
      <c r="B459" s="1">
        <v>2006</v>
      </c>
      <c r="C459" s="1">
        <v>6</v>
      </c>
      <c r="D459" s="1">
        <v>33</v>
      </c>
      <c r="E459" t="s">
        <v>8</v>
      </c>
      <c r="G459" s="1">
        <v>1</v>
      </c>
      <c r="H459" s="11" t="str">
        <f t="shared" si="30"/>
        <v>2006_06_033.gif</v>
      </c>
      <c r="I459"/>
      <c r="J459"/>
      <c r="L459" s="1" t="b">
        <v>0</v>
      </c>
      <c r="M459" s="1">
        <v>0</v>
      </c>
      <c r="N459" s="1" t="s">
        <v>601</v>
      </c>
      <c r="O459" s="1">
        <v>458</v>
      </c>
      <c r="P459" s="12" t="str">
        <f t="shared" ref="P459:P522" si="32">concatenateif(U459:DI459,1,$U$1:$DI$1)</f>
        <v>Wave Vocabulary</v>
      </c>
      <c r="Q459" s="1">
        <v>4840</v>
      </c>
      <c r="R459" s="1" t="str">
        <f t="shared" si="31"/>
        <v>2006_06</v>
      </c>
      <c r="T459" s="1"/>
      <c r="BF459" s="1">
        <v>1</v>
      </c>
    </row>
    <row r="460" spans="1:75" x14ac:dyDescent="0.2">
      <c r="A460" t="s">
        <v>360</v>
      </c>
      <c r="B460" s="1">
        <v>2006</v>
      </c>
      <c r="C460" s="1">
        <v>6</v>
      </c>
      <c r="D460" s="1">
        <v>34</v>
      </c>
      <c r="E460" t="s">
        <v>13</v>
      </c>
      <c r="G460" s="1">
        <v>3</v>
      </c>
      <c r="H460" s="11" t="str">
        <f t="shared" si="30"/>
        <v>2006_06_034.gif</v>
      </c>
      <c r="I460"/>
      <c r="J460"/>
      <c r="L460" s="1" t="b">
        <v>0</v>
      </c>
      <c r="M460" s="1">
        <v>0</v>
      </c>
      <c r="N460" s="1" t="s">
        <v>601</v>
      </c>
      <c r="O460" s="1">
        <v>459</v>
      </c>
      <c r="P460" s="12" t="str">
        <f t="shared" si="32"/>
        <v>Particle Physics</v>
      </c>
      <c r="Q460" s="1">
        <v>4841</v>
      </c>
      <c r="R460" s="1" t="str">
        <f t="shared" si="31"/>
        <v>2006_06</v>
      </c>
      <c r="T460" s="1"/>
      <c r="BW460" s="1">
        <v>1</v>
      </c>
    </row>
    <row r="461" spans="1:75" x14ac:dyDescent="0.2">
      <c r="A461" t="s">
        <v>361</v>
      </c>
      <c r="B461" s="1">
        <v>2006</v>
      </c>
      <c r="C461" s="1">
        <v>6</v>
      </c>
      <c r="D461" s="1">
        <v>35</v>
      </c>
      <c r="E461" t="s">
        <v>13</v>
      </c>
      <c r="G461" s="1">
        <v>3</v>
      </c>
      <c r="H461" s="11" t="str">
        <f t="shared" si="30"/>
        <v>2006_06_035.gif</v>
      </c>
      <c r="I461"/>
      <c r="J461"/>
      <c r="L461" s="1" t="b">
        <v>0</v>
      </c>
      <c r="M461" s="1">
        <v>0</v>
      </c>
      <c r="N461" s="1" t="s">
        <v>601</v>
      </c>
      <c r="O461" s="1">
        <v>460</v>
      </c>
      <c r="P461" s="12" t="str">
        <f t="shared" si="32"/>
        <v>Energy/Mass Equivalency</v>
      </c>
      <c r="Q461" s="1">
        <v>4842</v>
      </c>
      <c r="R461" s="1" t="str">
        <f t="shared" si="31"/>
        <v>2006_06</v>
      </c>
      <c r="T461" s="1"/>
      <c r="BV461" s="1">
        <v>1</v>
      </c>
    </row>
    <row r="462" spans="1:75" x14ac:dyDescent="0.2">
      <c r="A462" t="str">
        <f t="shared" ref="A462:A477" si="33">B462 &amp; "_" &amp; TEXT(C462,"00") &amp; "_" &amp; TEXT(D462,"000")</f>
        <v>2006_06_036</v>
      </c>
      <c r="B462" s="1">
        <v>2006</v>
      </c>
      <c r="C462" s="1">
        <v>6</v>
      </c>
      <c r="D462" s="1">
        <v>36</v>
      </c>
      <c r="E462" t="s">
        <v>1</v>
      </c>
      <c r="G462" s="1">
        <v>2</v>
      </c>
      <c r="H462" s="11" t="str">
        <f t="shared" si="30"/>
        <v>2006_06_036.gif</v>
      </c>
      <c r="I462"/>
      <c r="J462"/>
      <c r="L462" s="1" t="b">
        <v>0</v>
      </c>
      <c r="M462" s="1">
        <v>0</v>
      </c>
      <c r="N462" s="1" t="s">
        <v>657</v>
      </c>
      <c r="O462" s="1">
        <v>461</v>
      </c>
      <c r="P462" s="12" t="str">
        <f t="shared" si="32"/>
        <v>Estimation</v>
      </c>
      <c r="Q462" s="1">
        <v>4843</v>
      </c>
      <c r="R462" s="1" t="str">
        <f t="shared" si="31"/>
        <v>2006_06</v>
      </c>
      <c r="T462" s="1"/>
      <c r="U462" s="1">
        <v>1</v>
      </c>
    </row>
    <row r="463" spans="1:75" x14ac:dyDescent="0.2">
      <c r="A463" t="str">
        <f t="shared" si="33"/>
        <v>2006_06_037</v>
      </c>
      <c r="B463" s="1">
        <v>2006</v>
      </c>
      <c r="C463" s="1">
        <v>6</v>
      </c>
      <c r="D463" s="1">
        <v>37</v>
      </c>
      <c r="E463" t="s">
        <v>5</v>
      </c>
      <c r="G463" s="1">
        <v>1</v>
      </c>
      <c r="H463" s="11" t="str">
        <f t="shared" si="30"/>
        <v>2006_06_037.gif</v>
      </c>
      <c r="I463"/>
      <c r="J463"/>
      <c r="L463" s="1" t="b">
        <v>0</v>
      </c>
      <c r="M463" s="1">
        <v>0</v>
      </c>
      <c r="N463" s="1" t="s">
        <v>657</v>
      </c>
      <c r="O463" s="1">
        <v>462</v>
      </c>
      <c r="P463" s="12" t="str">
        <f t="shared" si="32"/>
        <v>Weight and Mass</v>
      </c>
      <c r="Q463" s="1">
        <v>4844</v>
      </c>
      <c r="R463" s="1" t="str">
        <f t="shared" si="31"/>
        <v>2006_06</v>
      </c>
      <c r="T463" s="1"/>
      <c r="AT463" s="1">
        <v>1</v>
      </c>
    </row>
    <row r="464" spans="1:75" x14ac:dyDescent="0.2">
      <c r="A464" t="str">
        <f t="shared" si="33"/>
        <v>2006_06_038</v>
      </c>
      <c r="B464" s="1">
        <v>2006</v>
      </c>
      <c r="C464" s="1">
        <v>6</v>
      </c>
      <c r="D464" s="1">
        <v>38</v>
      </c>
      <c r="E464" t="s">
        <v>6</v>
      </c>
      <c r="G464" s="1">
        <v>4</v>
      </c>
      <c r="H464" s="11" t="str">
        <f t="shared" si="30"/>
        <v>2006_06_038.gif</v>
      </c>
      <c r="I464"/>
      <c r="J464"/>
      <c r="L464" s="1" t="b">
        <v>0</v>
      </c>
      <c r="M464" s="1">
        <v>0</v>
      </c>
      <c r="N464" s="1" t="s">
        <v>657</v>
      </c>
      <c r="O464" s="1">
        <v>463</v>
      </c>
      <c r="P464" s="12" t="str">
        <f t="shared" si="32"/>
        <v>Impulse</v>
      </c>
      <c r="Q464" s="1">
        <v>4845</v>
      </c>
      <c r="R464" s="1" t="str">
        <f t="shared" si="31"/>
        <v>2006_06</v>
      </c>
      <c r="T464" s="1"/>
      <c r="AV464" s="1">
        <v>1</v>
      </c>
    </row>
    <row r="465" spans="1:76" x14ac:dyDescent="0.2">
      <c r="A465" t="str">
        <f t="shared" si="33"/>
        <v>2006_06_039</v>
      </c>
      <c r="B465" s="1">
        <v>2006</v>
      </c>
      <c r="C465" s="1">
        <v>6</v>
      </c>
      <c r="D465" s="1">
        <v>39</v>
      </c>
      <c r="E465" t="s">
        <v>5</v>
      </c>
      <c r="F465" t="s">
        <v>548</v>
      </c>
      <c r="G465" s="1">
        <v>1</v>
      </c>
      <c r="H465" s="11" t="str">
        <f t="shared" si="30"/>
        <v>2006_06_039.gif</v>
      </c>
      <c r="I465"/>
      <c r="J465"/>
      <c r="L465" s="1" t="b">
        <v>0</v>
      </c>
      <c r="M465" s="1">
        <v>0</v>
      </c>
      <c r="N465" s="1" t="s">
        <v>657</v>
      </c>
      <c r="O465" s="1">
        <v>464</v>
      </c>
      <c r="P465" s="12" t="str">
        <f t="shared" si="32"/>
        <v>Hooke's Law,Graph Interpretation</v>
      </c>
      <c r="Q465" s="1">
        <v>4846</v>
      </c>
      <c r="R465" s="1" t="str">
        <f t="shared" si="31"/>
        <v>2006_06</v>
      </c>
      <c r="T465" s="1"/>
      <c r="AP465" s="1">
        <v>1</v>
      </c>
      <c r="BX465" s="1">
        <v>1</v>
      </c>
    </row>
    <row r="466" spans="1:76" x14ac:dyDescent="0.2">
      <c r="A466" t="str">
        <f t="shared" si="33"/>
        <v>2006_06_040</v>
      </c>
      <c r="B466" s="1">
        <v>2006</v>
      </c>
      <c r="C466" s="1">
        <v>6</v>
      </c>
      <c r="D466" s="1">
        <v>40</v>
      </c>
      <c r="E466" t="s">
        <v>6</v>
      </c>
      <c r="G466" s="1">
        <v>1</v>
      </c>
      <c r="H466" s="11" t="str">
        <f t="shared" si="30"/>
        <v>2006_06_040.gif</v>
      </c>
      <c r="I466"/>
      <c r="J466"/>
      <c r="L466" s="1" t="b">
        <v>0</v>
      </c>
      <c r="M466" s="1">
        <v>0</v>
      </c>
      <c r="N466" s="1" t="s">
        <v>657</v>
      </c>
      <c r="O466" s="1">
        <v>465</v>
      </c>
      <c r="P466" s="12" t="str">
        <f t="shared" si="32"/>
        <v>Conservation of Momentum</v>
      </c>
      <c r="Q466" s="1">
        <v>4847</v>
      </c>
      <c r="R466" s="1" t="str">
        <f t="shared" si="31"/>
        <v>2006_06</v>
      </c>
      <c r="T466" s="1"/>
      <c r="AU466" s="1">
        <v>1</v>
      </c>
    </row>
    <row r="467" spans="1:76" x14ac:dyDescent="0.2">
      <c r="A467" t="str">
        <f t="shared" si="33"/>
        <v>2006_06_041</v>
      </c>
      <c r="B467" s="1">
        <v>2006</v>
      </c>
      <c r="C467" s="1">
        <v>6</v>
      </c>
      <c r="D467" s="1">
        <v>41</v>
      </c>
      <c r="E467" t="s">
        <v>2</v>
      </c>
      <c r="F467" t="s">
        <v>1</v>
      </c>
      <c r="G467" s="1">
        <v>4</v>
      </c>
      <c r="H467" s="11" t="str">
        <f t="shared" si="30"/>
        <v>2006_06_041.gif</v>
      </c>
      <c r="I467"/>
      <c r="J467"/>
      <c r="L467" s="1" t="b">
        <v>0</v>
      </c>
      <c r="M467" s="1">
        <v>0</v>
      </c>
      <c r="N467" s="1" t="s">
        <v>657</v>
      </c>
      <c r="O467" s="1">
        <v>466</v>
      </c>
      <c r="P467" s="12" t="str">
        <f t="shared" si="32"/>
        <v>Units</v>
      </c>
      <c r="Q467" s="1">
        <v>4848</v>
      </c>
      <c r="R467" s="1" t="str">
        <f t="shared" si="31"/>
        <v>2006_06</v>
      </c>
      <c r="T467" s="1"/>
      <c r="V467" s="1">
        <v>1</v>
      </c>
    </row>
    <row r="468" spans="1:76" x14ac:dyDescent="0.2">
      <c r="A468" t="str">
        <f t="shared" si="33"/>
        <v>2006_06_042</v>
      </c>
      <c r="B468" s="1">
        <v>2006</v>
      </c>
      <c r="C468" s="1">
        <v>6</v>
      </c>
      <c r="D468" s="1">
        <v>42</v>
      </c>
      <c r="E468" t="s">
        <v>10</v>
      </c>
      <c r="G468" s="1">
        <v>2</v>
      </c>
      <c r="H468" s="11" t="str">
        <f t="shared" si="30"/>
        <v>2006_06_042.gif</v>
      </c>
      <c r="I468"/>
      <c r="J468"/>
      <c r="L468" s="1" t="b">
        <v>0</v>
      </c>
      <c r="M468" s="1">
        <v>0</v>
      </c>
      <c r="N468" s="1" t="s">
        <v>657</v>
      </c>
      <c r="O468" s="1">
        <v>467</v>
      </c>
      <c r="P468" s="12" t="str">
        <f t="shared" si="32"/>
        <v>Electric Fields and Potential</v>
      </c>
      <c r="Q468" s="1">
        <v>4849</v>
      </c>
      <c r="R468" s="1" t="str">
        <f t="shared" si="31"/>
        <v>2006_06</v>
      </c>
      <c r="T468" s="1"/>
      <c r="BN468" s="1">
        <v>1</v>
      </c>
    </row>
    <row r="469" spans="1:76" x14ac:dyDescent="0.2">
      <c r="A469" t="str">
        <f t="shared" si="33"/>
        <v>2006_06_043</v>
      </c>
      <c r="B469" s="1">
        <v>2006</v>
      </c>
      <c r="C469" s="1">
        <v>6</v>
      </c>
      <c r="D469" s="1">
        <v>43</v>
      </c>
      <c r="E469" t="s">
        <v>11</v>
      </c>
      <c r="G469" s="1">
        <v>4</v>
      </c>
      <c r="H469" s="11" t="str">
        <f t="shared" si="30"/>
        <v>2006_06_043.gif</v>
      </c>
      <c r="I469"/>
      <c r="J469"/>
      <c r="L469" s="1" t="b">
        <v>0</v>
      </c>
      <c r="M469" s="1">
        <v>0</v>
      </c>
      <c r="N469" s="1" t="s">
        <v>657</v>
      </c>
      <c r="O469" s="1">
        <v>468</v>
      </c>
      <c r="P469" s="12" t="str">
        <f t="shared" si="32"/>
        <v>Resistance of Wire</v>
      </c>
      <c r="Q469" s="1">
        <v>4850</v>
      </c>
      <c r="R469" s="1" t="str">
        <f t="shared" si="31"/>
        <v>2006_06</v>
      </c>
      <c r="T469" s="1"/>
      <c r="BR469" s="1">
        <v>1</v>
      </c>
    </row>
    <row r="470" spans="1:76" x14ac:dyDescent="0.2">
      <c r="A470" t="str">
        <f t="shared" si="33"/>
        <v>2006_06_044</v>
      </c>
      <c r="B470" s="1">
        <v>2006</v>
      </c>
      <c r="C470" s="1">
        <v>6</v>
      </c>
      <c r="D470" s="1">
        <v>44</v>
      </c>
      <c r="E470" t="s">
        <v>4</v>
      </c>
      <c r="F470" t="s">
        <v>3</v>
      </c>
      <c r="G470" s="1">
        <v>1</v>
      </c>
      <c r="H470" s="11" t="str">
        <f t="shared" si="30"/>
        <v>2006_06_044.gif</v>
      </c>
      <c r="I470"/>
      <c r="J470"/>
      <c r="L470" s="1" t="b">
        <v>0</v>
      </c>
      <c r="M470" s="1">
        <v>0</v>
      </c>
      <c r="N470" s="1" t="s">
        <v>657</v>
      </c>
      <c r="O470" s="1">
        <v>469</v>
      </c>
      <c r="P470" s="12" t="str">
        <f t="shared" si="32"/>
        <v>Vector Components,Projectiles at an Angle</v>
      </c>
      <c r="Q470" s="1">
        <v>4851</v>
      </c>
      <c r="R470" s="1" t="str">
        <f t="shared" si="31"/>
        <v>2006_06</v>
      </c>
      <c r="T470" s="1"/>
      <c r="AE470" s="1">
        <v>1</v>
      </c>
      <c r="AH470" s="1">
        <v>1</v>
      </c>
    </row>
    <row r="471" spans="1:76" x14ac:dyDescent="0.2">
      <c r="A471" t="str">
        <f t="shared" si="33"/>
        <v>2006_06_045</v>
      </c>
      <c r="B471" s="1">
        <v>2006</v>
      </c>
      <c r="C471" s="1">
        <v>6</v>
      </c>
      <c r="D471" s="1">
        <v>45</v>
      </c>
      <c r="E471" t="s">
        <v>7</v>
      </c>
      <c r="F471" t="s">
        <v>548</v>
      </c>
      <c r="G471" s="1">
        <v>3</v>
      </c>
      <c r="H471" s="11" t="str">
        <f t="shared" si="30"/>
        <v>2006_06_045.gif</v>
      </c>
      <c r="I471"/>
      <c r="J471"/>
      <c r="L471" s="1" t="b">
        <v>0</v>
      </c>
      <c r="M471" s="1">
        <v>0</v>
      </c>
      <c r="N471" s="1" t="s">
        <v>657</v>
      </c>
      <c r="O471" s="1">
        <v>470</v>
      </c>
      <c r="P471" s="12" t="str">
        <f t="shared" si="32"/>
        <v>Work/Power,Graph Interpretation</v>
      </c>
      <c r="Q471" s="1">
        <v>4852</v>
      </c>
      <c r="R471" s="1" t="str">
        <f t="shared" si="31"/>
        <v>2006_06</v>
      </c>
      <c r="T471" s="1"/>
      <c r="BB471" s="1">
        <v>1</v>
      </c>
      <c r="BX471" s="1">
        <v>1</v>
      </c>
    </row>
    <row r="472" spans="1:76" x14ac:dyDescent="0.2">
      <c r="A472" t="str">
        <f t="shared" si="33"/>
        <v>2006_06_046</v>
      </c>
      <c r="B472" s="1">
        <v>2006</v>
      </c>
      <c r="C472" s="1">
        <v>6</v>
      </c>
      <c r="D472" s="1">
        <v>46</v>
      </c>
      <c r="E472" t="s">
        <v>8</v>
      </c>
      <c r="G472" s="1">
        <v>2</v>
      </c>
      <c r="H472" s="11" t="str">
        <f t="shared" si="30"/>
        <v>2006_06_046.gif</v>
      </c>
      <c r="I472"/>
      <c r="J472"/>
      <c r="L472" s="1" t="b">
        <v>0</v>
      </c>
      <c r="M472" s="1">
        <v>0</v>
      </c>
      <c r="N472" s="1" t="s">
        <v>657</v>
      </c>
      <c r="O472" s="1">
        <v>471</v>
      </c>
      <c r="P472" s="12" t="str">
        <f t="shared" si="32"/>
        <v>Superposition and Standing Waves</v>
      </c>
      <c r="Q472" s="1">
        <v>4853</v>
      </c>
      <c r="R472" s="1" t="str">
        <f t="shared" si="31"/>
        <v>2006_06</v>
      </c>
      <c r="T472" s="1"/>
      <c r="BD472" s="1">
        <v>1</v>
      </c>
    </row>
    <row r="473" spans="1:76" x14ac:dyDescent="0.2">
      <c r="A473" t="str">
        <f t="shared" si="33"/>
        <v>2006_06_047</v>
      </c>
      <c r="B473" s="1">
        <v>2006</v>
      </c>
      <c r="C473" s="1">
        <v>6</v>
      </c>
      <c r="D473" s="1">
        <v>47</v>
      </c>
      <c r="E473" t="s">
        <v>10</v>
      </c>
      <c r="F473" t="s">
        <v>548</v>
      </c>
      <c r="G473" s="1">
        <v>3</v>
      </c>
      <c r="H473" s="11" t="str">
        <f t="shared" si="30"/>
        <v>2006_06_047.gif</v>
      </c>
      <c r="I473"/>
      <c r="J473"/>
      <c r="L473" s="1" t="b">
        <v>0</v>
      </c>
      <c r="M473" s="1">
        <v>0</v>
      </c>
      <c r="N473" s="1" t="s">
        <v>657</v>
      </c>
      <c r="O473" s="1">
        <v>472</v>
      </c>
      <c r="P473" s="12" t="str">
        <f t="shared" si="32"/>
        <v>Electric Fields and Potential,Graph Interpretation</v>
      </c>
      <c r="Q473" s="1">
        <v>4854</v>
      </c>
      <c r="R473" s="1" t="str">
        <f t="shared" si="31"/>
        <v>2006_06</v>
      </c>
      <c r="T473" s="1"/>
      <c r="BN473" s="1">
        <v>1</v>
      </c>
      <c r="BX473" s="1">
        <v>1</v>
      </c>
    </row>
    <row r="474" spans="1:76" x14ac:dyDescent="0.2">
      <c r="A474" t="str">
        <f t="shared" si="33"/>
        <v>2006_06_048</v>
      </c>
      <c r="B474" s="1">
        <v>2006</v>
      </c>
      <c r="C474" s="1">
        <v>6</v>
      </c>
      <c r="D474" s="1">
        <v>48</v>
      </c>
      <c r="E474" t="s">
        <v>8</v>
      </c>
      <c r="F474" t="s">
        <v>9</v>
      </c>
      <c r="G474" s="1">
        <v>2</v>
      </c>
      <c r="H474" s="11" t="str">
        <f t="shared" si="30"/>
        <v>2006_06_048.gif</v>
      </c>
      <c r="I474"/>
      <c r="J474"/>
      <c r="L474" s="1" t="b">
        <v>0</v>
      </c>
      <c r="M474" s="1">
        <v>0</v>
      </c>
      <c r="N474" s="1" t="s">
        <v>657</v>
      </c>
      <c r="O474" s="1">
        <v>473</v>
      </c>
      <c r="P474" s="12" t="str">
        <f t="shared" si="32"/>
        <v>Wave Vocabulary,Light and Sound</v>
      </c>
      <c r="Q474" s="1">
        <v>4855</v>
      </c>
      <c r="R474" s="1" t="str">
        <f t="shared" si="31"/>
        <v>2006_06</v>
      </c>
      <c r="T474" s="1"/>
      <c r="BF474" s="1">
        <v>1</v>
      </c>
      <c r="BI474" s="1">
        <v>1</v>
      </c>
    </row>
    <row r="475" spans="1:76" x14ac:dyDescent="0.2">
      <c r="A475" t="str">
        <f t="shared" si="33"/>
        <v>2006_06_049</v>
      </c>
      <c r="B475" s="1">
        <v>2006</v>
      </c>
      <c r="C475" s="1">
        <v>6</v>
      </c>
      <c r="D475" s="1">
        <v>49</v>
      </c>
      <c r="E475" t="s">
        <v>9</v>
      </c>
      <c r="G475" s="1">
        <v>3</v>
      </c>
      <c r="H475" s="11" t="str">
        <f t="shared" si="30"/>
        <v>2006_06_049.gif</v>
      </c>
      <c r="I475"/>
      <c r="J475"/>
      <c r="L475" s="1" t="b">
        <v>0</v>
      </c>
      <c r="M475" s="1">
        <v>0</v>
      </c>
      <c r="N475" s="1" t="s">
        <v>657</v>
      </c>
      <c r="O475" s="1">
        <v>474</v>
      </c>
      <c r="P475" s="12" t="str">
        <f t="shared" si="32"/>
        <v>Light and Sound</v>
      </c>
      <c r="Q475" s="1">
        <v>4856</v>
      </c>
      <c r="R475" s="1" t="str">
        <f t="shared" si="31"/>
        <v>2006_06</v>
      </c>
      <c r="T475" s="1"/>
      <c r="BI475" s="1">
        <v>1</v>
      </c>
    </row>
    <row r="476" spans="1:76" x14ac:dyDescent="0.2">
      <c r="A476" t="str">
        <f t="shared" si="33"/>
        <v>2006_06_050</v>
      </c>
      <c r="B476" s="1">
        <v>2006</v>
      </c>
      <c r="C476" s="1">
        <v>6</v>
      </c>
      <c r="D476" s="1">
        <v>50</v>
      </c>
      <c r="E476" t="s">
        <v>13</v>
      </c>
      <c r="F476" t="s">
        <v>9</v>
      </c>
      <c r="G476" s="1">
        <v>1</v>
      </c>
      <c r="H476" s="11" t="str">
        <f t="shared" si="30"/>
        <v>2006_06_050.gif</v>
      </c>
      <c r="I476"/>
      <c r="J476"/>
      <c r="L476" s="1" t="b">
        <v>0</v>
      </c>
      <c r="M476" s="1">
        <v>0</v>
      </c>
      <c r="N476" s="1" t="s">
        <v>657</v>
      </c>
      <c r="O476" s="1">
        <v>475</v>
      </c>
      <c r="P476" s="12" t="str">
        <f t="shared" si="32"/>
        <v>Light and Sound,Energy/Frequency of Photon</v>
      </c>
      <c r="Q476" s="1">
        <v>4857</v>
      </c>
      <c r="R476" s="1" t="str">
        <f t="shared" si="31"/>
        <v>2006_06</v>
      </c>
      <c r="T476" s="1"/>
      <c r="BI476" s="1">
        <v>1</v>
      </c>
      <c r="BU476" s="1">
        <v>1</v>
      </c>
    </row>
    <row r="477" spans="1:76" x14ac:dyDescent="0.2">
      <c r="A477" t="str">
        <f t="shared" si="33"/>
        <v>2006_06_051</v>
      </c>
      <c r="B477" s="1">
        <v>2006</v>
      </c>
      <c r="C477" s="1">
        <v>6</v>
      </c>
      <c r="D477" s="1">
        <v>51</v>
      </c>
      <c r="E477" t="s">
        <v>13</v>
      </c>
      <c r="G477" s="1">
        <v>4</v>
      </c>
      <c r="H477" s="11" t="str">
        <f t="shared" si="30"/>
        <v>2006_06_051.gif</v>
      </c>
      <c r="I477"/>
      <c r="J477"/>
      <c r="L477" s="1" t="b">
        <v>0</v>
      </c>
      <c r="M477" s="1">
        <v>0</v>
      </c>
      <c r="N477" s="1" t="s">
        <v>657</v>
      </c>
      <c r="O477" s="1">
        <v>476</v>
      </c>
      <c r="P477" s="12" t="str">
        <f t="shared" si="32"/>
        <v>Particle Physics</v>
      </c>
      <c r="Q477" s="1">
        <v>4858</v>
      </c>
      <c r="R477" s="1" t="str">
        <f t="shared" si="31"/>
        <v>2006_06</v>
      </c>
      <c r="T477" s="1"/>
      <c r="BW477" s="1">
        <v>1</v>
      </c>
    </row>
    <row r="478" spans="1:76" x14ac:dyDescent="0.2">
      <c r="A478" t="s">
        <v>362</v>
      </c>
      <c r="B478" s="1">
        <v>2007</v>
      </c>
      <c r="C478" s="1">
        <v>1</v>
      </c>
      <c r="D478" s="1">
        <v>1</v>
      </c>
      <c r="E478" t="s">
        <v>3</v>
      </c>
      <c r="G478" s="1">
        <v>2</v>
      </c>
      <c r="H478" s="11" t="str">
        <f t="shared" si="30"/>
        <v>2007_01_001.gif</v>
      </c>
      <c r="I478"/>
      <c r="J478"/>
      <c r="L478" s="1" t="b">
        <v>0</v>
      </c>
      <c r="M478" s="1">
        <v>0</v>
      </c>
      <c r="N478" s="1" t="s">
        <v>601</v>
      </c>
      <c r="O478" s="1">
        <v>477</v>
      </c>
      <c r="P478" s="12" t="str">
        <f t="shared" si="32"/>
        <v>Vector vs. Scalar</v>
      </c>
      <c r="Q478" s="1">
        <v>4882</v>
      </c>
      <c r="R478" s="1" t="str">
        <f t="shared" si="31"/>
        <v>2007_01</v>
      </c>
      <c r="T478" s="1"/>
      <c r="AF478" s="1">
        <v>1</v>
      </c>
    </row>
    <row r="479" spans="1:76" x14ac:dyDescent="0.2">
      <c r="A479" t="s">
        <v>363</v>
      </c>
      <c r="B479" s="1">
        <v>2007</v>
      </c>
      <c r="C479" s="1">
        <v>1</v>
      </c>
      <c r="D479" s="1">
        <v>2</v>
      </c>
      <c r="E479" t="s">
        <v>3</v>
      </c>
      <c r="G479" s="1">
        <v>1</v>
      </c>
      <c r="H479" s="11" t="str">
        <f t="shared" si="30"/>
        <v>2007_01_002.gif</v>
      </c>
      <c r="I479"/>
      <c r="J479"/>
      <c r="L479" s="1" t="b">
        <v>0</v>
      </c>
      <c r="M479" s="1">
        <v>0</v>
      </c>
      <c r="N479" s="1" t="s">
        <v>601</v>
      </c>
      <c r="O479" s="1">
        <v>478</v>
      </c>
      <c r="P479" s="12" t="str">
        <f t="shared" si="32"/>
        <v>Adding Vectors</v>
      </c>
      <c r="Q479" s="1">
        <v>4883</v>
      </c>
      <c r="R479" s="1" t="str">
        <f t="shared" si="31"/>
        <v>2007_01</v>
      </c>
      <c r="T479" s="1"/>
      <c r="AD479" s="1">
        <v>1</v>
      </c>
    </row>
    <row r="480" spans="1:76" x14ac:dyDescent="0.2">
      <c r="A480" t="s">
        <v>364</v>
      </c>
      <c r="B480" s="1">
        <v>2007</v>
      </c>
      <c r="C480" s="1">
        <v>1</v>
      </c>
      <c r="D480" s="1">
        <v>3</v>
      </c>
      <c r="E480" t="s">
        <v>2</v>
      </c>
      <c r="G480" s="1">
        <v>1</v>
      </c>
      <c r="H480" s="11" t="str">
        <f t="shared" si="30"/>
        <v>2007_01_003.gif</v>
      </c>
      <c r="I480"/>
      <c r="J480"/>
      <c r="L480" s="1" t="b">
        <v>0</v>
      </c>
      <c r="M480" s="1">
        <v>0</v>
      </c>
      <c r="N480" s="1" t="s">
        <v>601</v>
      </c>
      <c r="O480" s="1">
        <v>479</v>
      </c>
      <c r="P480" s="12" t="str">
        <f t="shared" si="32"/>
        <v>Horizontal Constant Acceleration Problems</v>
      </c>
      <c r="Q480" s="1">
        <v>4884</v>
      </c>
      <c r="R480" s="1" t="str">
        <f t="shared" si="31"/>
        <v>2007_01</v>
      </c>
      <c r="T480" s="1"/>
      <c r="AB480" s="1">
        <v>1</v>
      </c>
    </row>
    <row r="481" spans="1:78" x14ac:dyDescent="0.2">
      <c r="A481" t="s">
        <v>365</v>
      </c>
      <c r="B481" s="1">
        <v>2007</v>
      </c>
      <c r="C481" s="1">
        <v>1</v>
      </c>
      <c r="D481" s="1">
        <v>4</v>
      </c>
      <c r="E481" t="s">
        <v>2</v>
      </c>
      <c r="G481" s="1">
        <v>2</v>
      </c>
      <c r="H481" s="11" t="str">
        <f t="shared" si="30"/>
        <v>2007_01_004.gif</v>
      </c>
      <c r="I481"/>
      <c r="J481"/>
      <c r="L481" s="1" t="b">
        <v>0</v>
      </c>
      <c r="M481" s="1">
        <v>0</v>
      </c>
      <c r="N481" s="1" t="s">
        <v>601</v>
      </c>
      <c r="O481" s="1">
        <v>480</v>
      </c>
      <c r="P481" s="12" t="str">
        <f t="shared" si="32"/>
        <v>Vertical Constant Acceleration Problems</v>
      </c>
      <c r="Q481" s="1">
        <v>4885</v>
      </c>
      <c r="R481" s="1" t="str">
        <f t="shared" si="31"/>
        <v>2007_01</v>
      </c>
      <c r="T481" s="1"/>
      <c r="AC481" s="1">
        <v>1</v>
      </c>
    </row>
    <row r="482" spans="1:78" x14ac:dyDescent="0.2">
      <c r="A482" t="s">
        <v>366</v>
      </c>
      <c r="B482" s="1">
        <v>2007</v>
      </c>
      <c r="C482" s="1">
        <v>1</v>
      </c>
      <c r="D482" s="1">
        <v>5</v>
      </c>
      <c r="E482" t="s">
        <v>4</v>
      </c>
      <c r="G482" s="1">
        <v>4</v>
      </c>
      <c r="H482" s="11" t="str">
        <f t="shared" si="30"/>
        <v>2007_01_005.gif</v>
      </c>
      <c r="I482"/>
      <c r="J482"/>
      <c r="L482" s="1" t="b">
        <v>0</v>
      </c>
      <c r="M482" s="1">
        <v>0</v>
      </c>
      <c r="N482" s="1" t="s">
        <v>601</v>
      </c>
      <c r="O482" s="1">
        <v>481</v>
      </c>
      <c r="P482" s="12" t="str">
        <f t="shared" si="32"/>
        <v>Projectiles at an Angle</v>
      </c>
      <c r="Q482" s="1">
        <v>4886</v>
      </c>
      <c r="R482" s="1" t="str">
        <f t="shared" si="31"/>
        <v>2007_01</v>
      </c>
      <c r="T482" s="1"/>
      <c r="AH482" s="1">
        <v>1</v>
      </c>
    </row>
    <row r="483" spans="1:78" x14ac:dyDescent="0.2">
      <c r="A483" t="s">
        <v>367</v>
      </c>
      <c r="B483" s="1">
        <v>2007</v>
      </c>
      <c r="C483" s="1">
        <v>1</v>
      </c>
      <c r="D483" s="1">
        <v>6</v>
      </c>
      <c r="E483" t="s">
        <v>4</v>
      </c>
      <c r="G483" s="1">
        <v>2</v>
      </c>
      <c r="H483" s="11" t="str">
        <f t="shared" si="30"/>
        <v>2007_01_006.gif</v>
      </c>
      <c r="I483"/>
      <c r="J483"/>
      <c r="L483" s="1" t="b">
        <v>0</v>
      </c>
      <c r="M483" s="1">
        <v>0</v>
      </c>
      <c r="N483" s="1" t="s">
        <v>601</v>
      </c>
      <c r="O483" s="1">
        <v>482</v>
      </c>
      <c r="P483" s="12" t="str">
        <f t="shared" si="32"/>
        <v>Centripetal Motion - Direction F,A,V</v>
      </c>
      <c r="Q483" s="1">
        <v>4887</v>
      </c>
      <c r="R483" s="1" t="str">
        <f t="shared" si="31"/>
        <v>2007_01</v>
      </c>
      <c r="T483" s="1"/>
      <c r="AL483" s="1">
        <v>1</v>
      </c>
    </row>
    <row r="484" spans="1:78" x14ac:dyDescent="0.2">
      <c r="A484" t="s">
        <v>368</v>
      </c>
      <c r="B484" s="1">
        <v>2007</v>
      </c>
      <c r="C484" s="1">
        <v>1</v>
      </c>
      <c r="D484" s="1">
        <v>7</v>
      </c>
      <c r="E484" t="s">
        <v>4</v>
      </c>
      <c r="G484" s="1">
        <v>2</v>
      </c>
      <c r="H484" s="11" t="str">
        <f t="shared" si="30"/>
        <v>2007_01_007.gif</v>
      </c>
      <c r="I484"/>
      <c r="J484"/>
      <c r="L484" s="1" t="b">
        <v>0</v>
      </c>
      <c r="M484" s="1">
        <v>0</v>
      </c>
      <c r="N484" s="1" t="s">
        <v>601</v>
      </c>
      <c r="O484" s="1">
        <v>483</v>
      </c>
      <c r="P484" s="12" t="str">
        <f t="shared" si="32"/>
        <v>Horizontal Projectile Range</v>
      </c>
      <c r="Q484" s="1">
        <v>4888</v>
      </c>
      <c r="R484" s="1" t="str">
        <f t="shared" si="31"/>
        <v>2007_01</v>
      </c>
      <c r="T484" s="1"/>
      <c r="AI484" s="1">
        <v>1</v>
      </c>
    </row>
    <row r="485" spans="1:78" x14ac:dyDescent="0.2">
      <c r="A485" t="s">
        <v>369</v>
      </c>
      <c r="B485" s="1">
        <v>2007</v>
      </c>
      <c r="C485" s="1">
        <v>1</v>
      </c>
      <c r="D485" s="1">
        <v>8</v>
      </c>
      <c r="E485" t="s">
        <v>6</v>
      </c>
      <c r="G485" s="1">
        <v>3</v>
      </c>
      <c r="H485" s="11" t="str">
        <f t="shared" si="30"/>
        <v>2007_01_008.gif</v>
      </c>
      <c r="I485"/>
      <c r="J485"/>
      <c r="L485" s="1" t="b">
        <v>0</v>
      </c>
      <c r="M485" s="1">
        <v>0</v>
      </c>
      <c r="N485" s="1" t="s">
        <v>601</v>
      </c>
      <c r="O485" s="1">
        <v>484</v>
      </c>
      <c r="P485" s="12" t="str">
        <f t="shared" si="32"/>
        <v>Conservation of Momentum</v>
      </c>
      <c r="Q485" s="1">
        <v>4889</v>
      </c>
      <c r="R485" s="1" t="str">
        <f t="shared" si="31"/>
        <v>2007_01</v>
      </c>
      <c r="T485" s="1"/>
      <c r="AU485" s="1">
        <v>1</v>
      </c>
    </row>
    <row r="486" spans="1:78" x14ac:dyDescent="0.2">
      <c r="A486" t="s">
        <v>370</v>
      </c>
      <c r="B486" s="1">
        <v>2007</v>
      </c>
      <c r="C486" s="1">
        <v>1</v>
      </c>
      <c r="D486" s="1">
        <v>9</v>
      </c>
      <c r="E486" t="s">
        <v>5</v>
      </c>
      <c r="G486" s="1">
        <v>4</v>
      </c>
      <c r="H486" s="11" t="str">
        <f t="shared" si="30"/>
        <v>2007_01_009.gif</v>
      </c>
      <c r="I486"/>
      <c r="J486"/>
      <c r="L486" s="1" t="b">
        <v>0</v>
      </c>
      <c r="M486" s="1">
        <v>0</v>
      </c>
      <c r="N486" s="1" t="s">
        <v>601</v>
      </c>
      <c r="O486" s="1">
        <v>485</v>
      </c>
      <c r="P486" s="12" t="str">
        <f t="shared" si="32"/>
        <v>Newton's 1st Law (Inertia)</v>
      </c>
      <c r="Q486" s="1">
        <v>4890</v>
      </c>
      <c r="R486" s="1" t="str">
        <f t="shared" si="31"/>
        <v>2007_01</v>
      </c>
      <c r="T486" s="1"/>
      <c r="AR486" s="1">
        <v>1</v>
      </c>
    </row>
    <row r="487" spans="1:78" x14ac:dyDescent="0.2">
      <c r="A487" t="s">
        <v>371</v>
      </c>
      <c r="B487" s="1">
        <v>2007</v>
      </c>
      <c r="C487" s="1">
        <v>1</v>
      </c>
      <c r="D487" s="1">
        <v>10</v>
      </c>
      <c r="E487" t="s">
        <v>5</v>
      </c>
      <c r="G487" s="1">
        <v>2</v>
      </c>
      <c r="H487" s="11" t="str">
        <f t="shared" si="30"/>
        <v>2007_01_010.gif</v>
      </c>
      <c r="I487"/>
      <c r="J487"/>
      <c r="L487" s="1" t="b">
        <v>0</v>
      </c>
      <c r="M487" s="1">
        <v>0</v>
      </c>
      <c r="N487" s="1" t="s">
        <v>601</v>
      </c>
      <c r="O487" s="1">
        <v>486</v>
      </c>
      <c r="P487" s="12" t="str">
        <f t="shared" si="32"/>
        <v>Weight and Mass</v>
      </c>
      <c r="Q487" s="1">
        <v>4891</v>
      </c>
      <c r="R487" s="1" t="str">
        <f t="shared" si="31"/>
        <v>2007_01</v>
      </c>
      <c r="T487" s="1"/>
      <c r="AT487" s="1">
        <v>1</v>
      </c>
    </row>
    <row r="488" spans="1:78" x14ac:dyDescent="0.2">
      <c r="A488" t="s">
        <v>372</v>
      </c>
      <c r="B488" s="1">
        <v>2007</v>
      </c>
      <c r="C488" s="1">
        <v>1</v>
      </c>
      <c r="D488" s="1">
        <v>11</v>
      </c>
      <c r="E488" t="s">
        <v>6</v>
      </c>
      <c r="G488" s="1">
        <v>4</v>
      </c>
      <c r="H488" s="11" t="str">
        <f t="shared" si="30"/>
        <v>2007_01_011.gif</v>
      </c>
      <c r="I488"/>
      <c r="J488"/>
      <c r="L488" s="1" t="b">
        <v>0</v>
      </c>
      <c r="M488" s="1">
        <v>0</v>
      </c>
      <c r="N488" s="1" t="s">
        <v>601</v>
      </c>
      <c r="O488" s="1">
        <v>487</v>
      </c>
      <c r="P488" s="12" t="str">
        <f t="shared" si="32"/>
        <v>Impulse</v>
      </c>
      <c r="Q488" s="1">
        <v>4892</v>
      </c>
      <c r="R488" s="1" t="str">
        <f t="shared" si="31"/>
        <v>2007_01</v>
      </c>
      <c r="T488" s="1"/>
      <c r="AV488" s="1">
        <v>1</v>
      </c>
    </row>
    <row r="489" spans="1:78" x14ac:dyDescent="0.2">
      <c r="A489" t="s">
        <v>373</v>
      </c>
      <c r="B489" s="1">
        <v>2007</v>
      </c>
      <c r="C489" s="1">
        <v>1</v>
      </c>
      <c r="D489" s="1">
        <v>12</v>
      </c>
      <c r="E489" t="s">
        <v>7</v>
      </c>
      <c r="G489" s="1">
        <v>1</v>
      </c>
      <c r="H489" s="11" t="str">
        <f t="shared" si="30"/>
        <v>2007_01_012.gif</v>
      </c>
      <c r="I489"/>
      <c r="J489"/>
      <c r="L489" s="1" t="b">
        <v>0</v>
      </c>
      <c r="M489" s="1">
        <v>0</v>
      </c>
      <c r="N489" s="1" t="s">
        <v>601</v>
      </c>
      <c r="O489" s="1">
        <v>488</v>
      </c>
      <c r="P489" s="12" t="str">
        <f t="shared" si="32"/>
        <v>PE of Spring</v>
      </c>
      <c r="Q489" s="1">
        <v>4893</v>
      </c>
      <c r="R489" s="1" t="str">
        <f t="shared" si="31"/>
        <v>2007_01</v>
      </c>
      <c r="T489" s="1"/>
      <c r="BA489" s="1">
        <v>1</v>
      </c>
    </row>
    <row r="490" spans="1:78" x14ac:dyDescent="0.2">
      <c r="A490" t="s">
        <v>374</v>
      </c>
      <c r="B490" s="1">
        <v>2007</v>
      </c>
      <c r="C490" s="1">
        <v>1</v>
      </c>
      <c r="D490" s="1">
        <v>13</v>
      </c>
      <c r="E490" t="s">
        <v>7</v>
      </c>
      <c r="G490" s="1">
        <v>4</v>
      </c>
      <c r="H490" s="11" t="str">
        <f t="shared" si="30"/>
        <v>2007_01_013.gif</v>
      </c>
      <c r="I490"/>
      <c r="J490"/>
      <c r="L490" s="1" t="b">
        <v>0</v>
      </c>
      <c r="M490" s="1">
        <v>0</v>
      </c>
      <c r="N490" s="1" t="s">
        <v>601</v>
      </c>
      <c r="O490" s="1">
        <v>489</v>
      </c>
      <c r="P490" s="12" t="str">
        <f t="shared" si="32"/>
        <v>Conservation of Energy,Work/Power</v>
      </c>
      <c r="Q490" s="1">
        <v>4894</v>
      </c>
      <c r="R490" s="1" t="str">
        <f t="shared" si="31"/>
        <v>2007_01</v>
      </c>
      <c r="T490" s="1"/>
      <c r="AX490" s="1">
        <v>1</v>
      </c>
      <c r="BB490" s="1">
        <v>1</v>
      </c>
    </row>
    <row r="491" spans="1:78" x14ac:dyDescent="0.2">
      <c r="A491" t="s">
        <v>375</v>
      </c>
      <c r="B491" s="1">
        <v>2007</v>
      </c>
      <c r="C491" s="1">
        <v>1</v>
      </c>
      <c r="D491" s="1">
        <v>14</v>
      </c>
      <c r="E491" t="s">
        <v>7</v>
      </c>
      <c r="G491" s="1">
        <v>1</v>
      </c>
      <c r="H491" s="11" t="str">
        <f t="shared" si="30"/>
        <v>2007_01_014.gif</v>
      </c>
      <c r="I491"/>
      <c r="J491"/>
      <c r="L491" s="1" t="b">
        <v>0</v>
      </c>
      <c r="M491" s="1">
        <v>0</v>
      </c>
      <c r="N491" s="1" t="s">
        <v>601</v>
      </c>
      <c r="O491" s="1">
        <v>490</v>
      </c>
      <c r="P491" s="12" t="str">
        <f t="shared" si="32"/>
        <v>Conservation of Energy</v>
      </c>
      <c r="Q491" s="1">
        <v>4895</v>
      </c>
      <c r="R491" s="1" t="str">
        <f t="shared" si="31"/>
        <v>2007_01</v>
      </c>
      <c r="T491" s="1"/>
      <c r="AX491" s="1">
        <v>1</v>
      </c>
    </row>
    <row r="492" spans="1:78" x14ac:dyDescent="0.2">
      <c r="A492" t="s">
        <v>376</v>
      </c>
      <c r="B492" s="1">
        <v>2007</v>
      </c>
      <c r="C492" s="1">
        <v>1</v>
      </c>
      <c r="D492" s="1">
        <v>15</v>
      </c>
      <c r="E492" t="s">
        <v>10</v>
      </c>
      <c r="G492" s="1">
        <v>2</v>
      </c>
      <c r="H492" s="11" t="str">
        <f t="shared" si="30"/>
        <v>2007_01_015.gif</v>
      </c>
      <c r="I492"/>
      <c r="J492"/>
      <c r="L492" s="1" t="b">
        <v>0</v>
      </c>
      <c r="M492" s="1">
        <v>0</v>
      </c>
      <c r="N492" s="1" t="s">
        <v>601</v>
      </c>
      <c r="O492" s="1">
        <v>491</v>
      </c>
      <c r="P492" s="12" t="str">
        <f t="shared" si="32"/>
        <v>Electric Fields and Potential</v>
      </c>
      <c r="Q492" s="1">
        <v>4896</v>
      </c>
      <c r="R492" s="1" t="str">
        <f t="shared" si="31"/>
        <v>2007_01</v>
      </c>
      <c r="T492" s="1"/>
      <c r="BN492" s="1">
        <v>1</v>
      </c>
    </row>
    <row r="493" spans="1:78" x14ac:dyDescent="0.2">
      <c r="A493" t="s">
        <v>377</v>
      </c>
      <c r="B493" s="1">
        <v>2007</v>
      </c>
      <c r="C493" s="1">
        <v>1</v>
      </c>
      <c r="D493" s="1">
        <v>16</v>
      </c>
      <c r="E493" t="s">
        <v>588</v>
      </c>
      <c r="F493" t="s">
        <v>12</v>
      </c>
      <c r="G493" s="1">
        <v>1</v>
      </c>
      <c r="H493" s="11" t="str">
        <f t="shared" si="30"/>
        <v>2007_01_016.gif</v>
      </c>
      <c r="I493"/>
      <c r="J493"/>
      <c r="L493" s="1" t="b">
        <v>0</v>
      </c>
      <c r="M493" s="1">
        <v>0</v>
      </c>
      <c r="N493" s="1" t="s">
        <v>601</v>
      </c>
      <c r="O493" s="1">
        <v>492</v>
      </c>
      <c r="P493" s="12" t="str">
        <f t="shared" si="32"/>
        <v>Magnetism</v>
      </c>
      <c r="Q493" s="1">
        <v>4897</v>
      </c>
      <c r="R493" s="1" t="str">
        <f t="shared" si="31"/>
        <v>2007_01</v>
      </c>
      <c r="T493" s="1"/>
      <c r="BZ493" s="1">
        <v>1</v>
      </c>
    </row>
    <row r="494" spans="1:78" x14ac:dyDescent="0.2">
      <c r="A494" t="s">
        <v>378</v>
      </c>
      <c r="B494" s="1">
        <v>2007</v>
      </c>
      <c r="C494" s="1">
        <v>1</v>
      </c>
      <c r="D494" s="1">
        <v>17</v>
      </c>
      <c r="E494" t="s">
        <v>11</v>
      </c>
      <c r="G494" s="1">
        <v>1</v>
      </c>
      <c r="H494" s="11" t="str">
        <f t="shared" si="30"/>
        <v>2007_01_017.gif</v>
      </c>
      <c r="I494"/>
      <c r="J494"/>
      <c r="L494" s="1" t="b">
        <v>0</v>
      </c>
      <c r="M494" s="1">
        <v>0</v>
      </c>
      <c r="N494" s="1" t="s">
        <v>601</v>
      </c>
      <c r="O494" s="1">
        <v>493</v>
      </c>
      <c r="P494" s="12" t="str">
        <f t="shared" si="32"/>
        <v>Ohm's Law</v>
      </c>
      <c r="Q494" s="1">
        <v>4898</v>
      </c>
      <c r="R494" s="1" t="str">
        <f t="shared" si="31"/>
        <v>2007_01</v>
      </c>
      <c r="T494" s="1"/>
      <c r="BQ494" s="1">
        <v>1</v>
      </c>
    </row>
    <row r="495" spans="1:78" x14ac:dyDescent="0.2">
      <c r="A495" t="s">
        <v>379</v>
      </c>
      <c r="B495" s="1">
        <v>2007</v>
      </c>
      <c r="C495" s="1">
        <v>1</v>
      </c>
      <c r="D495" s="1">
        <v>18</v>
      </c>
      <c r="E495" t="s">
        <v>10</v>
      </c>
      <c r="F495" t="s">
        <v>548</v>
      </c>
      <c r="G495" s="1">
        <v>4</v>
      </c>
      <c r="H495" s="11" t="str">
        <f t="shared" si="30"/>
        <v>2007_01_018.gif</v>
      </c>
      <c r="I495"/>
      <c r="J495"/>
      <c r="L495" s="1" t="b">
        <v>0</v>
      </c>
      <c r="M495" s="1">
        <v>0</v>
      </c>
      <c r="N495" s="1" t="s">
        <v>601</v>
      </c>
      <c r="O495" s="1">
        <v>494</v>
      </c>
      <c r="P495" s="12" t="str">
        <f t="shared" si="32"/>
        <v>Coulomb's Law,Mathematical Relationships (Numberless Problems)</v>
      </c>
      <c r="Q495" s="1">
        <v>4899</v>
      </c>
      <c r="R495" s="1" t="str">
        <f t="shared" si="31"/>
        <v>2007_01</v>
      </c>
      <c r="T495" s="1"/>
      <c r="BL495" s="1">
        <v>1</v>
      </c>
      <c r="BY495" s="1">
        <v>1</v>
      </c>
    </row>
    <row r="496" spans="1:78" x14ac:dyDescent="0.2">
      <c r="A496" t="s">
        <v>380</v>
      </c>
      <c r="B496" s="1">
        <v>2007</v>
      </c>
      <c r="C496" s="1">
        <v>1</v>
      </c>
      <c r="D496" s="1">
        <v>19</v>
      </c>
      <c r="E496" t="s">
        <v>6</v>
      </c>
      <c r="G496" s="1">
        <v>2</v>
      </c>
      <c r="H496" s="11" t="str">
        <f t="shared" si="30"/>
        <v>2007_01_019.gif</v>
      </c>
      <c r="I496"/>
      <c r="J496"/>
      <c r="L496" s="1" t="b">
        <v>0</v>
      </c>
      <c r="M496" s="1">
        <v>0</v>
      </c>
      <c r="N496" s="1" t="s">
        <v>601</v>
      </c>
      <c r="O496" s="1">
        <v>495</v>
      </c>
      <c r="P496" s="12" t="str">
        <f t="shared" si="32"/>
        <v>Newton's 3rd Law (Equal But Opposite)</v>
      </c>
      <c r="Q496" s="1">
        <v>4900</v>
      </c>
      <c r="R496" s="1" t="str">
        <f t="shared" si="31"/>
        <v>2007_01</v>
      </c>
      <c r="T496" s="1"/>
      <c r="AW496" s="1">
        <v>1</v>
      </c>
    </row>
    <row r="497" spans="1:75" x14ac:dyDescent="0.2">
      <c r="A497" t="s">
        <v>381</v>
      </c>
      <c r="B497" s="1">
        <v>2007</v>
      </c>
      <c r="C497" s="1">
        <v>1</v>
      </c>
      <c r="D497" s="1">
        <v>20</v>
      </c>
      <c r="E497" t="s">
        <v>588</v>
      </c>
      <c r="F497" t="s">
        <v>10</v>
      </c>
      <c r="G497" s="1">
        <v>1</v>
      </c>
      <c r="H497" s="11" t="str">
        <f t="shared" si="30"/>
        <v>2007_01_020.gif</v>
      </c>
      <c r="I497"/>
      <c r="J497"/>
      <c r="L497" s="1" t="b">
        <v>0</v>
      </c>
      <c r="M497" s="1">
        <v>0</v>
      </c>
      <c r="N497" s="1" t="s">
        <v>601</v>
      </c>
      <c r="O497" s="1">
        <v>496</v>
      </c>
      <c r="P497" s="12" t="str">
        <f t="shared" si="32"/>
        <v>Electric Fields and Potential</v>
      </c>
      <c r="Q497" s="1">
        <v>4901</v>
      </c>
      <c r="R497" s="1" t="str">
        <f t="shared" si="31"/>
        <v>2007_01</v>
      </c>
      <c r="T497" s="1"/>
      <c r="BN497" s="1">
        <v>1</v>
      </c>
    </row>
    <row r="498" spans="1:75" x14ac:dyDescent="0.2">
      <c r="A498" t="s">
        <v>382</v>
      </c>
      <c r="B498" s="1">
        <v>2007</v>
      </c>
      <c r="C498" s="1">
        <v>1</v>
      </c>
      <c r="D498" s="1">
        <v>21</v>
      </c>
      <c r="E498" t="s">
        <v>8</v>
      </c>
      <c r="G498" s="1">
        <v>3</v>
      </c>
      <c r="H498" s="11" t="str">
        <f t="shared" si="30"/>
        <v>2007_01_021.gif</v>
      </c>
      <c r="I498"/>
      <c r="J498"/>
      <c r="L498" s="1" t="b">
        <v>0</v>
      </c>
      <c r="M498" s="1">
        <v>0</v>
      </c>
      <c r="N498" s="1" t="s">
        <v>601</v>
      </c>
      <c r="O498" s="1">
        <v>497</v>
      </c>
      <c r="P498" s="12" t="str">
        <f t="shared" si="32"/>
        <v>Wave Vocabulary</v>
      </c>
      <c r="Q498" s="1">
        <v>4902</v>
      </c>
      <c r="R498" s="1" t="str">
        <f t="shared" si="31"/>
        <v>2007_01</v>
      </c>
      <c r="T498" s="1"/>
      <c r="BF498" s="1">
        <v>1</v>
      </c>
    </row>
    <row r="499" spans="1:75" x14ac:dyDescent="0.2">
      <c r="A499" t="s">
        <v>383</v>
      </c>
      <c r="B499" s="1">
        <v>2007</v>
      </c>
      <c r="C499" s="1">
        <v>1</v>
      </c>
      <c r="D499" s="1">
        <v>22</v>
      </c>
      <c r="E499" t="s">
        <v>8</v>
      </c>
      <c r="G499" s="1">
        <v>3</v>
      </c>
      <c r="H499" s="11" t="str">
        <f t="shared" si="30"/>
        <v>2007_01_022.gif</v>
      </c>
      <c r="I499"/>
      <c r="J499"/>
      <c r="L499" s="1" t="b">
        <v>0</v>
      </c>
      <c r="M499" s="1">
        <v>0</v>
      </c>
      <c r="N499" s="1" t="s">
        <v>601</v>
      </c>
      <c r="O499" s="1">
        <v>498</v>
      </c>
      <c r="P499" s="12" t="str">
        <f t="shared" si="32"/>
        <v>Superposition and Standing Waves</v>
      </c>
      <c r="Q499" s="1">
        <v>4903</v>
      </c>
      <c r="R499" s="1" t="str">
        <f t="shared" si="31"/>
        <v>2007_01</v>
      </c>
      <c r="T499" s="1"/>
      <c r="BD499" s="1">
        <v>1</v>
      </c>
    </row>
    <row r="500" spans="1:75" x14ac:dyDescent="0.2">
      <c r="A500" t="s">
        <v>384</v>
      </c>
      <c r="B500" s="1">
        <v>2007</v>
      </c>
      <c r="C500" s="1">
        <v>1</v>
      </c>
      <c r="D500" s="1">
        <v>23</v>
      </c>
      <c r="E500" t="s">
        <v>9</v>
      </c>
      <c r="G500" s="1">
        <v>4</v>
      </c>
      <c r="H500" s="11" t="str">
        <f t="shared" si="30"/>
        <v>2007_01_023.gif</v>
      </c>
      <c r="I500"/>
      <c r="J500"/>
      <c r="L500" s="1" t="b">
        <v>0</v>
      </c>
      <c r="M500" s="1">
        <v>0</v>
      </c>
      <c r="N500" s="1" t="s">
        <v>601</v>
      </c>
      <c r="O500" s="1">
        <v>499</v>
      </c>
      <c r="P500" s="12" t="str">
        <f t="shared" si="32"/>
        <v>Light and Sound</v>
      </c>
      <c r="Q500" s="1">
        <v>4904</v>
      </c>
      <c r="R500" s="1" t="str">
        <f t="shared" si="31"/>
        <v>2007_01</v>
      </c>
      <c r="T500" s="1"/>
      <c r="BI500" s="1">
        <v>1</v>
      </c>
    </row>
    <row r="501" spans="1:75" x14ac:dyDescent="0.2">
      <c r="A501" t="s">
        <v>385</v>
      </c>
      <c r="B501" s="1">
        <v>2007</v>
      </c>
      <c r="C501" s="1">
        <v>1</v>
      </c>
      <c r="D501" s="1">
        <v>24</v>
      </c>
      <c r="E501" t="s">
        <v>9</v>
      </c>
      <c r="G501" s="1">
        <v>1</v>
      </c>
      <c r="H501" s="11" t="str">
        <f t="shared" si="30"/>
        <v>2007_01_024.gif</v>
      </c>
      <c r="I501"/>
      <c r="J501"/>
      <c r="L501" s="1" t="b">
        <v>0</v>
      </c>
      <c r="M501" s="1">
        <v>0</v>
      </c>
      <c r="N501" s="1" t="s">
        <v>601</v>
      </c>
      <c r="O501" s="1">
        <v>500</v>
      </c>
      <c r="P501" s="12" t="str">
        <f t="shared" si="32"/>
        <v>Light and Sound</v>
      </c>
      <c r="Q501" s="1">
        <v>4905</v>
      </c>
      <c r="R501" s="1" t="str">
        <f t="shared" si="31"/>
        <v>2007_01</v>
      </c>
      <c r="T501" s="1"/>
      <c r="BI501" s="1">
        <v>1</v>
      </c>
    </row>
    <row r="502" spans="1:75" x14ac:dyDescent="0.2">
      <c r="A502" t="s">
        <v>386</v>
      </c>
      <c r="B502" s="1">
        <v>2007</v>
      </c>
      <c r="C502" s="1">
        <v>1</v>
      </c>
      <c r="D502" s="1">
        <v>25</v>
      </c>
      <c r="E502" t="s">
        <v>8</v>
      </c>
      <c r="G502" s="1">
        <v>1</v>
      </c>
      <c r="H502" s="11" t="str">
        <f t="shared" si="30"/>
        <v>2007_01_025.gif</v>
      </c>
      <c r="I502"/>
      <c r="J502"/>
      <c r="L502" s="1" t="b">
        <v>0</v>
      </c>
      <c r="M502" s="1">
        <v>0</v>
      </c>
      <c r="N502" s="1" t="s">
        <v>601</v>
      </c>
      <c r="O502" s="1">
        <v>501</v>
      </c>
      <c r="P502" s="12" t="str">
        <f t="shared" si="32"/>
        <v>Wave Vocabulary</v>
      </c>
      <c r="Q502" s="1">
        <v>4906</v>
      </c>
      <c r="R502" s="1" t="str">
        <f t="shared" si="31"/>
        <v>2007_01</v>
      </c>
      <c r="T502" s="1"/>
      <c r="BF502" s="1">
        <v>1</v>
      </c>
    </row>
    <row r="503" spans="1:75" x14ac:dyDescent="0.2">
      <c r="A503" t="s">
        <v>387</v>
      </c>
      <c r="B503" s="1">
        <v>2007</v>
      </c>
      <c r="C503" s="1">
        <v>1</v>
      </c>
      <c r="D503" s="1">
        <v>26</v>
      </c>
      <c r="E503" t="s">
        <v>9</v>
      </c>
      <c r="G503" s="1">
        <v>4</v>
      </c>
      <c r="H503" s="11" t="str">
        <f t="shared" si="30"/>
        <v>2007_01_026.gif</v>
      </c>
      <c r="I503"/>
      <c r="J503"/>
      <c r="L503" s="1" t="b">
        <v>0</v>
      </c>
      <c r="M503" s="1">
        <v>0</v>
      </c>
      <c r="N503" s="1" t="s">
        <v>601</v>
      </c>
      <c r="O503" s="1">
        <v>502</v>
      </c>
      <c r="P503" s="12" t="str">
        <f t="shared" si="32"/>
        <v>Refraction and Snell's Law</v>
      </c>
      <c r="Q503" s="1">
        <v>4907</v>
      </c>
      <c r="R503" s="1" t="str">
        <f t="shared" si="31"/>
        <v>2007_01</v>
      </c>
      <c r="T503" s="1"/>
      <c r="BJ503" s="1">
        <v>1</v>
      </c>
    </row>
    <row r="504" spans="1:75" x14ac:dyDescent="0.2">
      <c r="A504" t="s">
        <v>388</v>
      </c>
      <c r="B504" s="1">
        <v>2007</v>
      </c>
      <c r="C504" s="1">
        <v>1</v>
      </c>
      <c r="D504" s="1">
        <v>27</v>
      </c>
      <c r="E504" t="s">
        <v>9</v>
      </c>
      <c r="G504" s="1">
        <v>2</v>
      </c>
      <c r="H504" s="11" t="str">
        <f t="shared" si="30"/>
        <v>2007_01_027.gif</v>
      </c>
      <c r="I504"/>
      <c r="J504"/>
      <c r="L504" s="1" t="b">
        <v>0</v>
      </c>
      <c r="M504" s="1">
        <v>0</v>
      </c>
      <c r="N504" s="1" t="s">
        <v>601</v>
      </c>
      <c r="O504" s="1">
        <v>503</v>
      </c>
      <c r="P504" s="12" t="str">
        <f t="shared" si="32"/>
        <v>Refraction and Snell's Law</v>
      </c>
      <c r="Q504" s="1">
        <v>4908</v>
      </c>
      <c r="R504" s="1" t="str">
        <f t="shared" si="31"/>
        <v>2007_01</v>
      </c>
      <c r="T504" s="1"/>
      <c r="BJ504" s="1">
        <v>1</v>
      </c>
    </row>
    <row r="505" spans="1:75" x14ac:dyDescent="0.2">
      <c r="A505" t="s">
        <v>389</v>
      </c>
      <c r="B505" s="1">
        <v>2007</v>
      </c>
      <c r="C505" s="1">
        <v>1</v>
      </c>
      <c r="D505" s="1">
        <v>28</v>
      </c>
      <c r="E505" t="s">
        <v>9</v>
      </c>
      <c r="G505" s="1">
        <v>3</v>
      </c>
      <c r="H505" s="11" t="str">
        <f t="shared" si="30"/>
        <v>2007_01_028.gif</v>
      </c>
      <c r="I505"/>
      <c r="J505"/>
      <c r="L505" s="1" t="b">
        <v>0</v>
      </c>
      <c r="M505" s="1">
        <v>0</v>
      </c>
      <c r="N505" s="1" t="s">
        <v>601</v>
      </c>
      <c r="O505" s="1">
        <v>504</v>
      </c>
      <c r="P505" s="12" t="str">
        <f t="shared" si="32"/>
        <v>Diffraction</v>
      </c>
      <c r="Q505" s="1">
        <v>4909</v>
      </c>
      <c r="R505" s="1" t="str">
        <f t="shared" si="31"/>
        <v>2007_01</v>
      </c>
      <c r="T505" s="1"/>
      <c r="BG505" s="1">
        <v>1</v>
      </c>
    </row>
    <row r="506" spans="1:75" x14ac:dyDescent="0.2">
      <c r="A506" t="s">
        <v>390</v>
      </c>
      <c r="B506" s="1">
        <v>2007</v>
      </c>
      <c r="C506" s="1">
        <v>1</v>
      </c>
      <c r="D506" s="1">
        <v>29</v>
      </c>
      <c r="E506" t="s">
        <v>8</v>
      </c>
      <c r="G506" s="1">
        <v>2</v>
      </c>
      <c r="H506" s="11" t="str">
        <f t="shared" si="30"/>
        <v>2007_01_029.gif</v>
      </c>
      <c r="I506"/>
      <c r="J506"/>
      <c r="L506" s="1" t="b">
        <v>0</v>
      </c>
      <c r="M506" s="1">
        <v>0</v>
      </c>
      <c r="N506" s="1" t="s">
        <v>601</v>
      </c>
      <c r="O506" s="1">
        <v>505</v>
      </c>
      <c r="P506" s="12" t="str">
        <f t="shared" si="32"/>
        <v>Resonance</v>
      </c>
      <c r="Q506" s="1">
        <v>4910</v>
      </c>
      <c r="R506" s="1" t="str">
        <f t="shared" si="31"/>
        <v>2007_01</v>
      </c>
      <c r="T506" s="1"/>
      <c r="BC506" s="1">
        <v>1</v>
      </c>
    </row>
    <row r="507" spans="1:75" x14ac:dyDescent="0.2">
      <c r="A507" t="s">
        <v>391</v>
      </c>
      <c r="B507" s="1">
        <v>2007</v>
      </c>
      <c r="C507" s="1">
        <v>1</v>
      </c>
      <c r="D507" s="1">
        <v>30</v>
      </c>
      <c r="E507" t="s">
        <v>13</v>
      </c>
      <c r="G507" s="1">
        <v>3</v>
      </c>
      <c r="H507" s="11" t="str">
        <f t="shared" si="30"/>
        <v>2007_01_030.gif</v>
      </c>
      <c r="I507"/>
      <c r="J507"/>
      <c r="L507" s="1" t="b">
        <v>0</v>
      </c>
      <c r="M507" s="1">
        <v>0</v>
      </c>
      <c r="N507" s="1" t="s">
        <v>601</v>
      </c>
      <c r="O507" s="1">
        <v>506</v>
      </c>
      <c r="P507" s="12" t="str">
        <f t="shared" si="32"/>
        <v>Energy/Frequency of Photon</v>
      </c>
      <c r="Q507" s="1">
        <v>4911</v>
      </c>
      <c r="R507" s="1" t="str">
        <f t="shared" si="31"/>
        <v>2007_01</v>
      </c>
      <c r="T507" s="1"/>
      <c r="BU507" s="1">
        <v>1</v>
      </c>
    </row>
    <row r="508" spans="1:75" x14ac:dyDescent="0.2">
      <c r="A508" t="s">
        <v>392</v>
      </c>
      <c r="B508" s="1">
        <v>2007</v>
      </c>
      <c r="C508" s="1">
        <v>1</v>
      </c>
      <c r="D508" s="1">
        <v>31</v>
      </c>
      <c r="E508" t="s">
        <v>10</v>
      </c>
      <c r="G508" s="1">
        <v>3</v>
      </c>
      <c r="H508" s="11" t="str">
        <f t="shared" si="30"/>
        <v>2007_01_031.gif</v>
      </c>
      <c r="I508"/>
      <c r="J508"/>
      <c r="L508" s="1" t="b">
        <v>0</v>
      </c>
      <c r="M508" s="1">
        <v>0</v>
      </c>
      <c r="N508" s="1" t="s">
        <v>601</v>
      </c>
      <c r="O508" s="1">
        <v>507</v>
      </c>
      <c r="P508" s="12" t="str">
        <f t="shared" si="32"/>
        <v>Conservation of Charge,Induction, Conduction, Polarization</v>
      </c>
      <c r="Q508" s="1">
        <v>4912</v>
      </c>
      <c r="R508" s="1" t="str">
        <f t="shared" si="31"/>
        <v>2007_01</v>
      </c>
      <c r="T508" s="1"/>
      <c r="BK508" s="1">
        <v>1</v>
      </c>
      <c r="BM508" s="1">
        <v>1</v>
      </c>
    </row>
    <row r="509" spans="1:75" x14ac:dyDescent="0.2">
      <c r="A509" t="s">
        <v>393</v>
      </c>
      <c r="B509" s="1">
        <v>2007</v>
      </c>
      <c r="C509" s="1">
        <v>1</v>
      </c>
      <c r="D509" s="1">
        <v>32</v>
      </c>
      <c r="E509" t="s">
        <v>13</v>
      </c>
      <c r="G509" s="1">
        <v>2</v>
      </c>
      <c r="H509" s="11" t="str">
        <f t="shared" si="30"/>
        <v>2007_01_032.gif</v>
      </c>
      <c r="I509"/>
      <c r="J509"/>
      <c r="L509" s="1" t="b">
        <v>0</v>
      </c>
      <c r="M509" s="1">
        <v>0</v>
      </c>
      <c r="N509" s="1" t="s">
        <v>601</v>
      </c>
      <c r="O509" s="1">
        <v>508</v>
      </c>
      <c r="P509" s="12" t="str">
        <f t="shared" si="32"/>
        <v>Energy/Frequency of Photon</v>
      </c>
      <c r="Q509" s="1">
        <v>4913</v>
      </c>
      <c r="R509" s="1" t="str">
        <f t="shared" si="31"/>
        <v>2007_01</v>
      </c>
      <c r="T509" s="1"/>
      <c r="BU509" s="1">
        <v>1</v>
      </c>
    </row>
    <row r="510" spans="1:75" x14ac:dyDescent="0.2">
      <c r="A510" t="s">
        <v>394</v>
      </c>
      <c r="B510" s="1">
        <v>2007</v>
      </c>
      <c r="C510" s="1">
        <v>1</v>
      </c>
      <c r="D510" s="1">
        <v>33</v>
      </c>
      <c r="E510" t="s">
        <v>10</v>
      </c>
      <c r="G510" s="1">
        <v>4</v>
      </c>
      <c r="H510" s="11" t="str">
        <f t="shared" si="30"/>
        <v>2007_01_033.gif</v>
      </c>
      <c r="I510"/>
      <c r="J510"/>
      <c r="L510" s="1" t="b">
        <v>0</v>
      </c>
      <c r="M510" s="1">
        <v>0</v>
      </c>
      <c r="N510" s="1" t="s">
        <v>601</v>
      </c>
      <c r="O510" s="1">
        <v>509</v>
      </c>
      <c r="P510" s="12" t="str">
        <f t="shared" si="32"/>
        <v>Conservation of Charge</v>
      </c>
      <c r="Q510" s="1">
        <v>4914</v>
      </c>
      <c r="R510" s="1" t="str">
        <f t="shared" si="31"/>
        <v>2007_01</v>
      </c>
      <c r="T510" s="1"/>
      <c r="BK510" s="1">
        <v>1</v>
      </c>
    </row>
    <row r="511" spans="1:75" x14ac:dyDescent="0.2">
      <c r="A511" t="s">
        <v>395</v>
      </c>
      <c r="B511" s="1">
        <v>2007</v>
      </c>
      <c r="C511" s="1">
        <v>1</v>
      </c>
      <c r="D511" s="1">
        <v>34</v>
      </c>
      <c r="E511" t="s">
        <v>13</v>
      </c>
      <c r="G511" s="1">
        <v>1</v>
      </c>
      <c r="H511" s="11" t="str">
        <f t="shared" si="30"/>
        <v>2007_01_034.gif</v>
      </c>
      <c r="I511"/>
      <c r="J511"/>
      <c r="L511" s="1" t="b">
        <v>0</v>
      </c>
      <c r="M511" s="1">
        <v>0</v>
      </c>
      <c r="N511" s="1" t="s">
        <v>601</v>
      </c>
      <c r="O511" s="1">
        <v>510</v>
      </c>
      <c r="P511" s="12" t="str">
        <f t="shared" si="32"/>
        <v>Particle Physics</v>
      </c>
      <c r="Q511" s="1">
        <v>4915</v>
      </c>
      <c r="R511" s="1" t="str">
        <f t="shared" si="31"/>
        <v>2007_01</v>
      </c>
      <c r="T511" s="1"/>
      <c r="BW511" s="1">
        <v>1</v>
      </c>
    </row>
    <row r="512" spans="1:75" x14ac:dyDescent="0.2">
      <c r="A512" t="s">
        <v>396</v>
      </c>
      <c r="B512" s="1">
        <v>2007</v>
      </c>
      <c r="C512" s="1">
        <v>1</v>
      </c>
      <c r="D512" s="1">
        <v>35</v>
      </c>
      <c r="E512" t="s">
        <v>13</v>
      </c>
      <c r="G512" s="1">
        <v>3</v>
      </c>
      <c r="H512" s="11" t="str">
        <f t="shared" si="30"/>
        <v>2007_01_035.gif</v>
      </c>
      <c r="I512"/>
      <c r="J512"/>
      <c r="L512" s="1" t="b">
        <v>0</v>
      </c>
      <c r="M512" s="1">
        <v>0</v>
      </c>
      <c r="N512" s="1" t="s">
        <v>601</v>
      </c>
      <c r="O512" s="1">
        <v>511</v>
      </c>
      <c r="P512" s="12" t="str">
        <f t="shared" si="32"/>
        <v>Particle Physics</v>
      </c>
      <c r="Q512" s="1">
        <v>4916</v>
      </c>
      <c r="R512" s="1" t="str">
        <f t="shared" si="31"/>
        <v>2007_01</v>
      </c>
      <c r="T512" s="1"/>
      <c r="BW512" s="1">
        <v>1</v>
      </c>
    </row>
    <row r="513" spans="1:77" x14ac:dyDescent="0.2">
      <c r="A513" t="str">
        <f t="shared" ref="A513:A528" si="34">B513 &amp; "_" &amp; TEXT(C513,"00") &amp; "_" &amp; TEXT(D513,"000")</f>
        <v>2007_01_036</v>
      </c>
      <c r="B513" s="1">
        <v>2007</v>
      </c>
      <c r="C513" s="1">
        <v>1</v>
      </c>
      <c r="D513" s="1">
        <v>36</v>
      </c>
      <c r="E513" t="s">
        <v>2</v>
      </c>
      <c r="G513" s="1">
        <v>1</v>
      </c>
      <c r="H513" s="11" t="str">
        <f t="shared" si="30"/>
        <v>2007_01_036.gif</v>
      </c>
      <c r="I513"/>
      <c r="J513"/>
      <c r="L513" s="1" t="b">
        <v>0</v>
      </c>
      <c r="M513" s="1">
        <v>0</v>
      </c>
      <c r="N513" s="1" t="s">
        <v>657</v>
      </c>
      <c r="O513" s="1">
        <v>512</v>
      </c>
      <c r="P513" s="12" t="str">
        <f t="shared" si="32"/>
        <v>DT/VT Graphs</v>
      </c>
      <c r="Q513" s="1">
        <v>4917</v>
      </c>
      <c r="R513" s="1" t="str">
        <f t="shared" si="31"/>
        <v>2007_01</v>
      </c>
      <c r="T513" s="1"/>
      <c r="W513" s="1">
        <v>1</v>
      </c>
    </row>
    <row r="514" spans="1:77" x14ac:dyDescent="0.2">
      <c r="A514" t="str">
        <f t="shared" si="34"/>
        <v>2007_01_037</v>
      </c>
      <c r="B514" s="1">
        <v>2007</v>
      </c>
      <c r="C514" s="1">
        <v>1</v>
      </c>
      <c r="D514" s="1">
        <v>37</v>
      </c>
      <c r="E514" t="s">
        <v>2</v>
      </c>
      <c r="G514" s="1">
        <v>4</v>
      </c>
      <c r="H514" s="11" t="str">
        <f t="shared" ref="H514:H577" si="35">HYPERLINK(A514&amp;".gif")</f>
        <v>2007_01_037.gif</v>
      </c>
      <c r="I514"/>
      <c r="J514"/>
      <c r="L514" s="1" t="b">
        <v>0</v>
      </c>
      <c r="M514" s="1">
        <v>0</v>
      </c>
      <c r="N514" s="1" t="s">
        <v>657</v>
      </c>
      <c r="O514" s="1">
        <v>513</v>
      </c>
      <c r="P514" s="12" t="str">
        <f t="shared" si="32"/>
        <v>DT/VT Graphs</v>
      </c>
      <c r="Q514" s="1">
        <v>4918</v>
      </c>
      <c r="R514" s="1" t="str">
        <f t="shared" si="31"/>
        <v>2007_01</v>
      </c>
      <c r="T514" s="1"/>
      <c r="W514" s="1">
        <v>1</v>
      </c>
    </row>
    <row r="515" spans="1:77" x14ac:dyDescent="0.2">
      <c r="A515" t="str">
        <f t="shared" si="34"/>
        <v>2007_01_038</v>
      </c>
      <c r="B515" s="1">
        <v>2007</v>
      </c>
      <c r="C515" s="1">
        <v>1</v>
      </c>
      <c r="D515" s="1">
        <v>38</v>
      </c>
      <c r="E515" t="s">
        <v>5</v>
      </c>
      <c r="G515" s="1">
        <v>2</v>
      </c>
      <c r="H515" s="11" t="str">
        <f t="shared" si="35"/>
        <v>2007_01_038.gif</v>
      </c>
      <c r="I515"/>
      <c r="J515"/>
      <c r="L515" s="1" t="b">
        <v>0</v>
      </c>
      <c r="M515" s="1">
        <v>0</v>
      </c>
      <c r="N515" s="1" t="s">
        <v>657</v>
      </c>
      <c r="O515" s="1">
        <v>514</v>
      </c>
      <c r="P515" s="12" t="str">
        <f t="shared" si="32"/>
        <v>Newton's 2nd Law (F=MA)</v>
      </c>
      <c r="Q515" s="1">
        <v>4919</v>
      </c>
      <c r="R515" s="1" t="str">
        <f t="shared" ref="R515:R578" si="36">B515&amp;"_"&amp;TEXT(C515,"00")</f>
        <v>2007_01</v>
      </c>
      <c r="T515" s="1"/>
      <c r="AS515" s="1">
        <v>1</v>
      </c>
    </row>
    <row r="516" spans="1:77" x14ac:dyDescent="0.2">
      <c r="A516" t="str">
        <f t="shared" si="34"/>
        <v>2007_01_039</v>
      </c>
      <c r="B516" s="1">
        <v>2007</v>
      </c>
      <c r="C516" s="1">
        <v>1</v>
      </c>
      <c r="D516" s="1">
        <v>39</v>
      </c>
      <c r="E516" t="s">
        <v>5</v>
      </c>
      <c r="G516" s="1">
        <v>1</v>
      </c>
      <c r="H516" s="11" t="str">
        <f t="shared" si="35"/>
        <v>2007_01_039.gif</v>
      </c>
      <c r="I516"/>
      <c r="J516"/>
      <c r="L516" s="1" t="b">
        <v>0</v>
      </c>
      <c r="M516" s="1">
        <v>0</v>
      </c>
      <c r="N516" s="1" t="s">
        <v>657</v>
      </c>
      <c r="O516" s="1">
        <v>515</v>
      </c>
      <c r="P516" s="12" t="str">
        <f t="shared" si="32"/>
        <v>Newton's 2nd Law (F=MA)</v>
      </c>
      <c r="Q516" s="1">
        <v>4920</v>
      </c>
      <c r="R516" s="1" t="str">
        <f t="shared" si="36"/>
        <v>2007_01</v>
      </c>
      <c r="T516" s="1"/>
      <c r="AS516" s="1">
        <v>1</v>
      </c>
    </row>
    <row r="517" spans="1:77" x14ac:dyDescent="0.2">
      <c r="A517" t="str">
        <f t="shared" si="34"/>
        <v>2007_01_040</v>
      </c>
      <c r="B517" s="1">
        <v>2007</v>
      </c>
      <c r="C517" s="1">
        <v>1</v>
      </c>
      <c r="D517" s="1">
        <v>40</v>
      </c>
      <c r="E517" t="s">
        <v>7</v>
      </c>
      <c r="F517" t="s">
        <v>548</v>
      </c>
      <c r="G517" s="1">
        <v>1</v>
      </c>
      <c r="H517" s="11" t="str">
        <f t="shared" si="35"/>
        <v>2007_01_040.gif</v>
      </c>
      <c r="I517"/>
      <c r="J517"/>
      <c r="L517" s="1" t="b">
        <v>0</v>
      </c>
      <c r="M517" s="1">
        <v>0</v>
      </c>
      <c r="N517" s="1" t="s">
        <v>657</v>
      </c>
      <c r="O517" s="1">
        <v>516</v>
      </c>
      <c r="P517" s="12" t="str">
        <f t="shared" si="32"/>
        <v>Gravitational PE,Graph Interpretation</v>
      </c>
      <c r="Q517" s="1">
        <v>4921</v>
      </c>
      <c r="R517" s="1" t="str">
        <f t="shared" si="36"/>
        <v>2007_01</v>
      </c>
      <c r="T517" s="1"/>
      <c r="AY517" s="1">
        <v>1</v>
      </c>
      <c r="BX517" s="1">
        <v>1</v>
      </c>
    </row>
    <row r="518" spans="1:77" x14ac:dyDescent="0.2">
      <c r="A518" t="str">
        <f t="shared" si="34"/>
        <v>2007_01_041</v>
      </c>
      <c r="B518" s="1">
        <v>2007</v>
      </c>
      <c r="C518" s="1">
        <v>1</v>
      </c>
      <c r="D518" s="1">
        <v>41</v>
      </c>
      <c r="E518" t="s">
        <v>11</v>
      </c>
      <c r="G518" s="1">
        <v>2</v>
      </c>
      <c r="H518" s="11" t="str">
        <f t="shared" si="35"/>
        <v>2007_01_041.gif</v>
      </c>
      <c r="I518"/>
      <c r="J518"/>
      <c r="L518" s="1" t="b">
        <v>0</v>
      </c>
      <c r="M518" s="1">
        <v>0</v>
      </c>
      <c r="N518" s="1" t="s">
        <v>657</v>
      </c>
      <c r="O518" s="1">
        <v>517</v>
      </c>
      <c r="P518" s="12" t="str">
        <f t="shared" si="32"/>
        <v>Series and Parallel</v>
      </c>
      <c r="Q518" s="1">
        <v>4922</v>
      </c>
      <c r="R518" s="1" t="str">
        <f t="shared" si="36"/>
        <v>2007_01</v>
      </c>
      <c r="T518" s="1"/>
      <c r="BS518" s="1">
        <v>1</v>
      </c>
    </row>
    <row r="519" spans="1:77" x14ac:dyDescent="0.2">
      <c r="A519" t="str">
        <f t="shared" si="34"/>
        <v>2007_01_042</v>
      </c>
      <c r="B519" s="1">
        <v>2007</v>
      </c>
      <c r="C519" s="1">
        <v>1</v>
      </c>
      <c r="D519" s="1">
        <v>42</v>
      </c>
      <c r="E519" t="s">
        <v>11</v>
      </c>
      <c r="G519" s="1">
        <v>3</v>
      </c>
      <c r="H519" s="11" t="str">
        <f t="shared" si="35"/>
        <v>2007_01_042.gif</v>
      </c>
      <c r="I519"/>
      <c r="J519"/>
      <c r="L519" s="1" t="b">
        <v>0</v>
      </c>
      <c r="M519" s="1">
        <v>0</v>
      </c>
      <c r="N519" s="1" t="s">
        <v>657</v>
      </c>
      <c r="O519" s="1">
        <v>518</v>
      </c>
      <c r="P519" s="12" t="str">
        <f t="shared" si="32"/>
        <v>Series and Parallel</v>
      </c>
      <c r="Q519" s="1">
        <v>4923</v>
      </c>
      <c r="R519" s="1" t="str">
        <f t="shared" si="36"/>
        <v>2007_01</v>
      </c>
      <c r="T519" s="1"/>
      <c r="BS519" s="1">
        <v>1</v>
      </c>
    </row>
    <row r="520" spans="1:77" x14ac:dyDescent="0.2">
      <c r="A520" t="str">
        <f t="shared" si="34"/>
        <v>2007_01_043</v>
      </c>
      <c r="B520" s="1">
        <v>2007</v>
      </c>
      <c r="C520" s="1">
        <v>1</v>
      </c>
      <c r="D520" s="1">
        <v>43</v>
      </c>
      <c r="E520" t="s">
        <v>11</v>
      </c>
      <c r="G520" s="1">
        <v>4</v>
      </c>
      <c r="H520" s="11" t="str">
        <f t="shared" si="35"/>
        <v>2007_01_043.gif</v>
      </c>
      <c r="I520"/>
      <c r="J520"/>
      <c r="L520" s="1" t="b">
        <v>0</v>
      </c>
      <c r="M520" s="1">
        <v>0</v>
      </c>
      <c r="N520" s="1" t="s">
        <v>657</v>
      </c>
      <c r="O520" s="1">
        <v>519</v>
      </c>
      <c r="P520" s="12" t="str">
        <f t="shared" si="32"/>
        <v>Electrical Power,Series and Parallel</v>
      </c>
      <c r="Q520" s="1">
        <v>4924</v>
      </c>
      <c r="R520" s="1" t="str">
        <f t="shared" si="36"/>
        <v>2007_01</v>
      </c>
      <c r="T520" s="1"/>
      <c r="BP520" s="1">
        <v>1</v>
      </c>
      <c r="BS520" s="1">
        <v>1</v>
      </c>
    </row>
    <row r="521" spans="1:77" x14ac:dyDescent="0.2">
      <c r="A521" t="str">
        <f t="shared" si="34"/>
        <v>2007_01_044</v>
      </c>
      <c r="B521" s="1">
        <v>2007</v>
      </c>
      <c r="C521" s="1">
        <v>1</v>
      </c>
      <c r="D521" s="1">
        <v>44</v>
      </c>
      <c r="E521" t="s">
        <v>7</v>
      </c>
      <c r="G521" s="1">
        <v>3</v>
      </c>
      <c r="H521" s="11" t="str">
        <f t="shared" si="35"/>
        <v>2007_01_044.gif</v>
      </c>
      <c r="I521"/>
      <c r="J521"/>
      <c r="L521" s="1" t="b">
        <v>0</v>
      </c>
      <c r="M521" s="1">
        <v>0</v>
      </c>
      <c r="N521" s="1" t="s">
        <v>657</v>
      </c>
      <c r="O521" s="1">
        <v>520</v>
      </c>
      <c r="P521" s="12" t="str">
        <f t="shared" si="32"/>
        <v>Gravitational PE</v>
      </c>
      <c r="Q521" s="1">
        <v>4925</v>
      </c>
      <c r="R521" s="1" t="str">
        <f t="shared" si="36"/>
        <v>2007_01</v>
      </c>
      <c r="T521" s="1"/>
      <c r="AY521" s="1">
        <v>1</v>
      </c>
    </row>
    <row r="522" spans="1:77" x14ac:dyDescent="0.2">
      <c r="A522" t="str">
        <f t="shared" si="34"/>
        <v>2007_01_045</v>
      </c>
      <c r="B522" s="1">
        <v>2007</v>
      </c>
      <c r="C522" s="1">
        <v>1</v>
      </c>
      <c r="D522" s="1">
        <v>45</v>
      </c>
      <c r="E522" t="s">
        <v>3</v>
      </c>
      <c r="F522" t="s">
        <v>7</v>
      </c>
      <c r="G522" s="1">
        <v>3</v>
      </c>
      <c r="H522" s="11" t="str">
        <f t="shared" si="35"/>
        <v>2007_01_045.gif</v>
      </c>
      <c r="I522"/>
      <c r="J522"/>
      <c r="L522" s="1" t="b">
        <v>0</v>
      </c>
      <c r="M522" s="1">
        <v>0</v>
      </c>
      <c r="N522" s="1" t="s">
        <v>657</v>
      </c>
      <c r="O522" s="1">
        <v>521</v>
      </c>
      <c r="P522" s="12" t="str">
        <f t="shared" si="32"/>
        <v>Vector Components,Work/Power</v>
      </c>
      <c r="Q522" s="1">
        <v>4926</v>
      </c>
      <c r="R522" s="1" t="str">
        <f t="shared" si="36"/>
        <v>2007_01</v>
      </c>
      <c r="T522" s="1"/>
      <c r="AE522" s="1">
        <v>1</v>
      </c>
      <c r="BB522" s="1">
        <v>1</v>
      </c>
    </row>
    <row r="523" spans="1:77" x14ac:dyDescent="0.2">
      <c r="A523" t="str">
        <f t="shared" si="34"/>
        <v>2007_01_046</v>
      </c>
      <c r="B523" s="1">
        <v>2007</v>
      </c>
      <c r="C523" s="1">
        <v>1</v>
      </c>
      <c r="D523" s="1">
        <v>46</v>
      </c>
      <c r="E523" t="s">
        <v>7</v>
      </c>
      <c r="F523" t="s">
        <v>548</v>
      </c>
      <c r="G523" s="1">
        <v>1</v>
      </c>
      <c r="H523" s="11" t="str">
        <f t="shared" si="35"/>
        <v>2007_01_046.gif</v>
      </c>
      <c r="I523"/>
      <c r="J523"/>
      <c r="L523" s="1" t="b">
        <v>0</v>
      </c>
      <c r="M523" s="1">
        <v>0</v>
      </c>
      <c r="N523" s="1" t="s">
        <v>657</v>
      </c>
      <c r="O523" s="1">
        <v>522</v>
      </c>
      <c r="P523" s="12" t="str">
        <f t="shared" ref="P523:P586" si="37">concatenateif(U523:DI523,1,$U$1:$DI$1)</f>
        <v>Work/Power,Mathematical Relationships (Numberless Problems)</v>
      </c>
      <c r="Q523" s="1">
        <v>4927</v>
      </c>
      <c r="R523" s="1" t="str">
        <f t="shared" si="36"/>
        <v>2007_01</v>
      </c>
      <c r="T523" s="1"/>
      <c r="BB523" s="1">
        <v>1</v>
      </c>
      <c r="BY523" s="1">
        <v>1</v>
      </c>
    </row>
    <row r="524" spans="1:77" x14ac:dyDescent="0.2">
      <c r="A524" t="str">
        <f t="shared" si="34"/>
        <v>2007_01_047</v>
      </c>
      <c r="B524" s="1">
        <v>2007</v>
      </c>
      <c r="C524" s="1">
        <v>1</v>
      </c>
      <c r="D524" s="1">
        <v>47</v>
      </c>
      <c r="E524" t="s">
        <v>1</v>
      </c>
      <c r="G524" s="1">
        <v>4</v>
      </c>
      <c r="H524" s="11" t="str">
        <f t="shared" si="35"/>
        <v>2007_01_047.gif</v>
      </c>
      <c r="I524"/>
      <c r="J524"/>
      <c r="L524" s="1" t="b">
        <v>0</v>
      </c>
      <c r="M524" s="1">
        <v>0</v>
      </c>
      <c r="N524" s="1" t="s">
        <v>657</v>
      </c>
      <c r="O524" s="1">
        <v>523</v>
      </c>
      <c r="P524" s="12" t="str">
        <f t="shared" si="37"/>
        <v>Units</v>
      </c>
      <c r="Q524" s="1">
        <v>4928</v>
      </c>
      <c r="R524" s="1" t="str">
        <f t="shared" si="36"/>
        <v>2007_01</v>
      </c>
      <c r="T524" s="1"/>
      <c r="V524" s="1">
        <v>1</v>
      </c>
    </row>
    <row r="525" spans="1:77" x14ac:dyDescent="0.2">
      <c r="A525" t="str">
        <f t="shared" si="34"/>
        <v>2007_01_048</v>
      </c>
      <c r="B525" s="1">
        <v>2007</v>
      </c>
      <c r="C525" s="1">
        <v>1</v>
      </c>
      <c r="D525" s="1">
        <v>48</v>
      </c>
      <c r="E525" t="s">
        <v>9</v>
      </c>
      <c r="G525" s="1">
        <v>4</v>
      </c>
      <c r="H525" s="11" t="str">
        <f t="shared" si="35"/>
        <v>2007_01_048.gif</v>
      </c>
      <c r="I525"/>
      <c r="J525"/>
      <c r="L525" s="1" t="b">
        <v>0</v>
      </c>
      <c r="M525" s="1">
        <v>0</v>
      </c>
      <c r="N525" s="1" t="s">
        <v>657</v>
      </c>
      <c r="O525" s="1">
        <v>524</v>
      </c>
      <c r="P525" s="12" t="str">
        <f t="shared" si="37"/>
        <v>Light and Sound</v>
      </c>
      <c r="Q525" s="1">
        <v>4929</v>
      </c>
      <c r="R525" s="1" t="str">
        <f t="shared" si="36"/>
        <v>2007_01</v>
      </c>
      <c r="T525" s="1"/>
      <c r="BI525" s="1">
        <v>1</v>
      </c>
    </row>
    <row r="526" spans="1:77" x14ac:dyDescent="0.2">
      <c r="A526" t="str">
        <f t="shared" si="34"/>
        <v>2007_01_049</v>
      </c>
      <c r="B526" s="1">
        <v>2007</v>
      </c>
      <c r="C526" s="1">
        <v>1</v>
      </c>
      <c r="D526" s="1">
        <v>49</v>
      </c>
      <c r="E526" t="s">
        <v>8</v>
      </c>
      <c r="G526" s="1">
        <v>2</v>
      </c>
      <c r="H526" s="11" t="str">
        <f t="shared" si="35"/>
        <v>2007_01_049.gif</v>
      </c>
      <c r="I526"/>
      <c r="J526"/>
      <c r="L526" s="1" t="b">
        <v>0</v>
      </c>
      <c r="M526" s="1">
        <v>0</v>
      </c>
      <c r="N526" s="1" t="s">
        <v>657</v>
      </c>
      <c r="O526" s="1">
        <v>525</v>
      </c>
      <c r="P526" s="12" t="str">
        <f t="shared" si="37"/>
        <v>V=FxLamda</v>
      </c>
      <c r="Q526" s="1">
        <v>4930</v>
      </c>
      <c r="R526" s="1" t="str">
        <f t="shared" si="36"/>
        <v>2007_01</v>
      </c>
      <c r="T526" s="1"/>
      <c r="BE526" s="1">
        <v>1</v>
      </c>
    </row>
    <row r="527" spans="1:77" x14ac:dyDescent="0.2">
      <c r="A527" t="str">
        <f t="shared" si="34"/>
        <v>2007_01_050</v>
      </c>
      <c r="B527" s="1">
        <v>2007</v>
      </c>
      <c r="C527" s="1">
        <v>1</v>
      </c>
      <c r="D527" s="1">
        <v>50</v>
      </c>
      <c r="E527" t="s">
        <v>8</v>
      </c>
      <c r="G527" s="1">
        <v>1</v>
      </c>
      <c r="H527" s="11" t="str">
        <f t="shared" si="35"/>
        <v>2007_01_050.gif</v>
      </c>
      <c r="I527"/>
      <c r="J527"/>
      <c r="L527" s="1" t="b">
        <v>0</v>
      </c>
      <c r="M527" s="1">
        <v>0</v>
      </c>
      <c r="N527" s="1" t="s">
        <v>657</v>
      </c>
      <c r="O527" s="1">
        <v>526</v>
      </c>
      <c r="P527" s="12" t="str">
        <f t="shared" si="37"/>
        <v>V=FxLamda</v>
      </c>
      <c r="Q527" s="1">
        <v>4931</v>
      </c>
      <c r="R527" s="1" t="str">
        <f t="shared" si="36"/>
        <v>2007_01</v>
      </c>
      <c r="T527" s="1"/>
      <c r="BE527" s="1">
        <v>1</v>
      </c>
    </row>
    <row r="528" spans="1:77" x14ac:dyDescent="0.2">
      <c r="A528" t="str">
        <f t="shared" si="34"/>
        <v>2007_01_051</v>
      </c>
      <c r="B528" s="1">
        <v>2007</v>
      </c>
      <c r="C528" s="1">
        <v>1</v>
      </c>
      <c r="D528" s="1">
        <v>51</v>
      </c>
      <c r="E528" t="s">
        <v>13</v>
      </c>
      <c r="G528" s="1">
        <v>2</v>
      </c>
      <c r="H528" s="11" t="str">
        <f t="shared" si="35"/>
        <v>2007_01_051.gif</v>
      </c>
      <c r="I528"/>
      <c r="J528"/>
      <c r="L528" s="1" t="b">
        <v>0</v>
      </c>
      <c r="M528" s="1">
        <v>0</v>
      </c>
      <c r="N528" s="1" t="s">
        <v>657</v>
      </c>
      <c r="O528" s="1">
        <v>527</v>
      </c>
      <c r="P528" s="12" t="str">
        <f t="shared" si="37"/>
        <v>Particle Physics</v>
      </c>
      <c r="Q528" s="1">
        <v>4932</v>
      </c>
      <c r="R528" s="1" t="str">
        <f t="shared" si="36"/>
        <v>2007_01</v>
      </c>
      <c r="T528" s="1"/>
      <c r="BW528" s="1">
        <v>1</v>
      </c>
    </row>
    <row r="529" spans="1:77" x14ac:dyDescent="0.2">
      <c r="A529" t="s">
        <v>397</v>
      </c>
      <c r="B529" s="1">
        <v>2007</v>
      </c>
      <c r="C529" s="1">
        <v>6</v>
      </c>
      <c r="D529" s="1">
        <v>1</v>
      </c>
      <c r="E529" t="s">
        <v>3</v>
      </c>
      <c r="G529" s="1">
        <v>1</v>
      </c>
      <c r="H529" s="11" t="str">
        <f t="shared" si="35"/>
        <v>2007_06_001.gif</v>
      </c>
      <c r="I529"/>
      <c r="J529"/>
      <c r="L529" s="1" t="b">
        <v>0</v>
      </c>
      <c r="M529" s="1">
        <v>0</v>
      </c>
      <c r="N529" s="1" t="s">
        <v>601</v>
      </c>
      <c r="O529" s="1">
        <v>528</v>
      </c>
      <c r="P529" s="12" t="str">
        <f t="shared" si="37"/>
        <v>Vector vs. Scalar</v>
      </c>
      <c r="Q529" s="1">
        <v>4959</v>
      </c>
      <c r="R529" s="1" t="str">
        <f t="shared" si="36"/>
        <v>2007_06</v>
      </c>
      <c r="T529" s="1"/>
      <c r="AF529" s="1">
        <v>1</v>
      </c>
    </row>
    <row r="530" spans="1:77" x14ac:dyDescent="0.2">
      <c r="A530" t="s">
        <v>398</v>
      </c>
      <c r="B530" s="1">
        <v>2007</v>
      </c>
      <c r="C530" s="1">
        <v>6</v>
      </c>
      <c r="D530" s="1">
        <v>2</v>
      </c>
      <c r="E530" t="s">
        <v>2</v>
      </c>
      <c r="G530" s="1">
        <v>1</v>
      </c>
      <c r="H530" s="11" t="str">
        <f t="shared" si="35"/>
        <v>2007_06_002.gif</v>
      </c>
      <c r="I530"/>
      <c r="J530"/>
      <c r="L530" s="1" t="b">
        <v>0</v>
      </c>
      <c r="M530" s="1">
        <v>0</v>
      </c>
      <c r="N530" s="1" t="s">
        <v>601</v>
      </c>
      <c r="O530" s="1">
        <v>529</v>
      </c>
      <c r="P530" s="12" t="str">
        <f t="shared" si="37"/>
        <v>Vertical Constant Acceleration Problems</v>
      </c>
      <c r="Q530" s="1">
        <v>4960</v>
      </c>
      <c r="R530" s="1" t="str">
        <f t="shared" si="36"/>
        <v>2007_06</v>
      </c>
      <c r="T530" s="1"/>
      <c r="AC530" s="1">
        <v>1</v>
      </c>
    </row>
    <row r="531" spans="1:77" x14ac:dyDescent="0.2">
      <c r="A531" t="s">
        <v>399</v>
      </c>
      <c r="B531" s="1">
        <v>2007</v>
      </c>
      <c r="C531" s="1">
        <v>6</v>
      </c>
      <c r="D531" s="1">
        <v>3</v>
      </c>
      <c r="E531" t="s">
        <v>5</v>
      </c>
      <c r="G531" s="1">
        <v>2</v>
      </c>
      <c r="H531" s="11" t="str">
        <f t="shared" si="35"/>
        <v>2007_06_003.gif</v>
      </c>
      <c r="I531"/>
      <c r="J531"/>
      <c r="L531" s="1" t="b">
        <v>0</v>
      </c>
      <c r="M531" s="1">
        <v>0</v>
      </c>
      <c r="N531" s="1" t="s">
        <v>601</v>
      </c>
      <c r="O531" s="1">
        <v>530</v>
      </c>
      <c r="P531" s="12" t="str">
        <f t="shared" si="37"/>
        <v>Weight and Mass</v>
      </c>
      <c r="Q531" s="1">
        <v>4961</v>
      </c>
      <c r="R531" s="1" t="str">
        <f t="shared" si="36"/>
        <v>2007_06</v>
      </c>
      <c r="T531" s="1"/>
      <c r="AT531" s="1">
        <v>1</v>
      </c>
    </row>
    <row r="532" spans="1:77" x14ac:dyDescent="0.2">
      <c r="A532" t="s">
        <v>400</v>
      </c>
      <c r="B532" s="1">
        <v>2007</v>
      </c>
      <c r="C532" s="1">
        <v>6</v>
      </c>
      <c r="D532" s="1">
        <v>4</v>
      </c>
      <c r="E532" t="s">
        <v>4</v>
      </c>
      <c r="G532" s="1">
        <v>4</v>
      </c>
      <c r="H532" s="11" t="str">
        <f t="shared" si="35"/>
        <v>2007_06_004.gif</v>
      </c>
      <c r="I532"/>
      <c r="J532"/>
      <c r="L532" s="1" t="b">
        <v>0</v>
      </c>
      <c r="M532" s="1">
        <v>0</v>
      </c>
      <c r="N532" s="1" t="s">
        <v>601</v>
      </c>
      <c r="O532" s="1">
        <v>531</v>
      </c>
      <c r="P532" s="12" t="str">
        <f t="shared" si="37"/>
        <v>Centripetal Motion - Direction F,A,V</v>
      </c>
      <c r="Q532" s="1">
        <v>4962</v>
      </c>
      <c r="R532" s="1" t="str">
        <f t="shared" si="36"/>
        <v>2007_06</v>
      </c>
      <c r="T532" s="1"/>
      <c r="AL532" s="1">
        <v>1</v>
      </c>
    </row>
    <row r="533" spans="1:77" x14ac:dyDescent="0.2">
      <c r="A533" t="s">
        <v>401</v>
      </c>
      <c r="B533" s="1">
        <v>2007</v>
      </c>
      <c r="C533" s="1">
        <v>6</v>
      </c>
      <c r="D533" s="1">
        <v>5</v>
      </c>
      <c r="E533" t="s">
        <v>3</v>
      </c>
      <c r="G533" s="1">
        <v>2</v>
      </c>
      <c r="H533" s="11" t="str">
        <f t="shared" si="35"/>
        <v>2007_06_005.gif</v>
      </c>
      <c r="I533"/>
      <c r="J533"/>
      <c r="L533" s="1" t="b">
        <v>0</v>
      </c>
      <c r="M533" s="1">
        <v>0</v>
      </c>
      <c r="N533" s="1" t="s">
        <v>601</v>
      </c>
      <c r="O533" s="1">
        <v>532</v>
      </c>
      <c r="P533" s="12" t="str">
        <f t="shared" si="37"/>
        <v>Adding Vectors</v>
      </c>
      <c r="Q533" s="1">
        <v>4963</v>
      </c>
      <c r="R533" s="1" t="str">
        <f t="shared" si="36"/>
        <v>2007_06</v>
      </c>
      <c r="T533" s="1"/>
      <c r="AD533" s="1">
        <v>1</v>
      </c>
    </row>
    <row r="534" spans="1:77" x14ac:dyDescent="0.2">
      <c r="A534" t="s">
        <v>402</v>
      </c>
      <c r="B534" s="1">
        <v>2007</v>
      </c>
      <c r="C534" s="1">
        <v>6</v>
      </c>
      <c r="D534" s="1">
        <v>6</v>
      </c>
      <c r="E534" t="s">
        <v>2</v>
      </c>
      <c r="G534" s="1">
        <v>2</v>
      </c>
      <c r="H534" s="11" t="str">
        <f t="shared" si="35"/>
        <v>2007_06_006.gif</v>
      </c>
      <c r="I534"/>
      <c r="J534"/>
      <c r="L534" s="1" t="b">
        <v>0</v>
      </c>
      <c r="M534" s="1">
        <v>0</v>
      </c>
      <c r="N534" s="1" t="s">
        <v>601</v>
      </c>
      <c r="O534" s="1">
        <v>533</v>
      </c>
      <c r="P534" s="12" t="str">
        <f t="shared" si="37"/>
        <v>Basic Motion Concepts</v>
      </c>
      <c r="Q534" s="1">
        <v>4964</v>
      </c>
      <c r="R534" s="1" t="str">
        <f t="shared" si="36"/>
        <v>2007_06</v>
      </c>
      <c r="T534" s="1"/>
      <c r="Z534" s="1">
        <v>1</v>
      </c>
    </row>
    <row r="535" spans="1:77" x14ac:dyDescent="0.2">
      <c r="A535" t="s">
        <v>403</v>
      </c>
      <c r="B535" s="1">
        <v>2007</v>
      </c>
      <c r="C535" s="1">
        <v>6</v>
      </c>
      <c r="D535" s="1">
        <v>7</v>
      </c>
      <c r="E535" t="s">
        <v>5</v>
      </c>
      <c r="G535" s="1">
        <v>2</v>
      </c>
      <c r="H535" s="11" t="str">
        <f t="shared" si="35"/>
        <v>2007_06_007.gif</v>
      </c>
      <c r="I535"/>
      <c r="J535"/>
      <c r="L535" s="1" t="b">
        <v>0</v>
      </c>
      <c r="M535" s="1">
        <v>0</v>
      </c>
      <c r="N535" s="1" t="s">
        <v>601</v>
      </c>
      <c r="O535" s="1">
        <v>534</v>
      </c>
      <c r="P535" s="12" t="str">
        <f t="shared" si="37"/>
        <v>Hooke's Law</v>
      </c>
      <c r="Q535" s="1">
        <v>4965</v>
      </c>
      <c r="R535" s="1" t="str">
        <f t="shared" si="36"/>
        <v>2007_06</v>
      </c>
      <c r="T535" s="1"/>
      <c r="AP535" s="1">
        <v>1</v>
      </c>
    </row>
    <row r="536" spans="1:77" x14ac:dyDescent="0.2">
      <c r="A536" t="s">
        <v>404</v>
      </c>
      <c r="B536" s="1">
        <v>2007</v>
      </c>
      <c r="C536" s="1">
        <v>6</v>
      </c>
      <c r="D536" s="1">
        <v>8</v>
      </c>
      <c r="E536" t="s">
        <v>4</v>
      </c>
      <c r="G536" s="1">
        <v>4</v>
      </c>
      <c r="H536" s="11" t="str">
        <f t="shared" si="35"/>
        <v>2007_06_008.gif</v>
      </c>
      <c r="I536"/>
      <c r="J536"/>
      <c r="L536" s="1" t="b">
        <v>0</v>
      </c>
      <c r="M536" s="1">
        <v>0</v>
      </c>
      <c r="N536" s="1" t="s">
        <v>601</v>
      </c>
      <c r="O536" s="1">
        <v>535</v>
      </c>
      <c r="P536" s="12" t="str">
        <f t="shared" si="37"/>
        <v>Centripetal Motion - Calculation</v>
      </c>
      <c r="Q536" s="1">
        <v>4966</v>
      </c>
      <c r="R536" s="1" t="str">
        <f t="shared" si="36"/>
        <v>2007_06</v>
      </c>
      <c r="T536" s="1"/>
      <c r="AM536" s="1">
        <v>1</v>
      </c>
    </row>
    <row r="537" spans="1:77" x14ac:dyDescent="0.2">
      <c r="A537" t="s">
        <v>405</v>
      </c>
      <c r="B537" s="1">
        <v>2007</v>
      </c>
      <c r="C537" s="1">
        <v>6</v>
      </c>
      <c r="D537" s="1">
        <v>9</v>
      </c>
      <c r="E537" t="s">
        <v>6</v>
      </c>
      <c r="G537" s="1">
        <v>3</v>
      </c>
      <c r="H537" s="11" t="str">
        <f t="shared" si="35"/>
        <v>2007_06_009.gif</v>
      </c>
      <c r="I537"/>
      <c r="J537"/>
      <c r="L537" s="1" t="b">
        <v>0</v>
      </c>
      <c r="M537" s="1">
        <v>0</v>
      </c>
      <c r="N537" s="1" t="s">
        <v>601</v>
      </c>
      <c r="O537" s="1">
        <v>536</v>
      </c>
      <c r="P537" s="12" t="str">
        <f t="shared" si="37"/>
        <v>Impulse</v>
      </c>
      <c r="Q537" s="1">
        <v>4967</v>
      </c>
      <c r="R537" s="1" t="str">
        <f t="shared" si="36"/>
        <v>2007_06</v>
      </c>
      <c r="T537" s="1"/>
      <c r="AV537" s="1">
        <v>1</v>
      </c>
    </row>
    <row r="538" spans="1:77" x14ac:dyDescent="0.2">
      <c r="A538" t="s">
        <v>406</v>
      </c>
      <c r="B538" s="1">
        <v>2007</v>
      </c>
      <c r="C538" s="1">
        <v>6</v>
      </c>
      <c r="D538" s="1">
        <v>10</v>
      </c>
      <c r="E538" t="s">
        <v>7</v>
      </c>
      <c r="F538" t="s">
        <v>548</v>
      </c>
      <c r="G538" s="1">
        <v>1</v>
      </c>
      <c r="H538" s="11" t="str">
        <f t="shared" si="35"/>
        <v>2007_06_010.gif</v>
      </c>
      <c r="I538"/>
      <c r="J538"/>
      <c r="L538" s="1" t="b">
        <v>0</v>
      </c>
      <c r="M538" s="1">
        <v>0</v>
      </c>
      <c r="N538" s="1" t="s">
        <v>601</v>
      </c>
      <c r="O538" s="1">
        <v>537</v>
      </c>
      <c r="P538" s="12" t="str">
        <f t="shared" si="37"/>
        <v>Gravitational PE,Mathematical Relationships (Numberless Problems)</v>
      </c>
      <c r="Q538" s="1">
        <v>4968</v>
      </c>
      <c r="R538" s="1" t="str">
        <f t="shared" si="36"/>
        <v>2007_06</v>
      </c>
      <c r="T538" s="1"/>
      <c r="AY538" s="1">
        <v>1</v>
      </c>
      <c r="BY538" s="1">
        <v>1</v>
      </c>
    </row>
    <row r="539" spans="1:77" x14ac:dyDescent="0.2">
      <c r="A539" t="s">
        <v>407</v>
      </c>
      <c r="B539" s="1">
        <v>2007</v>
      </c>
      <c r="C539" s="1">
        <v>6</v>
      </c>
      <c r="D539" s="1">
        <v>11</v>
      </c>
      <c r="E539" t="s">
        <v>7</v>
      </c>
      <c r="G539" s="1">
        <v>4</v>
      </c>
      <c r="H539" s="11" t="str">
        <f t="shared" si="35"/>
        <v>2007_06_011.gif</v>
      </c>
      <c r="I539"/>
      <c r="J539"/>
      <c r="L539" s="1" t="b">
        <v>0</v>
      </c>
      <c r="M539" s="1">
        <v>0</v>
      </c>
      <c r="N539" s="1" t="s">
        <v>601</v>
      </c>
      <c r="O539" s="1">
        <v>538</v>
      </c>
      <c r="P539" s="12" t="str">
        <f t="shared" si="37"/>
        <v>Kinetic Energy</v>
      </c>
      <c r="Q539" s="1">
        <v>4969</v>
      </c>
      <c r="R539" s="1" t="str">
        <f t="shared" si="36"/>
        <v>2007_06</v>
      </c>
      <c r="T539" s="1"/>
      <c r="AZ539" s="1">
        <v>1</v>
      </c>
    </row>
    <row r="540" spans="1:77" x14ac:dyDescent="0.2">
      <c r="A540" t="s">
        <v>408</v>
      </c>
      <c r="B540" s="1">
        <v>2007</v>
      </c>
      <c r="C540" s="1">
        <v>6</v>
      </c>
      <c r="D540" s="1">
        <v>12</v>
      </c>
      <c r="E540" t="s">
        <v>7</v>
      </c>
      <c r="G540" s="1">
        <v>3</v>
      </c>
      <c r="H540" s="11" t="str">
        <f t="shared" si="35"/>
        <v>2007_06_012.gif</v>
      </c>
      <c r="I540"/>
      <c r="J540"/>
      <c r="L540" s="1" t="b">
        <v>0</v>
      </c>
      <c r="M540" s="1">
        <v>0</v>
      </c>
      <c r="N540" s="1" t="s">
        <v>601</v>
      </c>
      <c r="O540" s="1">
        <v>539</v>
      </c>
      <c r="P540" s="12" t="str">
        <f t="shared" si="37"/>
        <v>Work/Power</v>
      </c>
      <c r="Q540" s="1">
        <v>4970</v>
      </c>
      <c r="R540" s="1" t="str">
        <f t="shared" si="36"/>
        <v>2007_06</v>
      </c>
      <c r="T540" s="1"/>
      <c r="BB540" s="1">
        <v>1</v>
      </c>
    </row>
    <row r="541" spans="1:77" x14ac:dyDescent="0.2">
      <c r="A541" t="s">
        <v>409</v>
      </c>
      <c r="B541" s="1">
        <v>2007</v>
      </c>
      <c r="C541" s="1">
        <v>6</v>
      </c>
      <c r="D541" s="1">
        <v>13</v>
      </c>
      <c r="E541" t="s">
        <v>7</v>
      </c>
      <c r="G541" s="1">
        <v>2</v>
      </c>
      <c r="H541" s="11" t="str">
        <f t="shared" si="35"/>
        <v>2007_06_013.gif</v>
      </c>
      <c r="I541"/>
      <c r="J541"/>
      <c r="L541" s="1" t="b">
        <v>0</v>
      </c>
      <c r="M541" s="1">
        <v>0</v>
      </c>
      <c r="N541" s="1" t="s">
        <v>601</v>
      </c>
      <c r="O541" s="1">
        <v>540</v>
      </c>
      <c r="P541" s="12" t="str">
        <f t="shared" si="37"/>
        <v>Work/Power</v>
      </c>
      <c r="Q541" s="1">
        <v>4971</v>
      </c>
      <c r="R541" s="1" t="str">
        <f t="shared" si="36"/>
        <v>2007_06</v>
      </c>
      <c r="T541" s="1"/>
      <c r="BB541" s="1">
        <v>1</v>
      </c>
    </row>
    <row r="542" spans="1:77" x14ac:dyDescent="0.2">
      <c r="A542" t="s">
        <v>410</v>
      </c>
      <c r="B542" s="1">
        <v>2007</v>
      </c>
      <c r="C542" s="1">
        <v>6</v>
      </c>
      <c r="D542" s="1">
        <v>14</v>
      </c>
      <c r="E542" t="s">
        <v>5</v>
      </c>
      <c r="G542" s="1">
        <v>3</v>
      </c>
      <c r="H542" s="11" t="str">
        <f t="shared" si="35"/>
        <v>2007_06_014.gif</v>
      </c>
      <c r="I542"/>
      <c r="J542"/>
      <c r="L542" s="1" t="b">
        <v>0</v>
      </c>
      <c r="M542" s="1">
        <v>0</v>
      </c>
      <c r="N542" s="1" t="s">
        <v>601</v>
      </c>
      <c r="O542" s="1">
        <v>541</v>
      </c>
      <c r="P542" s="12" t="str">
        <f t="shared" si="37"/>
        <v>Law of Gravity</v>
      </c>
      <c r="Q542" s="1">
        <v>4972</v>
      </c>
      <c r="R542" s="1" t="str">
        <f t="shared" si="36"/>
        <v>2007_06</v>
      </c>
      <c r="T542" s="1"/>
      <c r="AQ542" s="1">
        <v>1</v>
      </c>
    </row>
    <row r="543" spans="1:77" x14ac:dyDescent="0.2">
      <c r="A543" t="s">
        <v>411</v>
      </c>
      <c r="B543" s="1">
        <v>2007</v>
      </c>
      <c r="C543" s="1">
        <v>6</v>
      </c>
      <c r="D543" s="1">
        <v>15</v>
      </c>
      <c r="E543" t="s">
        <v>10</v>
      </c>
      <c r="G543" s="1">
        <v>1</v>
      </c>
      <c r="H543" s="11" t="str">
        <f t="shared" si="35"/>
        <v>2007_06_015.gif</v>
      </c>
      <c r="I543"/>
      <c r="J543"/>
      <c r="L543" s="1" t="b">
        <v>0</v>
      </c>
      <c r="M543" s="1">
        <v>0</v>
      </c>
      <c r="N543" s="1" t="s">
        <v>601</v>
      </c>
      <c r="O543" s="1">
        <v>542</v>
      </c>
      <c r="P543" s="12" t="str">
        <f t="shared" si="37"/>
        <v>Electric Fields and Potential</v>
      </c>
      <c r="Q543" s="1">
        <v>4973</v>
      </c>
      <c r="R543" s="1" t="str">
        <f t="shared" si="36"/>
        <v>2007_06</v>
      </c>
      <c r="T543" s="1"/>
      <c r="BN543" s="1">
        <v>1</v>
      </c>
    </row>
    <row r="544" spans="1:77" x14ac:dyDescent="0.2">
      <c r="A544" t="s">
        <v>412</v>
      </c>
      <c r="B544" s="1">
        <v>2007</v>
      </c>
      <c r="C544" s="1">
        <v>6</v>
      </c>
      <c r="D544" s="1">
        <v>16</v>
      </c>
      <c r="E544" t="s">
        <v>11</v>
      </c>
      <c r="G544" s="1">
        <v>2</v>
      </c>
      <c r="H544" s="11" t="str">
        <f t="shared" si="35"/>
        <v>2007_06_016.gif</v>
      </c>
      <c r="I544"/>
      <c r="J544"/>
      <c r="L544" s="1" t="b">
        <v>0</v>
      </c>
      <c r="M544" s="1">
        <v>0</v>
      </c>
      <c r="N544" s="1" t="s">
        <v>601</v>
      </c>
      <c r="O544" s="1">
        <v>543</v>
      </c>
      <c r="P544" s="12" t="str">
        <f t="shared" si="37"/>
        <v>Ohm's Law</v>
      </c>
      <c r="Q544" s="1">
        <v>4974</v>
      </c>
      <c r="R544" s="1" t="str">
        <f t="shared" si="36"/>
        <v>2007_06</v>
      </c>
      <c r="T544" s="1"/>
      <c r="BQ544" s="1">
        <v>1</v>
      </c>
    </row>
    <row r="545" spans="1:70" x14ac:dyDescent="0.2">
      <c r="A545" t="s">
        <v>413</v>
      </c>
      <c r="B545" s="1">
        <v>2007</v>
      </c>
      <c r="C545" s="1">
        <v>6</v>
      </c>
      <c r="D545" s="1">
        <v>17</v>
      </c>
      <c r="E545" t="s">
        <v>11</v>
      </c>
      <c r="G545" s="1">
        <v>4</v>
      </c>
      <c r="H545" s="11" t="str">
        <f t="shared" si="35"/>
        <v>2007_06_017.gif</v>
      </c>
      <c r="I545"/>
      <c r="J545"/>
      <c r="L545" s="1" t="b">
        <v>0</v>
      </c>
      <c r="M545" s="1">
        <v>0</v>
      </c>
      <c r="N545" s="1" t="s">
        <v>601</v>
      </c>
      <c r="O545" s="1">
        <v>544</v>
      </c>
      <c r="P545" s="12" t="str">
        <f t="shared" si="37"/>
        <v>Resistance of Wire</v>
      </c>
      <c r="Q545" s="1">
        <v>4975</v>
      </c>
      <c r="R545" s="1" t="str">
        <f t="shared" si="36"/>
        <v>2007_06</v>
      </c>
      <c r="T545" s="1"/>
      <c r="BR545" s="1">
        <v>1</v>
      </c>
    </row>
    <row r="546" spans="1:70" x14ac:dyDescent="0.2">
      <c r="A546" t="s">
        <v>414</v>
      </c>
      <c r="B546" s="1">
        <v>2007</v>
      </c>
      <c r="C546" s="1">
        <v>6</v>
      </c>
      <c r="D546" s="1">
        <v>18</v>
      </c>
      <c r="E546" t="s">
        <v>11</v>
      </c>
      <c r="G546" s="1">
        <v>4</v>
      </c>
      <c r="H546" s="11" t="str">
        <f t="shared" si="35"/>
        <v>2007_06_018.gif</v>
      </c>
      <c r="I546"/>
      <c r="J546"/>
      <c r="L546" s="1" t="b">
        <v>0</v>
      </c>
      <c r="M546" s="1">
        <v>0</v>
      </c>
      <c r="N546" s="1" t="s">
        <v>601</v>
      </c>
      <c r="O546" s="1">
        <v>545</v>
      </c>
      <c r="P546" s="12" t="str">
        <f t="shared" si="37"/>
        <v>Electrical Definitions</v>
      </c>
      <c r="Q546" s="1">
        <v>4976</v>
      </c>
      <c r="R546" s="1" t="str">
        <f t="shared" si="36"/>
        <v>2007_06</v>
      </c>
      <c r="T546" s="1"/>
      <c r="BO546" s="1">
        <v>1</v>
      </c>
    </row>
    <row r="547" spans="1:70" x14ac:dyDescent="0.2">
      <c r="A547" t="s">
        <v>415</v>
      </c>
      <c r="B547" s="1">
        <v>2007</v>
      </c>
      <c r="C547" s="1">
        <v>6</v>
      </c>
      <c r="D547" s="1">
        <v>19</v>
      </c>
      <c r="E547" t="s">
        <v>11</v>
      </c>
      <c r="G547" s="1">
        <v>1</v>
      </c>
      <c r="H547" s="11" t="str">
        <f t="shared" si="35"/>
        <v>2007_06_019.gif</v>
      </c>
      <c r="I547"/>
      <c r="J547"/>
      <c r="L547" s="1" t="b">
        <v>0</v>
      </c>
      <c r="M547" s="1">
        <v>0</v>
      </c>
      <c r="N547" s="1" t="s">
        <v>601</v>
      </c>
      <c r="O547" s="1">
        <v>546</v>
      </c>
      <c r="P547" s="12" t="str">
        <f t="shared" si="37"/>
        <v>Electrical Power</v>
      </c>
      <c r="Q547" s="1">
        <v>4977</v>
      </c>
      <c r="R547" s="1" t="str">
        <f t="shared" si="36"/>
        <v>2007_06</v>
      </c>
      <c r="T547" s="1"/>
      <c r="BP547" s="1">
        <v>1</v>
      </c>
    </row>
    <row r="548" spans="1:70" x14ac:dyDescent="0.2">
      <c r="A548" t="s">
        <v>416</v>
      </c>
      <c r="B548" s="1">
        <v>2007</v>
      </c>
      <c r="C548" s="1">
        <v>6</v>
      </c>
      <c r="D548" s="1">
        <v>20</v>
      </c>
      <c r="E548" t="s">
        <v>11</v>
      </c>
      <c r="G548" s="1">
        <v>3</v>
      </c>
      <c r="H548" s="11" t="str">
        <f t="shared" si="35"/>
        <v>2007_06_020.gif</v>
      </c>
      <c r="I548"/>
      <c r="J548"/>
      <c r="L548" s="1" t="b">
        <v>0</v>
      </c>
      <c r="M548" s="1">
        <v>0</v>
      </c>
      <c r="N548" s="1" t="s">
        <v>601</v>
      </c>
      <c r="O548" s="1">
        <v>547</v>
      </c>
      <c r="P548" s="12" t="str">
        <f t="shared" si="37"/>
        <v>Electrical Power</v>
      </c>
      <c r="Q548" s="1">
        <v>4978</v>
      </c>
      <c r="R548" s="1" t="str">
        <f t="shared" si="36"/>
        <v>2007_06</v>
      </c>
      <c r="T548" s="1"/>
      <c r="BP548" s="1">
        <v>1</v>
      </c>
    </row>
    <row r="549" spans="1:70" x14ac:dyDescent="0.2">
      <c r="A549" t="s">
        <v>417</v>
      </c>
      <c r="B549" s="1">
        <v>2007</v>
      </c>
      <c r="C549" s="1">
        <v>6</v>
      </c>
      <c r="D549" s="1">
        <v>21</v>
      </c>
      <c r="E549" t="s">
        <v>9</v>
      </c>
      <c r="G549" s="1">
        <v>1</v>
      </c>
      <c r="H549" s="11" t="str">
        <f t="shared" si="35"/>
        <v>2007_06_021.gif</v>
      </c>
      <c r="I549"/>
      <c r="J549"/>
      <c r="L549" s="1" t="b">
        <v>0</v>
      </c>
      <c r="M549" s="1">
        <v>0</v>
      </c>
      <c r="N549" s="1" t="s">
        <v>601</v>
      </c>
      <c r="O549" s="1">
        <v>548</v>
      </c>
      <c r="P549" s="12" t="str">
        <f t="shared" si="37"/>
        <v>Refraction and Snell's Law</v>
      </c>
      <c r="Q549" s="1">
        <v>4979</v>
      </c>
      <c r="R549" s="1" t="str">
        <f t="shared" si="36"/>
        <v>2007_06</v>
      </c>
      <c r="T549" s="1"/>
      <c r="BJ549" s="1">
        <v>1</v>
      </c>
    </row>
    <row r="550" spans="1:70" x14ac:dyDescent="0.2">
      <c r="A550" t="s">
        <v>418</v>
      </c>
      <c r="B550" s="1">
        <v>2007</v>
      </c>
      <c r="C550" s="1">
        <v>6</v>
      </c>
      <c r="D550" s="1">
        <v>22</v>
      </c>
      <c r="E550" t="s">
        <v>8</v>
      </c>
      <c r="G550" s="1">
        <v>3</v>
      </c>
      <c r="H550" s="11" t="str">
        <f t="shared" si="35"/>
        <v>2007_06_022.gif</v>
      </c>
      <c r="I550"/>
      <c r="J550"/>
      <c r="L550" s="1" t="b">
        <v>0</v>
      </c>
      <c r="M550" s="1">
        <v>0</v>
      </c>
      <c r="N550" s="1" t="s">
        <v>601</v>
      </c>
      <c r="O550" s="1">
        <v>549</v>
      </c>
      <c r="P550" s="12" t="str">
        <f t="shared" si="37"/>
        <v>Wave Vocabulary</v>
      </c>
      <c r="Q550" s="1">
        <v>4980</v>
      </c>
      <c r="R550" s="1" t="str">
        <f t="shared" si="36"/>
        <v>2007_06</v>
      </c>
      <c r="T550" s="1"/>
      <c r="BF550" s="1">
        <v>1</v>
      </c>
    </row>
    <row r="551" spans="1:70" x14ac:dyDescent="0.2">
      <c r="A551" t="s">
        <v>419</v>
      </c>
      <c r="B551" s="1">
        <v>2007</v>
      </c>
      <c r="C551" s="1">
        <v>6</v>
      </c>
      <c r="D551" s="1">
        <v>23</v>
      </c>
      <c r="E551" t="s">
        <v>8</v>
      </c>
      <c r="G551" s="1">
        <v>3</v>
      </c>
      <c r="H551" s="11" t="str">
        <f t="shared" si="35"/>
        <v>2007_06_023.gif</v>
      </c>
      <c r="I551"/>
      <c r="J551"/>
      <c r="L551" s="1" t="b">
        <v>0</v>
      </c>
      <c r="M551" s="1">
        <v>0</v>
      </c>
      <c r="N551" s="1" t="s">
        <v>601</v>
      </c>
      <c r="O551" s="1">
        <v>550</v>
      </c>
      <c r="P551" s="12" t="str">
        <f t="shared" si="37"/>
        <v>Wave Vocabulary</v>
      </c>
      <c r="Q551" s="1">
        <v>4981</v>
      </c>
      <c r="R551" s="1" t="str">
        <f t="shared" si="36"/>
        <v>2007_06</v>
      </c>
      <c r="T551" s="1"/>
      <c r="BF551" s="1">
        <v>1</v>
      </c>
    </row>
    <row r="552" spans="1:70" x14ac:dyDescent="0.2">
      <c r="A552" t="s">
        <v>420</v>
      </c>
      <c r="B552" s="1">
        <v>2007</v>
      </c>
      <c r="C552" s="1">
        <v>6</v>
      </c>
      <c r="D552" s="1">
        <v>24</v>
      </c>
      <c r="E552" t="s">
        <v>8</v>
      </c>
      <c r="G552" s="1">
        <v>1</v>
      </c>
      <c r="H552" s="11" t="str">
        <f t="shared" si="35"/>
        <v>2007_06_024.gif</v>
      </c>
      <c r="I552"/>
      <c r="J552"/>
      <c r="L552" s="1" t="b">
        <v>0</v>
      </c>
      <c r="M552" s="1">
        <v>0</v>
      </c>
      <c r="N552" s="1" t="s">
        <v>601</v>
      </c>
      <c r="O552" s="1">
        <v>551</v>
      </c>
      <c r="P552" s="12" t="str">
        <f t="shared" si="37"/>
        <v>Wave Vocabulary</v>
      </c>
      <c r="Q552" s="1">
        <v>4982</v>
      </c>
      <c r="R552" s="1" t="str">
        <f t="shared" si="36"/>
        <v>2007_06</v>
      </c>
      <c r="T552" s="1"/>
      <c r="BF552" s="1">
        <v>1</v>
      </c>
    </row>
    <row r="553" spans="1:70" x14ac:dyDescent="0.2">
      <c r="A553" t="s">
        <v>421</v>
      </c>
      <c r="B553" s="1">
        <v>2007</v>
      </c>
      <c r="C553" s="1">
        <v>6</v>
      </c>
      <c r="D553" s="1">
        <v>25</v>
      </c>
      <c r="E553" t="s">
        <v>9</v>
      </c>
      <c r="F553" t="s">
        <v>2</v>
      </c>
      <c r="G553" s="1">
        <v>2</v>
      </c>
      <c r="H553" s="11" t="str">
        <f t="shared" si="35"/>
        <v>2007_06_025.gif</v>
      </c>
      <c r="I553"/>
      <c r="J553"/>
      <c r="L553" s="1" t="b">
        <v>0</v>
      </c>
      <c r="M553" s="1">
        <v>0</v>
      </c>
      <c r="N553" s="1" t="s">
        <v>601</v>
      </c>
      <c r="O553" s="1">
        <v>552</v>
      </c>
      <c r="P553" s="12" t="str">
        <f t="shared" si="37"/>
        <v>Basic Motion Concepts,Light and Sound</v>
      </c>
      <c r="Q553" s="1">
        <v>4983</v>
      </c>
      <c r="R553" s="1" t="str">
        <f t="shared" si="36"/>
        <v>2007_06</v>
      </c>
      <c r="T553" s="1"/>
      <c r="Z553" s="1">
        <v>1</v>
      </c>
      <c r="BI553" s="1">
        <v>1</v>
      </c>
    </row>
    <row r="554" spans="1:70" x14ac:dyDescent="0.2">
      <c r="A554" t="s">
        <v>422</v>
      </c>
      <c r="B554" s="1">
        <v>2007</v>
      </c>
      <c r="C554" s="1">
        <v>6</v>
      </c>
      <c r="D554" s="1">
        <v>26</v>
      </c>
      <c r="E554" t="s">
        <v>9</v>
      </c>
      <c r="F554" t="s">
        <v>8</v>
      </c>
      <c r="G554" s="1">
        <v>4</v>
      </c>
      <c r="H554" s="11" t="str">
        <f t="shared" si="35"/>
        <v>2007_06_026.gif</v>
      </c>
      <c r="I554"/>
      <c r="J554"/>
      <c r="L554" s="1" t="b">
        <v>0</v>
      </c>
      <c r="M554" s="1">
        <v>0</v>
      </c>
      <c r="N554" s="1" t="s">
        <v>601</v>
      </c>
      <c r="O554" s="1">
        <v>553</v>
      </c>
      <c r="P554" s="12" t="str">
        <f t="shared" si="37"/>
        <v>Light and Sound</v>
      </c>
      <c r="Q554" s="1">
        <v>4984</v>
      </c>
      <c r="R554" s="1" t="str">
        <f t="shared" si="36"/>
        <v>2007_06</v>
      </c>
      <c r="T554" s="1"/>
      <c r="BI554" s="1">
        <v>1</v>
      </c>
    </row>
    <row r="555" spans="1:70" x14ac:dyDescent="0.2">
      <c r="A555" t="s">
        <v>423</v>
      </c>
      <c r="B555" s="1">
        <v>2007</v>
      </c>
      <c r="C555" s="1">
        <v>6</v>
      </c>
      <c r="D555" s="1">
        <v>27</v>
      </c>
      <c r="E555" t="s">
        <v>8</v>
      </c>
      <c r="G555" s="1">
        <v>3</v>
      </c>
      <c r="H555" s="11" t="str">
        <f t="shared" si="35"/>
        <v>2007_06_027.gif</v>
      </c>
      <c r="I555"/>
      <c r="J555"/>
      <c r="L555" s="1" t="b">
        <v>0</v>
      </c>
      <c r="M555" s="1">
        <v>0</v>
      </c>
      <c r="N555" s="1" t="s">
        <v>601</v>
      </c>
      <c r="O555" s="1">
        <v>554</v>
      </c>
      <c r="P555" s="12" t="str">
        <f t="shared" si="37"/>
        <v>Wave Vocabulary</v>
      </c>
      <c r="Q555" s="1">
        <v>4985</v>
      </c>
      <c r="R555" s="1" t="str">
        <f t="shared" si="36"/>
        <v>2007_06</v>
      </c>
      <c r="T555" s="1"/>
      <c r="BF555" s="1">
        <v>1</v>
      </c>
    </row>
    <row r="556" spans="1:70" x14ac:dyDescent="0.2">
      <c r="A556" t="s">
        <v>424</v>
      </c>
      <c r="B556" s="1">
        <v>2007</v>
      </c>
      <c r="C556" s="1">
        <v>6</v>
      </c>
      <c r="D556" s="1">
        <v>28</v>
      </c>
      <c r="E556" t="s">
        <v>8</v>
      </c>
      <c r="G556" s="1">
        <v>3</v>
      </c>
      <c r="H556" s="11" t="str">
        <f t="shared" si="35"/>
        <v>2007_06_028.gif</v>
      </c>
      <c r="I556"/>
      <c r="J556"/>
      <c r="L556" s="1" t="b">
        <v>0</v>
      </c>
      <c r="M556" s="1">
        <v>0</v>
      </c>
      <c r="N556" s="1" t="s">
        <v>601</v>
      </c>
      <c r="O556" s="1">
        <v>555</v>
      </c>
      <c r="P556" s="12" t="str">
        <f t="shared" si="37"/>
        <v>Resonance</v>
      </c>
      <c r="Q556" s="1">
        <v>4986</v>
      </c>
      <c r="R556" s="1" t="str">
        <f t="shared" si="36"/>
        <v>2007_06</v>
      </c>
      <c r="T556" s="1"/>
      <c r="BC556" s="1">
        <v>1</v>
      </c>
    </row>
    <row r="557" spans="1:70" x14ac:dyDescent="0.2">
      <c r="A557" t="s">
        <v>425</v>
      </c>
      <c r="B557" s="1">
        <v>2007</v>
      </c>
      <c r="C557" s="1">
        <v>6</v>
      </c>
      <c r="D557" s="1">
        <v>29</v>
      </c>
      <c r="E557" t="s">
        <v>9</v>
      </c>
      <c r="G557" s="1">
        <v>1</v>
      </c>
      <c r="H557" s="11" t="str">
        <f t="shared" si="35"/>
        <v>2007_06_029.gif</v>
      </c>
      <c r="I557"/>
      <c r="J557"/>
      <c r="L557" s="1" t="b">
        <v>0</v>
      </c>
      <c r="M557" s="1">
        <v>0</v>
      </c>
      <c r="N557" s="1" t="s">
        <v>601</v>
      </c>
      <c r="O557" s="1">
        <v>556</v>
      </c>
      <c r="P557" s="12" t="str">
        <f t="shared" si="37"/>
        <v>Diffraction</v>
      </c>
      <c r="Q557" s="1">
        <v>4987</v>
      </c>
      <c r="R557" s="1" t="str">
        <f t="shared" si="36"/>
        <v>2007_06</v>
      </c>
      <c r="T557" s="1"/>
      <c r="BG557" s="1">
        <v>1</v>
      </c>
    </row>
    <row r="558" spans="1:70" x14ac:dyDescent="0.2">
      <c r="A558" t="s">
        <v>426</v>
      </c>
      <c r="B558" s="1">
        <v>2007</v>
      </c>
      <c r="C558" s="1">
        <v>6</v>
      </c>
      <c r="D558" s="1">
        <v>30</v>
      </c>
      <c r="E558" t="s">
        <v>8</v>
      </c>
      <c r="G558" s="1">
        <v>1</v>
      </c>
      <c r="H558" s="11" t="str">
        <f t="shared" si="35"/>
        <v>2007_06_030.gif</v>
      </c>
      <c r="I558"/>
      <c r="J558"/>
      <c r="L558" s="1" t="b">
        <v>0</v>
      </c>
      <c r="M558" s="1">
        <v>0</v>
      </c>
      <c r="N558" s="1" t="s">
        <v>601</v>
      </c>
      <c r="O558" s="1">
        <v>557</v>
      </c>
      <c r="P558" s="12" t="str">
        <f t="shared" si="37"/>
        <v>Superposition and Standing Waves</v>
      </c>
      <c r="Q558" s="1">
        <v>4988</v>
      </c>
      <c r="R558" s="1" t="str">
        <f t="shared" si="36"/>
        <v>2007_06</v>
      </c>
      <c r="T558" s="1"/>
      <c r="BD558" s="1">
        <v>1</v>
      </c>
    </row>
    <row r="559" spans="1:70" x14ac:dyDescent="0.2">
      <c r="A559" t="s">
        <v>427</v>
      </c>
      <c r="B559" s="1">
        <v>2007</v>
      </c>
      <c r="C559" s="1">
        <v>6</v>
      </c>
      <c r="D559" s="1">
        <v>31</v>
      </c>
      <c r="E559" t="s">
        <v>9</v>
      </c>
      <c r="G559" s="1">
        <v>4</v>
      </c>
      <c r="H559" s="11" t="str">
        <f t="shared" si="35"/>
        <v>2007_06_031.gif</v>
      </c>
      <c r="I559"/>
      <c r="J559"/>
      <c r="L559" s="1" t="b">
        <v>0</v>
      </c>
      <c r="M559" s="1">
        <v>0</v>
      </c>
      <c r="N559" s="1" t="s">
        <v>601</v>
      </c>
      <c r="O559" s="1">
        <v>558</v>
      </c>
      <c r="P559" s="12" t="str">
        <f t="shared" si="37"/>
        <v>Doppler Effect</v>
      </c>
      <c r="Q559" s="1">
        <v>4989</v>
      </c>
      <c r="R559" s="1" t="str">
        <f t="shared" si="36"/>
        <v>2007_06</v>
      </c>
      <c r="T559" s="1"/>
      <c r="BH559" s="1">
        <v>1</v>
      </c>
    </row>
    <row r="560" spans="1:70" x14ac:dyDescent="0.2">
      <c r="A560" t="s">
        <v>428</v>
      </c>
      <c r="B560" s="1">
        <v>2007</v>
      </c>
      <c r="C560" s="1">
        <v>6</v>
      </c>
      <c r="D560" s="1">
        <v>32</v>
      </c>
      <c r="E560" t="s">
        <v>10</v>
      </c>
      <c r="G560" s="1">
        <v>2</v>
      </c>
      <c r="H560" s="11" t="str">
        <f t="shared" si="35"/>
        <v>2007_06_032.gif</v>
      </c>
      <c r="I560"/>
      <c r="J560"/>
      <c r="L560" s="1" t="b">
        <v>0</v>
      </c>
      <c r="M560" s="1">
        <v>0</v>
      </c>
      <c r="N560" s="1" t="s">
        <v>601</v>
      </c>
      <c r="O560" s="1">
        <v>559</v>
      </c>
      <c r="P560" s="12" t="str">
        <f t="shared" si="37"/>
        <v>Conservation of Charge</v>
      </c>
      <c r="Q560" s="1">
        <v>4990</v>
      </c>
      <c r="R560" s="1" t="str">
        <f t="shared" si="36"/>
        <v>2007_06</v>
      </c>
      <c r="T560" s="1"/>
      <c r="BK560" s="1">
        <v>1</v>
      </c>
    </row>
    <row r="561" spans="1:76" x14ac:dyDescent="0.2">
      <c r="A561" t="s">
        <v>429</v>
      </c>
      <c r="B561" s="1">
        <v>2007</v>
      </c>
      <c r="C561" s="1">
        <v>6</v>
      </c>
      <c r="D561" s="1">
        <v>33</v>
      </c>
      <c r="E561" t="s">
        <v>10</v>
      </c>
      <c r="G561" s="1">
        <v>1</v>
      </c>
      <c r="H561" s="11" t="str">
        <f t="shared" si="35"/>
        <v>2007_06_033.gif</v>
      </c>
      <c r="I561"/>
      <c r="J561"/>
      <c r="L561" s="1" t="b">
        <v>0</v>
      </c>
      <c r="M561" s="1">
        <v>0</v>
      </c>
      <c r="N561" s="1" t="s">
        <v>601</v>
      </c>
      <c r="O561" s="1">
        <v>560</v>
      </c>
      <c r="P561" s="12" t="str">
        <f t="shared" si="37"/>
        <v>Conservation of Charge,Induction, Conduction, Polarization</v>
      </c>
      <c r="Q561" s="1">
        <v>4991</v>
      </c>
      <c r="R561" s="1" t="str">
        <f t="shared" si="36"/>
        <v>2007_06</v>
      </c>
      <c r="T561" s="1"/>
      <c r="BK561" s="1">
        <v>1</v>
      </c>
      <c r="BM561" s="1">
        <v>1</v>
      </c>
    </row>
    <row r="562" spans="1:76" x14ac:dyDescent="0.2">
      <c r="A562" t="s">
        <v>430</v>
      </c>
      <c r="B562" s="1">
        <v>2007</v>
      </c>
      <c r="C562" s="1">
        <v>6</v>
      </c>
      <c r="D562" s="1">
        <v>34</v>
      </c>
      <c r="E562" t="s">
        <v>13</v>
      </c>
      <c r="G562" s="1">
        <v>3</v>
      </c>
      <c r="H562" s="11" t="str">
        <f t="shared" si="35"/>
        <v>2007_06_034.gif</v>
      </c>
      <c r="I562"/>
      <c r="J562"/>
      <c r="L562" s="1" t="b">
        <v>0</v>
      </c>
      <c r="M562" s="1">
        <v>0</v>
      </c>
      <c r="N562" s="1" t="s">
        <v>601</v>
      </c>
      <c r="O562" s="1">
        <v>561</v>
      </c>
      <c r="P562" s="12" t="str">
        <f t="shared" si="37"/>
        <v>Energy/Frequency of Photon</v>
      </c>
      <c r="Q562" s="1">
        <v>4992</v>
      </c>
      <c r="R562" s="1" t="str">
        <f t="shared" si="36"/>
        <v>2007_06</v>
      </c>
      <c r="T562" s="1"/>
      <c r="BU562" s="1">
        <v>1</v>
      </c>
    </row>
    <row r="563" spans="1:76" x14ac:dyDescent="0.2">
      <c r="A563" t="s">
        <v>431</v>
      </c>
      <c r="B563" s="1">
        <v>2007</v>
      </c>
      <c r="C563" s="1">
        <v>6</v>
      </c>
      <c r="D563" s="1">
        <v>35</v>
      </c>
      <c r="E563" t="s">
        <v>13</v>
      </c>
      <c r="G563" s="1">
        <v>1</v>
      </c>
      <c r="H563" s="11" t="str">
        <f t="shared" si="35"/>
        <v>2007_06_035.gif</v>
      </c>
      <c r="I563"/>
      <c r="J563"/>
      <c r="L563" s="1" t="b">
        <v>0</v>
      </c>
      <c r="M563" s="1">
        <v>0</v>
      </c>
      <c r="N563" s="1" t="s">
        <v>601</v>
      </c>
      <c r="O563" s="1">
        <v>562</v>
      </c>
      <c r="P563" s="12" t="str">
        <f t="shared" si="37"/>
        <v>Energy/Mass Equivalency</v>
      </c>
      <c r="Q563" s="1">
        <v>4993</v>
      </c>
      <c r="R563" s="1" t="str">
        <f t="shared" si="36"/>
        <v>2007_06</v>
      </c>
      <c r="T563" s="1"/>
      <c r="BV563" s="1">
        <v>1</v>
      </c>
    </row>
    <row r="564" spans="1:76" x14ac:dyDescent="0.2">
      <c r="A564" t="str">
        <f t="shared" ref="A564:A574" si="38">B564 &amp; "_" &amp; TEXT(C564,"00") &amp; "_" &amp; TEXT(D564,"000")</f>
        <v>2007_06_036</v>
      </c>
      <c r="B564" s="1">
        <v>2007</v>
      </c>
      <c r="C564" s="1">
        <v>6</v>
      </c>
      <c r="D564" s="1">
        <v>36</v>
      </c>
      <c r="E564" t="s">
        <v>1</v>
      </c>
      <c r="G564" s="1">
        <v>2</v>
      </c>
      <c r="H564" s="11" t="str">
        <f t="shared" si="35"/>
        <v>2007_06_036.gif</v>
      </c>
      <c r="I564"/>
      <c r="J564"/>
      <c r="L564" s="1" t="b">
        <v>0</v>
      </c>
      <c r="M564" s="1">
        <v>0</v>
      </c>
      <c r="N564" s="1" t="s">
        <v>657</v>
      </c>
      <c r="O564" s="1">
        <v>563</v>
      </c>
      <c r="P564" s="12" t="str">
        <f t="shared" si="37"/>
        <v>Estimation</v>
      </c>
      <c r="Q564" s="1">
        <v>4994</v>
      </c>
      <c r="R564" s="1" t="str">
        <f t="shared" si="36"/>
        <v>2007_06</v>
      </c>
      <c r="T564" s="1"/>
      <c r="U564" s="1">
        <v>1</v>
      </c>
    </row>
    <row r="565" spans="1:76" x14ac:dyDescent="0.2">
      <c r="A565" t="str">
        <f t="shared" si="38"/>
        <v>2007_06_037</v>
      </c>
      <c r="B565" s="1">
        <v>2007</v>
      </c>
      <c r="C565" s="1">
        <v>6</v>
      </c>
      <c r="D565" s="1">
        <v>37</v>
      </c>
      <c r="E565" t="s">
        <v>1</v>
      </c>
      <c r="G565" s="1">
        <v>1</v>
      </c>
      <c r="H565" s="11" t="str">
        <f t="shared" si="35"/>
        <v>2007_06_037.gif</v>
      </c>
      <c r="I565"/>
      <c r="J565"/>
      <c r="L565" s="1" t="b">
        <v>0</v>
      </c>
      <c r="M565" s="1">
        <v>0</v>
      </c>
      <c r="N565" s="1" t="s">
        <v>657</v>
      </c>
      <c r="O565" s="1">
        <v>564</v>
      </c>
      <c r="P565" s="12" t="str">
        <f t="shared" si="37"/>
        <v>Units</v>
      </c>
      <c r="Q565" s="1">
        <v>4995</v>
      </c>
      <c r="R565" s="1" t="str">
        <f t="shared" si="36"/>
        <v>2007_06</v>
      </c>
      <c r="T565" s="1"/>
      <c r="V565" s="1">
        <v>1</v>
      </c>
    </row>
    <row r="566" spans="1:76" x14ac:dyDescent="0.2">
      <c r="A566" t="str">
        <f t="shared" si="38"/>
        <v>2007_06_038</v>
      </c>
      <c r="B566" s="1">
        <v>2007</v>
      </c>
      <c r="C566" s="1">
        <v>6</v>
      </c>
      <c r="D566" s="1">
        <v>38</v>
      </c>
      <c r="E566" t="s">
        <v>3</v>
      </c>
      <c r="G566" s="1">
        <v>2</v>
      </c>
      <c r="H566" s="11" t="str">
        <f t="shared" si="35"/>
        <v>2007_06_038.gif</v>
      </c>
      <c r="I566"/>
      <c r="J566"/>
      <c r="L566" s="1" t="b">
        <v>0</v>
      </c>
      <c r="M566" s="1">
        <v>0</v>
      </c>
      <c r="N566" s="1" t="s">
        <v>657</v>
      </c>
      <c r="O566" s="1">
        <v>565</v>
      </c>
      <c r="P566" s="12" t="str">
        <f t="shared" si="37"/>
        <v>Adding Vectors</v>
      </c>
      <c r="Q566" s="1">
        <v>4996</v>
      </c>
      <c r="R566" s="1" t="str">
        <f t="shared" si="36"/>
        <v>2007_06</v>
      </c>
      <c r="T566" s="1"/>
      <c r="AD566" s="1">
        <v>1</v>
      </c>
    </row>
    <row r="567" spans="1:76" x14ac:dyDescent="0.2">
      <c r="A567" t="str">
        <f t="shared" si="38"/>
        <v>2007_06_039</v>
      </c>
      <c r="B567" s="1">
        <v>2007</v>
      </c>
      <c r="C567" s="1">
        <v>6</v>
      </c>
      <c r="D567" s="1">
        <v>39</v>
      </c>
      <c r="E567" t="s">
        <v>2</v>
      </c>
      <c r="G567" s="1">
        <v>3</v>
      </c>
      <c r="H567" s="11" t="str">
        <f t="shared" si="35"/>
        <v>2007_06_039.gif</v>
      </c>
      <c r="I567"/>
      <c r="J567"/>
      <c r="L567" s="1" t="b">
        <v>0</v>
      </c>
      <c r="M567" s="1">
        <v>0</v>
      </c>
      <c r="N567" s="1" t="s">
        <v>657</v>
      </c>
      <c r="O567" s="1">
        <v>566</v>
      </c>
      <c r="P567" s="12" t="str">
        <f t="shared" si="37"/>
        <v>Basic Motion Concepts</v>
      </c>
      <c r="Q567" s="1">
        <v>4997</v>
      </c>
      <c r="R567" s="1" t="str">
        <f t="shared" si="36"/>
        <v>2007_06</v>
      </c>
      <c r="T567" s="1"/>
      <c r="Z567" s="1">
        <v>1</v>
      </c>
    </row>
    <row r="568" spans="1:76" x14ac:dyDescent="0.2">
      <c r="A568" t="str">
        <f t="shared" si="38"/>
        <v>2007_06_040</v>
      </c>
      <c r="B568" s="1">
        <v>2007</v>
      </c>
      <c r="C568" s="1">
        <v>6</v>
      </c>
      <c r="D568" s="1">
        <v>40</v>
      </c>
      <c r="E568" t="s">
        <v>2</v>
      </c>
      <c r="G568" s="1">
        <v>3</v>
      </c>
      <c r="H568" s="11" t="str">
        <f t="shared" si="35"/>
        <v>2007_06_040.gif</v>
      </c>
      <c r="I568"/>
      <c r="J568"/>
      <c r="L568" s="1" t="b">
        <v>0</v>
      </c>
      <c r="M568" s="1">
        <v>0</v>
      </c>
      <c r="N568" s="1" t="s">
        <v>657</v>
      </c>
      <c r="O568" s="1">
        <v>567</v>
      </c>
      <c r="P568" s="12" t="str">
        <f t="shared" si="37"/>
        <v>Horizontal Constant Acceleration Problems</v>
      </c>
      <c r="Q568" s="1">
        <v>4998</v>
      </c>
      <c r="R568" s="1" t="str">
        <f t="shared" si="36"/>
        <v>2007_06</v>
      </c>
      <c r="T568" s="1"/>
      <c r="AB568" s="1">
        <v>1</v>
      </c>
    </row>
    <row r="569" spans="1:76" x14ac:dyDescent="0.2">
      <c r="A569" t="str">
        <f t="shared" si="38"/>
        <v>2007_06_041</v>
      </c>
      <c r="B569" s="1">
        <v>2007</v>
      </c>
      <c r="C569" s="1">
        <v>6</v>
      </c>
      <c r="D569" s="1">
        <v>41</v>
      </c>
      <c r="E569" t="s">
        <v>2</v>
      </c>
      <c r="G569" s="1">
        <v>4</v>
      </c>
      <c r="H569" s="11" t="str">
        <f t="shared" si="35"/>
        <v>2007_06_041.gif</v>
      </c>
      <c r="I569"/>
      <c r="J569"/>
      <c r="L569" s="1" t="b">
        <v>0</v>
      </c>
      <c r="M569" s="1">
        <v>0</v>
      </c>
      <c r="N569" s="1" t="s">
        <v>657</v>
      </c>
      <c r="O569" s="1">
        <v>568</v>
      </c>
      <c r="P569" s="12" t="str">
        <f t="shared" si="37"/>
        <v>DT/VT Graphs</v>
      </c>
      <c r="Q569" s="1">
        <v>4999</v>
      </c>
      <c r="R569" s="1" t="str">
        <f t="shared" si="36"/>
        <v>2007_06</v>
      </c>
      <c r="T569" s="1"/>
      <c r="W569" s="1">
        <v>1</v>
      </c>
    </row>
    <row r="570" spans="1:76" x14ac:dyDescent="0.2">
      <c r="A570" t="str">
        <f t="shared" si="38"/>
        <v>2007_06_042</v>
      </c>
      <c r="B570" s="1">
        <v>2007</v>
      </c>
      <c r="C570" s="1">
        <v>6</v>
      </c>
      <c r="D570" s="1">
        <v>42</v>
      </c>
      <c r="E570" t="s">
        <v>6</v>
      </c>
      <c r="G570" s="1">
        <v>2</v>
      </c>
      <c r="H570" s="11" t="str">
        <f t="shared" si="35"/>
        <v>2007_06_042.gif</v>
      </c>
      <c r="I570"/>
      <c r="J570"/>
      <c r="L570" s="1" t="b">
        <v>0</v>
      </c>
      <c r="M570" s="1">
        <v>0</v>
      </c>
      <c r="N570" s="1" t="s">
        <v>657</v>
      </c>
      <c r="O570" s="1">
        <v>569</v>
      </c>
      <c r="P570" s="12" t="str">
        <f t="shared" si="37"/>
        <v>Conservation of Momentum</v>
      </c>
      <c r="Q570" s="1">
        <v>5000</v>
      </c>
      <c r="R570" s="1" t="str">
        <f t="shared" si="36"/>
        <v>2007_06</v>
      </c>
      <c r="T570" s="1"/>
      <c r="AU570" s="1">
        <v>1</v>
      </c>
    </row>
    <row r="571" spans="1:76" x14ac:dyDescent="0.2">
      <c r="A571" t="str">
        <f t="shared" si="38"/>
        <v>2007_06_043</v>
      </c>
      <c r="B571" s="1">
        <v>2007</v>
      </c>
      <c r="C571" s="1">
        <v>6</v>
      </c>
      <c r="D571" s="1">
        <v>43</v>
      </c>
      <c r="E571" t="s">
        <v>7</v>
      </c>
      <c r="F571" t="s">
        <v>548</v>
      </c>
      <c r="G571" s="1">
        <v>4</v>
      </c>
      <c r="H571" s="11" t="str">
        <f t="shared" si="35"/>
        <v>2007_06_043.gif</v>
      </c>
      <c r="I571"/>
      <c r="J571"/>
      <c r="L571" s="1" t="b">
        <v>0</v>
      </c>
      <c r="M571" s="1">
        <v>0</v>
      </c>
      <c r="N571" s="1" t="s">
        <v>657</v>
      </c>
      <c r="O571" s="1">
        <v>570</v>
      </c>
      <c r="P571" s="12" t="str">
        <f t="shared" si="37"/>
        <v>Gravitational PE,Graph Interpretation</v>
      </c>
      <c r="Q571" s="1">
        <v>5001</v>
      </c>
      <c r="R571" s="1" t="str">
        <f t="shared" si="36"/>
        <v>2007_06</v>
      </c>
      <c r="T571" s="1"/>
      <c r="AY571" s="1">
        <v>1</v>
      </c>
      <c r="BX571" s="1">
        <v>1</v>
      </c>
    </row>
    <row r="572" spans="1:76" x14ac:dyDescent="0.2">
      <c r="A572" t="str">
        <f t="shared" si="38"/>
        <v>2007_06_044</v>
      </c>
      <c r="B572" s="1">
        <v>2007</v>
      </c>
      <c r="C572" s="1">
        <v>6</v>
      </c>
      <c r="D572" s="1">
        <v>44</v>
      </c>
      <c r="E572" t="s">
        <v>7</v>
      </c>
      <c r="F572" t="s">
        <v>548</v>
      </c>
      <c r="G572" s="1">
        <v>1</v>
      </c>
      <c r="H572" s="11" t="str">
        <f t="shared" si="35"/>
        <v>2007_06_044.gif</v>
      </c>
      <c r="I572"/>
      <c r="J572"/>
      <c r="L572" s="1" t="b">
        <v>0</v>
      </c>
      <c r="M572" s="1">
        <v>0</v>
      </c>
      <c r="N572" s="1" t="s">
        <v>657</v>
      </c>
      <c r="O572" s="1">
        <v>571</v>
      </c>
      <c r="P572" s="12" t="str">
        <f t="shared" si="37"/>
        <v>Work/Power,Graph Interpretation</v>
      </c>
      <c r="Q572" s="1">
        <v>5002</v>
      </c>
      <c r="R572" s="1" t="str">
        <f t="shared" si="36"/>
        <v>2007_06</v>
      </c>
      <c r="T572" s="1"/>
      <c r="BB572" s="1">
        <v>1</v>
      </c>
      <c r="BX572" s="1">
        <v>1</v>
      </c>
    </row>
    <row r="573" spans="1:76" x14ac:dyDescent="0.2">
      <c r="A573" t="str">
        <f t="shared" si="38"/>
        <v>2007_06_045</v>
      </c>
      <c r="B573" s="1">
        <v>2007</v>
      </c>
      <c r="C573" s="1">
        <v>6</v>
      </c>
      <c r="D573" s="1">
        <v>45</v>
      </c>
      <c r="E573" t="s">
        <v>13</v>
      </c>
      <c r="G573" s="1">
        <v>3</v>
      </c>
      <c r="H573" s="11" t="str">
        <f t="shared" si="35"/>
        <v>2007_06_045.gif</v>
      </c>
      <c r="I573"/>
      <c r="J573"/>
      <c r="L573" s="1" t="b">
        <v>0</v>
      </c>
      <c r="M573" s="1">
        <v>0</v>
      </c>
      <c r="N573" s="1" t="s">
        <v>657</v>
      </c>
      <c r="O573" s="1">
        <v>572</v>
      </c>
      <c r="P573" s="12" t="str">
        <f t="shared" si="37"/>
        <v>Particle Physics</v>
      </c>
      <c r="Q573" s="1">
        <v>5003</v>
      </c>
      <c r="R573" s="1" t="str">
        <f t="shared" si="36"/>
        <v>2007_06</v>
      </c>
      <c r="T573" s="1"/>
      <c r="BW573" s="1">
        <v>1</v>
      </c>
    </row>
    <row r="574" spans="1:76" x14ac:dyDescent="0.2">
      <c r="A574" t="str">
        <f t="shared" si="38"/>
        <v>2007_06_046</v>
      </c>
      <c r="B574" s="1">
        <v>2007</v>
      </c>
      <c r="C574" s="1">
        <v>6</v>
      </c>
      <c r="D574" s="1">
        <v>46</v>
      </c>
      <c r="E574" t="s">
        <v>13</v>
      </c>
      <c r="G574" s="1">
        <v>1</v>
      </c>
      <c r="H574" s="11" t="str">
        <f t="shared" si="35"/>
        <v>2007_06_046.gif</v>
      </c>
      <c r="I574"/>
      <c r="J574"/>
      <c r="L574" s="1" t="b">
        <v>0</v>
      </c>
      <c r="M574" s="1">
        <v>0</v>
      </c>
      <c r="N574" s="1" t="s">
        <v>657</v>
      </c>
      <c r="O574" s="1">
        <v>573</v>
      </c>
      <c r="P574" s="12" t="str">
        <f t="shared" si="37"/>
        <v>Energy/Frequency of Photon</v>
      </c>
      <c r="Q574" s="1">
        <v>5004</v>
      </c>
      <c r="R574" s="1" t="str">
        <f t="shared" si="36"/>
        <v>2007_06</v>
      </c>
      <c r="T574" s="1"/>
      <c r="BU574" s="1">
        <v>1</v>
      </c>
    </row>
    <row r="575" spans="1:76" x14ac:dyDescent="0.2">
      <c r="A575" t="s">
        <v>432</v>
      </c>
      <c r="B575" s="1">
        <v>2008</v>
      </c>
      <c r="C575" s="1">
        <v>1</v>
      </c>
      <c r="D575" s="1">
        <v>1</v>
      </c>
      <c r="E575" t="s">
        <v>3</v>
      </c>
      <c r="G575" s="1">
        <v>4</v>
      </c>
      <c r="H575" s="11" t="str">
        <f t="shared" si="35"/>
        <v>2008_01_001.gif</v>
      </c>
      <c r="I575"/>
      <c r="J575"/>
      <c r="L575" s="1" t="b">
        <v>0</v>
      </c>
      <c r="M575" s="1">
        <v>0</v>
      </c>
      <c r="N575" s="1" t="s">
        <v>601</v>
      </c>
      <c r="O575" s="1">
        <v>574</v>
      </c>
      <c r="P575" s="12" t="str">
        <f t="shared" si="37"/>
        <v>Vector vs. Scalar</v>
      </c>
      <c r="Q575" s="1">
        <v>5035</v>
      </c>
      <c r="R575" s="1" t="str">
        <f t="shared" si="36"/>
        <v>2008_01</v>
      </c>
      <c r="T575" s="1"/>
      <c r="AF575" s="1">
        <v>1</v>
      </c>
    </row>
    <row r="576" spans="1:76" x14ac:dyDescent="0.2">
      <c r="A576" t="s">
        <v>433</v>
      </c>
      <c r="B576" s="1">
        <v>2008</v>
      </c>
      <c r="C576" s="1">
        <v>1</v>
      </c>
      <c r="D576" s="1">
        <v>2</v>
      </c>
      <c r="E576" t="s">
        <v>2</v>
      </c>
      <c r="G576" s="1">
        <v>3</v>
      </c>
      <c r="H576" s="11" t="str">
        <f t="shared" si="35"/>
        <v>2008_01_002.gif</v>
      </c>
      <c r="I576"/>
      <c r="J576"/>
      <c r="L576" s="1" t="b">
        <v>0</v>
      </c>
      <c r="M576" s="1">
        <v>0</v>
      </c>
      <c r="N576" s="1" t="s">
        <v>601</v>
      </c>
      <c r="O576" s="1">
        <v>575</v>
      </c>
      <c r="P576" s="12" t="str">
        <f t="shared" si="37"/>
        <v>Horizontal Constant Acceleration Problems</v>
      </c>
      <c r="Q576" s="1">
        <v>5036</v>
      </c>
      <c r="R576" s="1" t="str">
        <f t="shared" si="36"/>
        <v>2008_01</v>
      </c>
      <c r="T576" s="1"/>
      <c r="AB576" s="1">
        <v>1</v>
      </c>
    </row>
    <row r="577" spans="1:70" x14ac:dyDescent="0.2">
      <c r="A577" t="s">
        <v>434</v>
      </c>
      <c r="B577" s="1">
        <v>2008</v>
      </c>
      <c r="C577" s="1">
        <v>1</v>
      </c>
      <c r="D577" s="1">
        <v>3</v>
      </c>
      <c r="E577" t="s">
        <v>2</v>
      </c>
      <c r="G577" s="1">
        <v>2</v>
      </c>
      <c r="H577" s="11" t="str">
        <f t="shared" si="35"/>
        <v>2008_01_003.gif</v>
      </c>
      <c r="I577"/>
      <c r="J577"/>
      <c r="L577" s="1" t="b">
        <v>0</v>
      </c>
      <c r="M577" s="1">
        <v>0</v>
      </c>
      <c r="N577" s="1" t="s">
        <v>601</v>
      </c>
      <c r="O577" s="1">
        <v>576</v>
      </c>
      <c r="P577" s="12" t="str">
        <f t="shared" si="37"/>
        <v>Vertical Constant Acceleration Problems</v>
      </c>
      <c r="Q577" s="1">
        <v>5037</v>
      </c>
      <c r="R577" s="1" t="str">
        <f t="shared" si="36"/>
        <v>2008_01</v>
      </c>
      <c r="T577" s="1"/>
      <c r="AC577" s="1">
        <v>1</v>
      </c>
    </row>
    <row r="578" spans="1:70" x14ac:dyDescent="0.2">
      <c r="A578" t="s">
        <v>435</v>
      </c>
      <c r="B578" s="1">
        <v>2008</v>
      </c>
      <c r="C578" s="1">
        <v>1</v>
      </c>
      <c r="D578" s="1">
        <v>4</v>
      </c>
      <c r="E578" t="s">
        <v>3</v>
      </c>
      <c r="F578" t="s">
        <v>4</v>
      </c>
      <c r="G578" s="1">
        <v>2</v>
      </c>
      <c r="H578" s="11" t="str">
        <f t="shared" ref="H578:H641" si="39">HYPERLINK(A578&amp;".gif")</f>
        <v>2008_01_004.gif</v>
      </c>
      <c r="I578"/>
      <c r="J578"/>
      <c r="L578" s="1" t="b">
        <v>0</v>
      </c>
      <c r="M578" s="1">
        <v>0</v>
      </c>
      <c r="N578" s="1" t="s">
        <v>601</v>
      </c>
      <c r="O578" s="1">
        <v>577</v>
      </c>
      <c r="P578" s="12" t="str">
        <f t="shared" si="37"/>
        <v>Vector Components,Projectiles at an Angle</v>
      </c>
      <c r="Q578" s="1">
        <v>5038</v>
      </c>
      <c r="R578" s="1" t="str">
        <f t="shared" si="36"/>
        <v>2008_01</v>
      </c>
      <c r="T578" s="1"/>
      <c r="AE578" s="1">
        <v>1</v>
      </c>
      <c r="AH578" s="1">
        <v>1</v>
      </c>
    </row>
    <row r="579" spans="1:70" x14ac:dyDescent="0.2">
      <c r="A579" t="s">
        <v>436</v>
      </c>
      <c r="B579" s="1">
        <v>2008</v>
      </c>
      <c r="C579" s="1">
        <v>1</v>
      </c>
      <c r="D579" s="1">
        <v>5</v>
      </c>
      <c r="E579" t="s">
        <v>5</v>
      </c>
      <c r="G579" s="1">
        <v>4</v>
      </c>
      <c r="H579" s="11" t="str">
        <f t="shared" si="39"/>
        <v>2008_01_005.gif</v>
      </c>
      <c r="I579"/>
      <c r="J579"/>
      <c r="L579" s="1" t="b">
        <v>0</v>
      </c>
      <c r="M579" s="1">
        <v>0</v>
      </c>
      <c r="N579" s="1" t="s">
        <v>601</v>
      </c>
      <c r="O579" s="1">
        <v>578</v>
      </c>
      <c r="P579" s="12" t="str">
        <f t="shared" si="37"/>
        <v>Newton's 1st Law (Inertia)</v>
      </c>
      <c r="Q579" s="1">
        <v>5039</v>
      </c>
      <c r="R579" s="1" t="str">
        <f t="shared" ref="R579:R642" si="40">B579&amp;"_"&amp;TEXT(C579,"00")</f>
        <v>2008_01</v>
      </c>
      <c r="T579" s="1"/>
      <c r="AR579" s="1">
        <v>1</v>
      </c>
    </row>
    <row r="580" spans="1:70" x14ac:dyDescent="0.2">
      <c r="A580" t="s">
        <v>437</v>
      </c>
      <c r="B580" s="1">
        <v>2008</v>
      </c>
      <c r="C580" s="1">
        <v>1</v>
      </c>
      <c r="D580" s="1">
        <v>6</v>
      </c>
      <c r="E580" t="s">
        <v>5</v>
      </c>
      <c r="G580" s="1">
        <v>4</v>
      </c>
      <c r="H580" s="11" t="str">
        <f t="shared" si="39"/>
        <v>2008_01_006.gif</v>
      </c>
      <c r="I580"/>
      <c r="J580"/>
      <c r="L580" s="1" t="b">
        <v>0</v>
      </c>
      <c r="M580" s="1">
        <v>0</v>
      </c>
      <c r="N580" s="1" t="s">
        <v>601</v>
      </c>
      <c r="O580" s="1">
        <v>579</v>
      </c>
      <c r="P580" s="12" t="str">
        <f t="shared" si="37"/>
        <v>Weight and Mass</v>
      </c>
      <c r="Q580" s="1">
        <v>5040</v>
      </c>
      <c r="R580" s="1" t="str">
        <f t="shared" si="40"/>
        <v>2008_01</v>
      </c>
      <c r="T580" s="1"/>
      <c r="AT580" s="1">
        <v>1</v>
      </c>
    </row>
    <row r="581" spans="1:70" x14ac:dyDescent="0.2">
      <c r="A581" t="s">
        <v>438</v>
      </c>
      <c r="B581" s="1">
        <v>2008</v>
      </c>
      <c r="C581" s="1">
        <v>1</v>
      </c>
      <c r="D581" s="1">
        <v>7</v>
      </c>
      <c r="E581" t="s">
        <v>4</v>
      </c>
      <c r="G581" s="1">
        <v>2</v>
      </c>
      <c r="H581" s="11" t="str">
        <f t="shared" si="39"/>
        <v>2008_01_007.gif</v>
      </c>
      <c r="I581"/>
      <c r="J581"/>
      <c r="L581" s="1" t="b">
        <v>0</v>
      </c>
      <c r="M581" s="1">
        <v>0</v>
      </c>
      <c r="N581" s="1" t="s">
        <v>601</v>
      </c>
      <c r="O581" s="1">
        <v>580</v>
      </c>
      <c r="P581" s="12" t="str">
        <f t="shared" si="37"/>
        <v>Horizontal Projectile Time of Flight</v>
      </c>
      <c r="Q581" s="1">
        <v>5041</v>
      </c>
      <c r="R581" s="1" t="str">
        <f t="shared" si="40"/>
        <v>2008_01</v>
      </c>
      <c r="T581" s="1"/>
      <c r="AJ581" s="1">
        <v>1</v>
      </c>
    </row>
    <row r="582" spans="1:70" x14ac:dyDescent="0.2">
      <c r="A582" t="s">
        <v>439</v>
      </c>
      <c r="B582" s="1">
        <v>2008</v>
      </c>
      <c r="C582" s="1">
        <v>1</v>
      </c>
      <c r="D582" s="1">
        <v>8</v>
      </c>
      <c r="E582" t="s">
        <v>3</v>
      </c>
      <c r="G582" s="1">
        <v>4</v>
      </c>
      <c r="H582" s="11" t="str">
        <f t="shared" si="39"/>
        <v>2008_01_008.gif</v>
      </c>
      <c r="I582"/>
      <c r="J582"/>
      <c r="L582" s="1" t="b">
        <v>0</v>
      </c>
      <c r="M582" s="1">
        <v>0</v>
      </c>
      <c r="N582" s="1" t="s">
        <v>601</v>
      </c>
      <c r="O582" s="1">
        <v>581</v>
      </c>
      <c r="P582" s="12" t="str">
        <f t="shared" si="37"/>
        <v>Adding Vectors</v>
      </c>
      <c r="Q582" s="1">
        <v>5042</v>
      </c>
      <c r="R582" s="1" t="str">
        <f t="shared" si="40"/>
        <v>2008_01</v>
      </c>
      <c r="T582" s="1"/>
      <c r="AD582" s="1">
        <v>1</v>
      </c>
    </row>
    <row r="583" spans="1:70" x14ac:dyDescent="0.2">
      <c r="A583" t="s">
        <v>440</v>
      </c>
      <c r="B583" s="1">
        <v>2008</v>
      </c>
      <c r="C583" s="1">
        <v>1</v>
      </c>
      <c r="D583" s="1">
        <v>9</v>
      </c>
      <c r="E583" t="s">
        <v>5</v>
      </c>
      <c r="G583" s="1">
        <v>1</v>
      </c>
      <c r="H583" s="11" t="str">
        <f t="shared" si="39"/>
        <v>2008_01_009.gif</v>
      </c>
      <c r="I583"/>
      <c r="J583"/>
      <c r="L583" s="1" t="b">
        <v>0</v>
      </c>
      <c r="M583" s="1">
        <v>0</v>
      </c>
      <c r="N583" s="1" t="s">
        <v>601</v>
      </c>
      <c r="O583" s="1">
        <v>582</v>
      </c>
      <c r="P583" s="12" t="str">
        <f t="shared" si="37"/>
        <v>Friction</v>
      </c>
      <c r="Q583" s="1">
        <v>5043</v>
      </c>
      <c r="R583" s="1" t="str">
        <f t="shared" si="40"/>
        <v>2008_01</v>
      </c>
      <c r="T583" s="1"/>
      <c r="AN583" s="1">
        <v>1</v>
      </c>
    </row>
    <row r="584" spans="1:70" x14ac:dyDescent="0.2">
      <c r="A584" t="s">
        <v>441</v>
      </c>
      <c r="B584" s="1">
        <v>2008</v>
      </c>
      <c r="C584" s="1">
        <v>1</v>
      </c>
      <c r="D584" s="1">
        <v>10</v>
      </c>
      <c r="E584" t="s">
        <v>4</v>
      </c>
      <c r="G584" s="1">
        <v>3</v>
      </c>
      <c r="H584" s="11" t="str">
        <f t="shared" si="39"/>
        <v>2008_01_010.gif</v>
      </c>
      <c r="I584"/>
      <c r="J584"/>
      <c r="L584" s="1" t="b">
        <v>0</v>
      </c>
      <c r="M584" s="1">
        <v>0</v>
      </c>
      <c r="N584" s="1" t="s">
        <v>601</v>
      </c>
      <c r="O584" s="1">
        <v>583</v>
      </c>
      <c r="P584" s="12" t="str">
        <f t="shared" si="37"/>
        <v>Centripetal Motion - Direction F,A,V</v>
      </c>
      <c r="Q584" s="1">
        <v>5044</v>
      </c>
      <c r="R584" s="1" t="str">
        <f t="shared" si="40"/>
        <v>2008_01</v>
      </c>
      <c r="T584" s="1"/>
      <c r="AL584" s="1">
        <v>1</v>
      </c>
    </row>
    <row r="585" spans="1:70" x14ac:dyDescent="0.2">
      <c r="A585" t="s">
        <v>442</v>
      </c>
      <c r="B585" s="1">
        <v>2008</v>
      </c>
      <c r="C585" s="1">
        <v>1</v>
      </c>
      <c r="D585" s="1">
        <v>11</v>
      </c>
      <c r="E585" t="s">
        <v>6</v>
      </c>
      <c r="G585" s="1">
        <v>2</v>
      </c>
      <c r="H585" s="11" t="str">
        <f t="shared" si="39"/>
        <v>2008_01_011.gif</v>
      </c>
      <c r="I585"/>
      <c r="J585"/>
      <c r="L585" s="1" t="b">
        <v>0</v>
      </c>
      <c r="M585" s="1">
        <v>0</v>
      </c>
      <c r="N585" s="1" t="s">
        <v>601</v>
      </c>
      <c r="O585" s="1">
        <v>584</v>
      </c>
      <c r="P585" s="12" t="str">
        <f t="shared" si="37"/>
        <v>Impulse</v>
      </c>
      <c r="Q585" s="1">
        <v>5045</v>
      </c>
      <c r="R585" s="1" t="str">
        <f t="shared" si="40"/>
        <v>2008_01</v>
      </c>
      <c r="T585" s="1"/>
      <c r="AV585" s="1">
        <v>1</v>
      </c>
    </row>
    <row r="586" spans="1:70" x14ac:dyDescent="0.2">
      <c r="A586" t="s">
        <v>443</v>
      </c>
      <c r="B586" s="1">
        <v>2008</v>
      </c>
      <c r="C586" s="1">
        <v>1</v>
      </c>
      <c r="D586" s="1">
        <v>12</v>
      </c>
      <c r="E586" t="s">
        <v>6</v>
      </c>
      <c r="G586" s="1">
        <v>4</v>
      </c>
      <c r="H586" s="11" t="str">
        <f t="shared" si="39"/>
        <v>2008_01_012.gif</v>
      </c>
      <c r="I586"/>
      <c r="J586"/>
      <c r="L586" s="1" t="b">
        <v>0</v>
      </c>
      <c r="M586" s="1">
        <v>0</v>
      </c>
      <c r="N586" s="1" t="s">
        <v>601</v>
      </c>
      <c r="O586" s="1">
        <v>585</v>
      </c>
      <c r="P586" s="12" t="str">
        <f t="shared" si="37"/>
        <v>Newton's 3rd Law (Equal But Opposite)</v>
      </c>
      <c r="Q586" s="1">
        <v>5046</v>
      </c>
      <c r="R586" s="1" t="str">
        <f t="shared" si="40"/>
        <v>2008_01</v>
      </c>
      <c r="T586" s="1"/>
      <c r="AW586" s="1">
        <v>1</v>
      </c>
    </row>
    <row r="587" spans="1:70" x14ac:dyDescent="0.2">
      <c r="A587" t="s">
        <v>444</v>
      </c>
      <c r="B587" s="1">
        <v>2008</v>
      </c>
      <c r="C587" s="1">
        <v>1</v>
      </c>
      <c r="D587" s="1">
        <v>13</v>
      </c>
      <c r="E587" t="s">
        <v>6</v>
      </c>
      <c r="G587" s="1">
        <v>3</v>
      </c>
      <c r="H587" s="11" t="str">
        <f t="shared" si="39"/>
        <v>2008_01_013.gif</v>
      </c>
      <c r="I587"/>
      <c r="J587"/>
      <c r="L587" s="1" t="b">
        <v>0</v>
      </c>
      <c r="M587" s="1">
        <v>0</v>
      </c>
      <c r="N587" s="1" t="s">
        <v>601</v>
      </c>
      <c r="O587" s="1">
        <v>586</v>
      </c>
      <c r="P587" s="12" t="str">
        <f t="shared" ref="P587:P650" si="41">concatenateif(U587:DI587,1,$U$1:$DI$1)</f>
        <v>Conservation of Momentum</v>
      </c>
      <c r="Q587" s="1">
        <v>5047</v>
      </c>
      <c r="R587" s="1" t="str">
        <f t="shared" si="40"/>
        <v>2008_01</v>
      </c>
      <c r="T587" s="1"/>
      <c r="AU587" s="1">
        <v>1</v>
      </c>
    </row>
    <row r="588" spans="1:70" x14ac:dyDescent="0.2">
      <c r="A588" t="s">
        <v>445</v>
      </c>
      <c r="B588" s="1">
        <v>2008</v>
      </c>
      <c r="C588" s="1">
        <v>1</v>
      </c>
      <c r="D588" s="1">
        <v>14</v>
      </c>
      <c r="E588" t="s">
        <v>11</v>
      </c>
      <c r="G588" s="1">
        <v>1</v>
      </c>
      <c r="H588" s="11" t="str">
        <f t="shared" si="39"/>
        <v>2008_01_014.gif</v>
      </c>
      <c r="I588"/>
      <c r="J588"/>
      <c r="L588" s="1" t="b">
        <v>0</v>
      </c>
      <c r="M588" s="1">
        <v>0</v>
      </c>
      <c r="N588" s="1" t="s">
        <v>601</v>
      </c>
      <c r="O588" s="1">
        <v>587</v>
      </c>
      <c r="P588" s="12" t="str">
        <f t="shared" si="41"/>
        <v>Electrical Power</v>
      </c>
      <c r="Q588" s="1">
        <v>5048</v>
      </c>
      <c r="R588" s="1" t="str">
        <f t="shared" si="40"/>
        <v>2008_01</v>
      </c>
      <c r="T588" s="1"/>
      <c r="BP588" s="1">
        <v>1</v>
      </c>
    </row>
    <row r="589" spans="1:70" x14ac:dyDescent="0.2">
      <c r="A589" t="s">
        <v>446</v>
      </c>
      <c r="B589" s="1">
        <v>2008</v>
      </c>
      <c r="C589" s="1">
        <v>1</v>
      </c>
      <c r="D589" s="1">
        <v>15</v>
      </c>
      <c r="E589" t="s">
        <v>7</v>
      </c>
      <c r="G589" s="1">
        <v>4</v>
      </c>
      <c r="H589" s="11" t="str">
        <f t="shared" si="39"/>
        <v>2008_01_015.gif</v>
      </c>
      <c r="I589"/>
      <c r="J589"/>
      <c r="L589" s="1" t="b">
        <v>0</v>
      </c>
      <c r="M589" s="1">
        <v>0</v>
      </c>
      <c r="N589" s="1" t="s">
        <v>601</v>
      </c>
      <c r="O589" s="1">
        <v>588</v>
      </c>
      <c r="P589" s="12" t="str">
        <f t="shared" si="41"/>
        <v>Gravitational PE,Work/Power</v>
      </c>
      <c r="Q589" s="1">
        <v>5049</v>
      </c>
      <c r="R589" s="1" t="str">
        <f t="shared" si="40"/>
        <v>2008_01</v>
      </c>
      <c r="T589" s="1"/>
      <c r="AY589" s="1">
        <v>1</v>
      </c>
      <c r="BB589" s="1">
        <v>1</v>
      </c>
    </row>
    <row r="590" spans="1:70" x14ac:dyDescent="0.2">
      <c r="A590" t="s">
        <v>447</v>
      </c>
      <c r="B590" s="1">
        <v>2008</v>
      </c>
      <c r="C590" s="1">
        <v>1</v>
      </c>
      <c r="D590" s="1">
        <v>16</v>
      </c>
      <c r="E590" t="s">
        <v>7</v>
      </c>
      <c r="G590" s="1">
        <v>2</v>
      </c>
      <c r="H590" s="11" t="str">
        <f t="shared" si="39"/>
        <v>2008_01_016.gif</v>
      </c>
      <c r="I590"/>
      <c r="J590"/>
      <c r="L590" s="1" t="b">
        <v>0</v>
      </c>
      <c r="M590" s="1">
        <v>0</v>
      </c>
      <c r="N590" s="1" t="s">
        <v>601</v>
      </c>
      <c r="O590" s="1">
        <v>589</v>
      </c>
      <c r="P590" s="12" t="str">
        <f t="shared" si="41"/>
        <v>Conservation of Energy</v>
      </c>
      <c r="Q590" s="1">
        <v>5050</v>
      </c>
      <c r="R590" s="1" t="str">
        <f t="shared" si="40"/>
        <v>2008_01</v>
      </c>
      <c r="T590" s="1"/>
      <c r="AX590" s="1">
        <v>1</v>
      </c>
    </row>
    <row r="591" spans="1:70" x14ac:dyDescent="0.2">
      <c r="A591" t="s">
        <v>448</v>
      </c>
      <c r="B591" s="1">
        <v>2008</v>
      </c>
      <c r="C591" s="1">
        <v>1</v>
      </c>
      <c r="D591" s="1">
        <v>17</v>
      </c>
      <c r="E591" t="s">
        <v>11</v>
      </c>
      <c r="G591" s="1">
        <v>3</v>
      </c>
      <c r="H591" s="11" t="str">
        <f t="shared" si="39"/>
        <v>2008_01_017.gif</v>
      </c>
      <c r="I591"/>
      <c r="J591"/>
      <c r="L591" s="1" t="b">
        <v>0</v>
      </c>
      <c r="M591" s="1">
        <v>0</v>
      </c>
      <c r="N591" s="1" t="s">
        <v>601</v>
      </c>
      <c r="O591" s="1">
        <v>590</v>
      </c>
      <c r="P591" s="12" t="str">
        <f t="shared" si="41"/>
        <v>Resistance of Wire</v>
      </c>
      <c r="Q591" s="1">
        <v>5051</v>
      </c>
      <c r="R591" s="1" t="str">
        <f t="shared" si="40"/>
        <v>2008_01</v>
      </c>
      <c r="T591" s="1"/>
      <c r="BR591" s="1">
        <v>1</v>
      </c>
    </row>
    <row r="592" spans="1:70" x14ac:dyDescent="0.2">
      <c r="A592" t="s">
        <v>449</v>
      </c>
      <c r="B592" s="1">
        <v>2008</v>
      </c>
      <c r="C592" s="1">
        <v>1</v>
      </c>
      <c r="D592" s="1">
        <v>18</v>
      </c>
      <c r="E592" t="s">
        <v>7</v>
      </c>
      <c r="G592" s="1">
        <v>2</v>
      </c>
      <c r="H592" s="11" t="str">
        <f t="shared" si="39"/>
        <v>2008_01_018.gif</v>
      </c>
      <c r="I592"/>
      <c r="J592"/>
      <c r="L592" s="1" t="b">
        <v>0</v>
      </c>
      <c r="M592" s="1">
        <v>0</v>
      </c>
      <c r="N592" s="1" t="s">
        <v>601</v>
      </c>
      <c r="O592" s="1">
        <v>591</v>
      </c>
      <c r="P592" s="12" t="str">
        <f t="shared" si="41"/>
        <v>Conservation of Energy</v>
      </c>
      <c r="Q592" s="1">
        <v>5052</v>
      </c>
      <c r="R592" s="1" t="str">
        <f t="shared" si="40"/>
        <v>2008_01</v>
      </c>
      <c r="T592" s="1"/>
      <c r="AX592" s="1">
        <v>1</v>
      </c>
    </row>
    <row r="593" spans="1:76" x14ac:dyDescent="0.2">
      <c r="A593" t="s">
        <v>450</v>
      </c>
      <c r="B593" s="1">
        <v>2008</v>
      </c>
      <c r="C593" s="1">
        <v>1</v>
      </c>
      <c r="D593" s="1">
        <v>19</v>
      </c>
      <c r="E593" t="s">
        <v>588</v>
      </c>
      <c r="F593" t="s">
        <v>10</v>
      </c>
      <c r="G593" s="1">
        <v>3</v>
      </c>
      <c r="H593" s="11" t="str">
        <f t="shared" si="39"/>
        <v>2008_01_019.gif</v>
      </c>
      <c r="I593"/>
      <c r="J593"/>
      <c r="L593" s="1" t="b">
        <v>0</v>
      </c>
      <c r="M593" s="1">
        <v>0</v>
      </c>
      <c r="N593" s="1" t="s">
        <v>601</v>
      </c>
      <c r="O593" s="1">
        <v>592</v>
      </c>
      <c r="P593" s="12" t="str">
        <f t="shared" si="41"/>
        <v>Electric Fields and Potential</v>
      </c>
      <c r="Q593" s="1">
        <v>5053</v>
      </c>
      <c r="R593" s="1" t="str">
        <f t="shared" si="40"/>
        <v>2008_01</v>
      </c>
      <c r="T593" s="1"/>
      <c r="BN593" s="1">
        <v>1</v>
      </c>
    </row>
    <row r="594" spans="1:76" x14ac:dyDescent="0.2">
      <c r="A594" t="s">
        <v>451</v>
      </c>
      <c r="B594" s="1">
        <v>2008</v>
      </c>
      <c r="C594" s="1">
        <v>1</v>
      </c>
      <c r="D594" s="1">
        <v>20</v>
      </c>
      <c r="E594" t="s">
        <v>11</v>
      </c>
      <c r="G594" s="1">
        <v>3</v>
      </c>
      <c r="H594" s="11" t="str">
        <f t="shared" si="39"/>
        <v>2008_01_020.gif</v>
      </c>
      <c r="I594"/>
      <c r="J594"/>
      <c r="L594" s="1" t="b">
        <v>0</v>
      </c>
      <c r="M594" s="1">
        <v>0</v>
      </c>
      <c r="N594" s="1" t="s">
        <v>601</v>
      </c>
      <c r="O594" s="1">
        <v>593</v>
      </c>
      <c r="P594" s="12" t="str">
        <f t="shared" si="41"/>
        <v>Series and Parallel</v>
      </c>
      <c r="Q594" s="1">
        <v>5054</v>
      </c>
      <c r="R594" s="1" t="str">
        <f t="shared" si="40"/>
        <v>2008_01</v>
      </c>
      <c r="T594" s="1"/>
      <c r="BS594" s="1">
        <v>1</v>
      </c>
    </row>
    <row r="595" spans="1:76" x14ac:dyDescent="0.2">
      <c r="A595" t="s">
        <v>452</v>
      </c>
      <c r="B595" s="1">
        <v>2008</v>
      </c>
      <c r="C595" s="1">
        <v>1</v>
      </c>
      <c r="D595" s="1">
        <v>21</v>
      </c>
      <c r="E595" t="s">
        <v>11</v>
      </c>
      <c r="F595" t="s">
        <v>548</v>
      </c>
      <c r="G595" s="1">
        <v>1</v>
      </c>
      <c r="H595" s="11" t="str">
        <f t="shared" si="39"/>
        <v>2008_01_021.gif</v>
      </c>
      <c r="I595"/>
      <c r="J595"/>
      <c r="L595" s="1" t="b">
        <v>0</v>
      </c>
      <c r="M595" s="1">
        <v>0</v>
      </c>
      <c r="N595" s="1" t="s">
        <v>601</v>
      </c>
      <c r="O595" s="1">
        <v>594</v>
      </c>
      <c r="P595" s="12" t="str">
        <f t="shared" si="41"/>
        <v>Ohm's Law,Graph Interpretation</v>
      </c>
      <c r="Q595" s="1">
        <v>5055</v>
      </c>
      <c r="R595" s="1" t="str">
        <f t="shared" si="40"/>
        <v>2008_01</v>
      </c>
      <c r="T595" s="1"/>
      <c r="BQ595" s="1">
        <v>1</v>
      </c>
      <c r="BX595" s="1">
        <v>1</v>
      </c>
    </row>
    <row r="596" spans="1:76" x14ac:dyDescent="0.2">
      <c r="A596" t="s">
        <v>453</v>
      </c>
      <c r="B596" s="1">
        <v>2008</v>
      </c>
      <c r="C596" s="1">
        <v>1</v>
      </c>
      <c r="D596" s="1">
        <v>22</v>
      </c>
      <c r="E596" t="s">
        <v>11</v>
      </c>
      <c r="G596" s="1">
        <v>3</v>
      </c>
      <c r="H596" s="11" t="str">
        <f t="shared" si="39"/>
        <v>2008_01_022.gif</v>
      </c>
      <c r="I596"/>
      <c r="J596"/>
      <c r="L596" s="1" t="b">
        <v>0</v>
      </c>
      <c r="M596" s="1">
        <v>0</v>
      </c>
      <c r="N596" s="1" t="s">
        <v>601</v>
      </c>
      <c r="O596" s="1">
        <v>595</v>
      </c>
      <c r="P596" s="12" t="str">
        <f t="shared" si="41"/>
        <v>Electrical Power</v>
      </c>
      <c r="Q596" s="1">
        <v>5056</v>
      </c>
      <c r="R596" s="1" t="str">
        <f t="shared" si="40"/>
        <v>2008_01</v>
      </c>
      <c r="T596" s="1"/>
      <c r="BP596" s="1">
        <v>1</v>
      </c>
    </row>
    <row r="597" spans="1:76" x14ac:dyDescent="0.2">
      <c r="A597" t="s">
        <v>454</v>
      </c>
      <c r="B597" s="1">
        <v>2008</v>
      </c>
      <c r="C597" s="1">
        <v>1</v>
      </c>
      <c r="D597" s="1">
        <v>23</v>
      </c>
      <c r="E597" t="s">
        <v>9</v>
      </c>
      <c r="G597" s="1">
        <v>4</v>
      </c>
      <c r="H597" s="11" t="str">
        <f t="shared" si="39"/>
        <v>2008_01_023.gif</v>
      </c>
      <c r="I597"/>
      <c r="J597"/>
      <c r="L597" s="1" t="b">
        <v>0</v>
      </c>
      <c r="M597" s="1">
        <v>0</v>
      </c>
      <c r="N597" s="1" t="s">
        <v>601</v>
      </c>
      <c r="O597" s="1">
        <v>596</v>
      </c>
      <c r="P597" s="12" t="str">
        <f t="shared" si="41"/>
        <v>Doppler Effect</v>
      </c>
      <c r="Q597" s="1">
        <v>5057</v>
      </c>
      <c r="R597" s="1" t="str">
        <f t="shared" si="40"/>
        <v>2008_01</v>
      </c>
      <c r="T597" s="1"/>
      <c r="BH597" s="1">
        <v>1</v>
      </c>
    </row>
    <row r="598" spans="1:76" x14ac:dyDescent="0.2">
      <c r="A598" t="s">
        <v>455</v>
      </c>
      <c r="B598" s="1">
        <v>2008</v>
      </c>
      <c r="C598" s="1">
        <v>1</v>
      </c>
      <c r="D598" s="1">
        <v>24</v>
      </c>
      <c r="E598" t="s">
        <v>8</v>
      </c>
      <c r="G598" s="1">
        <v>1</v>
      </c>
      <c r="H598" s="11" t="str">
        <f t="shared" si="39"/>
        <v>2008_01_024.gif</v>
      </c>
      <c r="I598"/>
      <c r="J598"/>
      <c r="L598" s="1" t="b">
        <v>0</v>
      </c>
      <c r="M598" s="1">
        <v>0</v>
      </c>
      <c r="N598" s="1" t="s">
        <v>601</v>
      </c>
      <c r="O598" s="1">
        <v>597</v>
      </c>
      <c r="P598" s="12" t="str">
        <f t="shared" si="41"/>
        <v>V=FxLamda</v>
      </c>
      <c r="Q598" s="1">
        <v>5058</v>
      </c>
      <c r="R598" s="1" t="str">
        <f t="shared" si="40"/>
        <v>2008_01</v>
      </c>
      <c r="T598" s="1"/>
      <c r="BE598" s="1">
        <v>1</v>
      </c>
    </row>
    <row r="599" spans="1:76" x14ac:dyDescent="0.2">
      <c r="A599" t="s">
        <v>456</v>
      </c>
      <c r="B599" s="1">
        <v>2008</v>
      </c>
      <c r="C599" s="1">
        <v>1</v>
      </c>
      <c r="D599" s="1">
        <v>25</v>
      </c>
      <c r="E599" t="s">
        <v>8</v>
      </c>
      <c r="G599" s="1">
        <v>2</v>
      </c>
      <c r="H599" s="11" t="str">
        <f t="shared" si="39"/>
        <v>2008_01_025.gif</v>
      </c>
      <c r="I599"/>
      <c r="J599"/>
      <c r="L599" s="1" t="b">
        <v>0</v>
      </c>
      <c r="M599" s="1">
        <v>0</v>
      </c>
      <c r="N599" s="1" t="s">
        <v>601</v>
      </c>
      <c r="O599" s="1">
        <v>598</v>
      </c>
      <c r="P599" s="12" t="str">
        <f t="shared" si="41"/>
        <v>V=FxLamda</v>
      </c>
      <c r="Q599" s="1">
        <v>5059</v>
      </c>
      <c r="R599" s="1" t="str">
        <f t="shared" si="40"/>
        <v>2008_01</v>
      </c>
      <c r="T599" s="1"/>
      <c r="BE599" s="1">
        <v>1</v>
      </c>
    </row>
    <row r="600" spans="1:76" x14ac:dyDescent="0.2">
      <c r="A600" t="s">
        <v>457</v>
      </c>
      <c r="B600" s="1">
        <v>2008</v>
      </c>
      <c r="C600" s="1">
        <v>1</v>
      </c>
      <c r="D600" s="1">
        <v>26</v>
      </c>
      <c r="E600" t="s">
        <v>8</v>
      </c>
      <c r="G600" s="1">
        <v>1</v>
      </c>
      <c r="H600" s="11" t="str">
        <f t="shared" si="39"/>
        <v>2008_01_026.gif</v>
      </c>
      <c r="I600"/>
      <c r="J600"/>
      <c r="L600" s="1" t="b">
        <v>0</v>
      </c>
      <c r="M600" s="1">
        <v>0</v>
      </c>
      <c r="N600" s="1" t="s">
        <v>601</v>
      </c>
      <c r="O600" s="1">
        <v>599</v>
      </c>
      <c r="P600" s="12" t="str">
        <f t="shared" si="41"/>
        <v>Wave Vocabulary</v>
      </c>
      <c r="Q600" s="1">
        <v>5060</v>
      </c>
      <c r="R600" s="1" t="str">
        <f t="shared" si="40"/>
        <v>2008_01</v>
      </c>
      <c r="T600" s="1"/>
      <c r="BF600" s="1">
        <v>1</v>
      </c>
    </row>
    <row r="601" spans="1:76" x14ac:dyDescent="0.2">
      <c r="A601" t="s">
        <v>458</v>
      </c>
      <c r="B601" s="1">
        <v>2008</v>
      </c>
      <c r="C601" s="1">
        <v>1</v>
      </c>
      <c r="D601" s="1">
        <v>27</v>
      </c>
      <c r="E601" t="s">
        <v>9</v>
      </c>
      <c r="G601" s="1">
        <v>1</v>
      </c>
      <c r="H601" s="11" t="str">
        <f t="shared" si="39"/>
        <v>2008_01_027.gif</v>
      </c>
      <c r="I601"/>
      <c r="J601"/>
      <c r="L601" s="1" t="b">
        <v>0</v>
      </c>
      <c r="M601" s="1">
        <v>0</v>
      </c>
      <c r="N601" s="1" t="s">
        <v>601</v>
      </c>
      <c r="O601" s="1">
        <v>600</v>
      </c>
      <c r="P601" s="12" t="str">
        <f t="shared" si="41"/>
        <v>Refraction and Snell's Law</v>
      </c>
      <c r="Q601" s="1">
        <v>5061</v>
      </c>
      <c r="R601" s="1" t="str">
        <f t="shared" si="40"/>
        <v>2008_01</v>
      </c>
      <c r="T601" s="1"/>
      <c r="BJ601" s="1">
        <v>1</v>
      </c>
    </row>
    <row r="602" spans="1:76" x14ac:dyDescent="0.2">
      <c r="A602" t="s">
        <v>459</v>
      </c>
      <c r="B602" s="1">
        <v>2008</v>
      </c>
      <c r="C602" s="1">
        <v>1</v>
      </c>
      <c r="D602" s="1">
        <v>28</v>
      </c>
      <c r="E602" t="s">
        <v>9</v>
      </c>
      <c r="G602" s="1">
        <v>2</v>
      </c>
      <c r="H602" s="11" t="str">
        <f t="shared" si="39"/>
        <v>2008_01_028.gif</v>
      </c>
      <c r="I602"/>
      <c r="J602"/>
      <c r="L602" s="1" t="b">
        <v>0</v>
      </c>
      <c r="M602" s="1">
        <v>0</v>
      </c>
      <c r="N602" s="1" t="s">
        <v>601</v>
      </c>
      <c r="O602" s="1">
        <v>601</v>
      </c>
      <c r="P602" s="12" t="str">
        <f t="shared" si="41"/>
        <v>Refraction and Snell's Law</v>
      </c>
      <c r="Q602" s="1">
        <v>5062</v>
      </c>
      <c r="R602" s="1" t="str">
        <f t="shared" si="40"/>
        <v>2008_01</v>
      </c>
      <c r="T602" s="1"/>
      <c r="BJ602" s="1">
        <v>1</v>
      </c>
    </row>
    <row r="603" spans="1:76" x14ac:dyDescent="0.2">
      <c r="A603" t="s">
        <v>460</v>
      </c>
      <c r="B603" s="1">
        <v>2008</v>
      </c>
      <c r="C603" s="1">
        <v>1</v>
      </c>
      <c r="D603" s="1">
        <v>29</v>
      </c>
      <c r="E603" t="s">
        <v>8</v>
      </c>
      <c r="G603" s="1">
        <v>1</v>
      </c>
      <c r="H603" s="11" t="str">
        <f t="shared" si="39"/>
        <v>2008_01_029.gif</v>
      </c>
      <c r="I603"/>
      <c r="J603"/>
      <c r="L603" s="1" t="b">
        <v>0</v>
      </c>
      <c r="M603" s="1">
        <v>0</v>
      </c>
      <c r="N603" s="1" t="s">
        <v>601</v>
      </c>
      <c r="O603" s="1">
        <v>602</v>
      </c>
      <c r="P603" s="12" t="str">
        <f t="shared" si="41"/>
        <v>Resonance</v>
      </c>
      <c r="Q603" s="1">
        <v>5063</v>
      </c>
      <c r="R603" s="1" t="str">
        <f t="shared" si="40"/>
        <v>2008_01</v>
      </c>
      <c r="T603" s="1"/>
      <c r="BC603" s="1">
        <v>1</v>
      </c>
    </row>
    <row r="604" spans="1:76" x14ac:dyDescent="0.2">
      <c r="A604" t="s">
        <v>461</v>
      </c>
      <c r="B604" s="1">
        <v>2008</v>
      </c>
      <c r="C604" s="1">
        <v>1</v>
      </c>
      <c r="D604" s="1">
        <v>30</v>
      </c>
      <c r="E604" t="s">
        <v>13</v>
      </c>
      <c r="G604" s="1">
        <v>3</v>
      </c>
      <c r="H604" s="11" t="str">
        <f t="shared" si="39"/>
        <v>2008_01_030.gif</v>
      </c>
      <c r="I604"/>
      <c r="J604"/>
      <c r="L604" s="1" t="b">
        <v>0</v>
      </c>
      <c r="M604" s="1">
        <v>0</v>
      </c>
      <c r="N604" s="1" t="s">
        <v>601</v>
      </c>
      <c r="O604" s="1">
        <v>603</v>
      </c>
      <c r="P604" s="12" t="str">
        <f t="shared" si="41"/>
        <v>Particle Physics</v>
      </c>
      <c r="Q604" s="1">
        <v>5064</v>
      </c>
      <c r="R604" s="1" t="str">
        <f t="shared" si="40"/>
        <v>2008_01</v>
      </c>
      <c r="T604" s="1"/>
      <c r="BW604" s="1">
        <v>1</v>
      </c>
    </row>
    <row r="605" spans="1:76" x14ac:dyDescent="0.2">
      <c r="A605" t="s">
        <v>462</v>
      </c>
      <c r="B605" s="1">
        <v>2008</v>
      </c>
      <c r="C605" s="1">
        <v>1</v>
      </c>
      <c r="D605" s="1">
        <v>31</v>
      </c>
      <c r="E605" t="s">
        <v>8</v>
      </c>
      <c r="G605" s="1">
        <v>3</v>
      </c>
      <c r="H605" s="11" t="str">
        <f t="shared" si="39"/>
        <v>2008_01_031.gif</v>
      </c>
      <c r="I605"/>
      <c r="J605"/>
      <c r="L605" s="1" t="b">
        <v>0</v>
      </c>
      <c r="M605" s="1">
        <v>0</v>
      </c>
      <c r="N605" s="1" t="s">
        <v>601</v>
      </c>
      <c r="O605" s="1">
        <v>604</v>
      </c>
      <c r="P605" s="12" t="str">
        <f t="shared" si="41"/>
        <v>Superposition and Standing Waves</v>
      </c>
      <c r="Q605" s="1">
        <v>5065</v>
      </c>
      <c r="R605" s="1" t="str">
        <f t="shared" si="40"/>
        <v>2008_01</v>
      </c>
      <c r="T605" s="1"/>
      <c r="BD605" s="1">
        <v>1</v>
      </c>
    </row>
    <row r="606" spans="1:76" x14ac:dyDescent="0.2">
      <c r="A606" t="s">
        <v>463</v>
      </c>
      <c r="B606" s="1">
        <v>2008</v>
      </c>
      <c r="C606" s="1">
        <v>1</v>
      </c>
      <c r="D606" s="1">
        <v>32</v>
      </c>
      <c r="E606" t="s">
        <v>9</v>
      </c>
      <c r="G606" s="1">
        <v>4</v>
      </c>
      <c r="H606" s="11" t="str">
        <f t="shared" si="39"/>
        <v>2008_01_032.gif</v>
      </c>
      <c r="I606"/>
      <c r="J606"/>
      <c r="L606" s="1" t="b">
        <v>0</v>
      </c>
      <c r="M606" s="1">
        <v>0</v>
      </c>
      <c r="N606" s="1" t="s">
        <v>601</v>
      </c>
      <c r="O606" s="1">
        <v>605</v>
      </c>
      <c r="P606" s="12" t="str">
        <f t="shared" si="41"/>
        <v>Doppler Effect</v>
      </c>
      <c r="Q606" s="1">
        <v>5066</v>
      </c>
      <c r="R606" s="1" t="str">
        <f t="shared" si="40"/>
        <v>2008_01</v>
      </c>
      <c r="T606" s="1"/>
      <c r="BH606" s="1">
        <v>1</v>
      </c>
    </row>
    <row r="607" spans="1:76" x14ac:dyDescent="0.2">
      <c r="A607" t="s">
        <v>464</v>
      </c>
      <c r="B607" s="1">
        <v>2008</v>
      </c>
      <c r="C607" s="1">
        <v>1</v>
      </c>
      <c r="D607" s="1">
        <v>33</v>
      </c>
      <c r="E607" t="s">
        <v>13</v>
      </c>
      <c r="G607" s="1">
        <v>3</v>
      </c>
      <c r="H607" s="11" t="str">
        <f t="shared" si="39"/>
        <v>2008_01_033.gif</v>
      </c>
      <c r="I607"/>
      <c r="J607"/>
      <c r="L607" s="1" t="b">
        <v>0</v>
      </c>
      <c r="M607" s="1">
        <v>0</v>
      </c>
      <c r="N607" s="1" t="s">
        <v>601</v>
      </c>
      <c r="O607" s="1">
        <v>606</v>
      </c>
      <c r="P607" s="12" t="str">
        <f t="shared" si="41"/>
        <v>Energy/Frequency of Photon</v>
      </c>
      <c r="Q607" s="1">
        <v>5067</v>
      </c>
      <c r="R607" s="1" t="str">
        <f t="shared" si="40"/>
        <v>2008_01</v>
      </c>
      <c r="T607" s="1"/>
      <c r="BU607" s="1">
        <v>1</v>
      </c>
    </row>
    <row r="608" spans="1:76" x14ac:dyDescent="0.2">
      <c r="A608" t="s">
        <v>465</v>
      </c>
      <c r="B608" s="1">
        <v>2008</v>
      </c>
      <c r="C608" s="1">
        <v>1</v>
      </c>
      <c r="D608" s="1">
        <v>34</v>
      </c>
      <c r="E608" t="s">
        <v>9</v>
      </c>
      <c r="G608" s="1">
        <v>4</v>
      </c>
      <c r="H608" s="11" t="str">
        <f t="shared" si="39"/>
        <v>2008_01_034.gif</v>
      </c>
      <c r="I608"/>
      <c r="J608"/>
      <c r="L608" s="1" t="b">
        <v>0</v>
      </c>
      <c r="M608" s="1">
        <v>0</v>
      </c>
      <c r="N608" s="1" t="s">
        <v>601</v>
      </c>
      <c r="O608" s="1">
        <v>607</v>
      </c>
      <c r="P608" s="12" t="str">
        <f t="shared" si="41"/>
        <v>Diffraction</v>
      </c>
      <c r="Q608" s="1">
        <v>5068</v>
      </c>
      <c r="R608" s="1" t="str">
        <f t="shared" si="40"/>
        <v>2008_01</v>
      </c>
      <c r="T608" s="1"/>
      <c r="BG608" s="1">
        <v>1</v>
      </c>
    </row>
    <row r="609" spans="1:77" x14ac:dyDescent="0.2">
      <c r="A609" t="s">
        <v>466</v>
      </c>
      <c r="B609" s="1">
        <v>2008</v>
      </c>
      <c r="C609" s="1">
        <v>1</v>
      </c>
      <c r="D609" s="1">
        <v>35</v>
      </c>
      <c r="E609" t="s">
        <v>13</v>
      </c>
      <c r="G609" s="1">
        <v>2</v>
      </c>
      <c r="H609" s="11" t="str">
        <f t="shared" si="39"/>
        <v>2008_01_035.gif</v>
      </c>
      <c r="I609"/>
      <c r="J609"/>
      <c r="L609" s="1" t="b">
        <v>0</v>
      </c>
      <c r="M609" s="1">
        <v>0</v>
      </c>
      <c r="N609" s="1" t="s">
        <v>601</v>
      </c>
      <c r="O609" s="1">
        <v>608</v>
      </c>
      <c r="P609" s="12" t="str">
        <f t="shared" si="41"/>
        <v>Particle Physics</v>
      </c>
      <c r="Q609" s="1">
        <v>5069</v>
      </c>
      <c r="R609" s="1" t="str">
        <f t="shared" si="40"/>
        <v>2008_01</v>
      </c>
      <c r="T609" s="1"/>
      <c r="BW609" s="1">
        <v>1</v>
      </c>
    </row>
    <row r="610" spans="1:77" x14ac:dyDescent="0.2">
      <c r="A610" t="str">
        <f t="shared" ref="A610:A623" si="42">B610 &amp; "_" &amp; TEXT(C610,"00") &amp; "_" &amp; TEXT(D610,"000")</f>
        <v>2008_01_036</v>
      </c>
      <c r="B610" s="1">
        <v>2008</v>
      </c>
      <c r="C610" s="1">
        <v>1</v>
      </c>
      <c r="D610" s="1">
        <v>36</v>
      </c>
      <c r="E610" t="s">
        <v>1</v>
      </c>
      <c r="G610" s="1">
        <v>1</v>
      </c>
      <c r="H610" s="11" t="str">
        <f t="shared" si="39"/>
        <v>2008_01_036.gif</v>
      </c>
      <c r="I610"/>
      <c r="J610"/>
      <c r="L610" s="1" t="b">
        <v>0</v>
      </c>
      <c r="M610" s="1">
        <v>0</v>
      </c>
      <c r="N610" s="1" t="s">
        <v>657</v>
      </c>
      <c r="O610" s="1">
        <v>609</v>
      </c>
      <c r="P610" s="12" t="str">
        <f t="shared" si="41"/>
        <v>Units</v>
      </c>
      <c r="Q610" s="1">
        <v>5070</v>
      </c>
      <c r="R610" s="1" t="str">
        <f t="shared" si="40"/>
        <v>2008_01</v>
      </c>
      <c r="T610" s="1"/>
      <c r="V610" s="1">
        <v>1</v>
      </c>
    </row>
    <row r="611" spans="1:77" x14ac:dyDescent="0.2">
      <c r="A611" t="str">
        <f t="shared" si="42"/>
        <v>2008_01_037</v>
      </c>
      <c r="B611" s="1">
        <v>2008</v>
      </c>
      <c r="C611" s="1">
        <v>1</v>
      </c>
      <c r="D611" s="1">
        <v>37</v>
      </c>
      <c r="E611" t="s">
        <v>1</v>
      </c>
      <c r="G611" s="1">
        <v>3</v>
      </c>
      <c r="H611" s="11" t="str">
        <f t="shared" si="39"/>
        <v>2008_01_037.gif</v>
      </c>
      <c r="I611"/>
      <c r="J611"/>
      <c r="L611" s="1" t="b">
        <v>0</v>
      </c>
      <c r="M611" s="1">
        <v>0</v>
      </c>
      <c r="N611" s="1" t="s">
        <v>657</v>
      </c>
      <c r="O611" s="1">
        <v>610</v>
      </c>
      <c r="P611" s="12" t="str">
        <f t="shared" si="41"/>
        <v>Units</v>
      </c>
      <c r="Q611" s="1">
        <v>5071</v>
      </c>
      <c r="R611" s="1" t="str">
        <f t="shared" si="40"/>
        <v>2008_01</v>
      </c>
      <c r="T611" s="1"/>
      <c r="V611" s="1">
        <v>1</v>
      </c>
    </row>
    <row r="612" spans="1:77" x14ac:dyDescent="0.2">
      <c r="A612" t="str">
        <f t="shared" si="42"/>
        <v>2008_01_038</v>
      </c>
      <c r="B612" s="1">
        <v>2008</v>
      </c>
      <c r="C612" s="1">
        <v>1</v>
      </c>
      <c r="D612" s="1">
        <v>38</v>
      </c>
      <c r="E612" t="s">
        <v>3</v>
      </c>
      <c r="G612" s="1">
        <v>1</v>
      </c>
      <c r="H612" s="11" t="str">
        <f t="shared" si="39"/>
        <v>2008_01_038.gif</v>
      </c>
      <c r="I612"/>
      <c r="J612"/>
      <c r="L612" s="1" t="b">
        <v>0</v>
      </c>
      <c r="M612" s="1">
        <v>0</v>
      </c>
      <c r="N612" s="1" t="s">
        <v>657</v>
      </c>
      <c r="O612" s="1">
        <v>611</v>
      </c>
      <c r="P612" s="12" t="str">
        <f t="shared" si="41"/>
        <v>Adding Vectors</v>
      </c>
      <c r="Q612" s="1">
        <v>5072</v>
      </c>
      <c r="R612" s="1" t="str">
        <f t="shared" si="40"/>
        <v>2008_01</v>
      </c>
      <c r="T612" s="1"/>
      <c r="AD612" s="1">
        <v>1</v>
      </c>
    </row>
    <row r="613" spans="1:77" x14ac:dyDescent="0.2">
      <c r="A613" t="str">
        <f t="shared" si="42"/>
        <v>2008_01_039</v>
      </c>
      <c r="B613" s="1">
        <v>2008</v>
      </c>
      <c r="C613" s="1">
        <v>1</v>
      </c>
      <c r="D613" s="1">
        <v>39</v>
      </c>
      <c r="E613" t="s">
        <v>6</v>
      </c>
      <c r="G613" s="1">
        <v>1</v>
      </c>
      <c r="H613" s="11" t="str">
        <f t="shared" si="39"/>
        <v>2008_01_039.gif</v>
      </c>
      <c r="I613"/>
      <c r="J613"/>
      <c r="L613" s="1" t="b">
        <v>0</v>
      </c>
      <c r="M613" s="1">
        <v>0</v>
      </c>
      <c r="N613" s="1" t="s">
        <v>657</v>
      </c>
      <c r="O613" s="1">
        <v>612</v>
      </c>
      <c r="P613" s="12" t="str">
        <f t="shared" si="41"/>
        <v>Impulse</v>
      </c>
      <c r="Q613" s="1">
        <v>5073</v>
      </c>
      <c r="R613" s="1" t="str">
        <f t="shared" si="40"/>
        <v>2008_01</v>
      </c>
      <c r="T613" s="1"/>
      <c r="AV613" s="1">
        <v>1</v>
      </c>
    </row>
    <row r="614" spans="1:77" x14ac:dyDescent="0.2">
      <c r="A614" t="str">
        <f t="shared" si="42"/>
        <v>2008_01_040</v>
      </c>
      <c r="B614" s="1">
        <v>2008</v>
      </c>
      <c r="C614" s="1">
        <v>1</v>
      </c>
      <c r="D614" s="1">
        <v>40</v>
      </c>
      <c r="E614" t="s">
        <v>5</v>
      </c>
      <c r="F614" t="s">
        <v>10</v>
      </c>
      <c r="G614" s="1">
        <v>1</v>
      </c>
      <c r="H614" s="11" t="str">
        <f t="shared" si="39"/>
        <v>2008_01_040.gif</v>
      </c>
      <c r="I614"/>
      <c r="J614"/>
      <c r="L614" s="1" t="b">
        <v>0</v>
      </c>
      <c r="M614" s="1">
        <v>0</v>
      </c>
      <c r="N614" s="1" t="s">
        <v>657</v>
      </c>
      <c r="O614" s="1">
        <v>613</v>
      </c>
      <c r="P614" s="12" t="str">
        <f t="shared" si="41"/>
        <v>Law of Gravity,Coulomb's Law</v>
      </c>
      <c r="Q614" s="1">
        <v>5074</v>
      </c>
      <c r="R614" s="1" t="str">
        <f t="shared" si="40"/>
        <v>2008_01</v>
      </c>
      <c r="T614" s="1"/>
      <c r="AQ614" s="1">
        <v>1</v>
      </c>
      <c r="BL614" s="1">
        <v>1</v>
      </c>
    </row>
    <row r="615" spans="1:77" x14ac:dyDescent="0.2">
      <c r="A615" t="str">
        <f t="shared" si="42"/>
        <v>2008_01_041</v>
      </c>
      <c r="B615" s="1">
        <v>2008</v>
      </c>
      <c r="C615" s="1">
        <v>1</v>
      </c>
      <c r="D615" s="1">
        <v>41</v>
      </c>
      <c r="E615" t="s">
        <v>7</v>
      </c>
      <c r="F615" t="s">
        <v>548</v>
      </c>
      <c r="G615" s="1">
        <v>2</v>
      </c>
      <c r="H615" s="11" t="str">
        <f t="shared" si="39"/>
        <v>2008_01_041.gif</v>
      </c>
      <c r="I615"/>
      <c r="J615"/>
      <c r="L615" s="1" t="b">
        <v>0</v>
      </c>
      <c r="M615" s="1">
        <v>0</v>
      </c>
      <c r="N615" s="1" t="s">
        <v>657</v>
      </c>
      <c r="O615" s="1">
        <v>614</v>
      </c>
      <c r="P615" s="12" t="str">
        <f t="shared" si="41"/>
        <v>PE of Spring,Graph Interpretation</v>
      </c>
      <c r="Q615" s="1">
        <v>5075</v>
      </c>
      <c r="R615" s="1" t="str">
        <f t="shared" si="40"/>
        <v>2008_01</v>
      </c>
      <c r="T615" s="1"/>
      <c r="BA615" s="1">
        <v>1</v>
      </c>
      <c r="BX615" s="1">
        <v>1</v>
      </c>
    </row>
    <row r="616" spans="1:77" x14ac:dyDescent="0.2">
      <c r="A616" t="str">
        <f t="shared" si="42"/>
        <v>2008_01_042</v>
      </c>
      <c r="B616" s="1">
        <v>2008</v>
      </c>
      <c r="C616" s="1">
        <v>1</v>
      </c>
      <c r="D616" s="1">
        <v>42</v>
      </c>
      <c r="E616" t="s">
        <v>6</v>
      </c>
      <c r="F616" t="s">
        <v>7</v>
      </c>
      <c r="G616" s="1">
        <v>4</v>
      </c>
      <c r="H616" s="11" t="str">
        <f t="shared" si="39"/>
        <v>2008_01_042.gif</v>
      </c>
      <c r="I616"/>
      <c r="J616"/>
      <c r="L616" s="1" t="b">
        <v>0</v>
      </c>
      <c r="M616" s="1">
        <v>0</v>
      </c>
      <c r="N616" s="1" t="s">
        <v>657</v>
      </c>
      <c r="O616" s="1">
        <v>615</v>
      </c>
      <c r="P616" s="12" t="str">
        <f t="shared" si="41"/>
        <v>Conservation of Momentum,Kinetic Energy,Mathematical Relationships (Numberless Problems)</v>
      </c>
      <c r="Q616" s="1">
        <v>5076</v>
      </c>
      <c r="R616" s="1" t="str">
        <f t="shared" si="40"/>
        <v>2008_01</v>
      </c>
      <c r="T616" s="1"/>
      <c r="AU616" s="1">
        <v>1</v>
      </c>
      <c r="AZ616" s="1">
        <v>1</v>
      </c>
      <c r="BY616" s="1">
        <v>1</v>
      </c>
    </row>
    <row r="617" spans="1:77" x14ac:dyDescent="0.2">
      <c r="A617" t="str">
        <f t="shared" si="42"/>
        <v>2008_01_043</v>
      </c>
      <c r="B617" s="1">
        <v>2008</v>
      </c>
      <c r="C617" s="1">
        <v>1</v>
      </c>
      <c r="D617" s="1">
        <v>43</v>
      </c>
      <c r="E617" t="s">
        <v>10</v>
      </c>
      <c r="G617" s="1">
        <v>2</v>
      </c>
      <c r="H617" s="11" t="str">
        <f t="shared" si="39"/>
        <v>2008_01_043.gif</v>
      </c>
      <c r="I617"/>
      <c r="J617"/>
      <c r="L617" s="1" t="b">
        <v>0</v>
      </c>
      <c r="M617" s="1">
        <v>0</v>
      </c>
      <c r="N617" s="1" t="s">
        <v>657</v>
      </c>
      <c r="O617" s="1">
        <v>616</v>
      </c>
      <c r="P617" s="12" t="str">
        <f t="shared" si="41"/>
        <v>Coulomb's Law</v>
      </c>
      <c r="Q617" s="1">
        <v>5077</v>
      </c>
      <c r="R617" s="1" t="str">
        <f t="shared" si="40"/>
        <v>2008_01</v>
      </c>
      <c r="T617" s="1"/>
      <c r="BL617" s="1">
        <v>1</v>
      </c>
    </row>
    <row r="618" spans="1:77" x14ac:dyDescent="0.2">
      <c r="A618" t="str">
        <f t="shared" si="42"/>
        <v>2008_01_044</v>
      </c>
      <c r="B618" s="1">
        <v>2008</v>
      </c>
      <c r="C618" s="1">
        <v>1</v>
      </c>
      <c r="D618" s="1">
        <v>44</v>
      </c>
      <c r="E618" t="s">
        <v>10</v>
      </c>
      <c r="G618" s="1">
        <v>3</v>
      </c>
      <c r="H618" s="11" t="str">
        <f t="shared" si="39"/>
        <v>2008_01_044.gif</v>
      </c>
      <c r="I618"/>
      <c r="J618"/>
      <c r="L618" s="1" t="b">
        <v>0</v>
      </c>
      <c r="M618" s="1">
        <v>0</v>
      </c>
      <c r="N618" s="1" t="s">
        <v>657</v>
      </c>
      <c r="O618" s="1">
        <v>617</v>
      </c>
      <c r="P618" s="12" t="str">
        <f t="shared" si="41"/>
        <v>Electric Fields and Potential</v>
      </c>
      <c r="Q618" s="1">
        <v>5078</v>
      </c>
      <c r="R618" s="1" t="str">
        <f t="shared" si="40"/>
        <v>2008_01</v>
      </c>
      <c r="T618" s="1"/>
      <c r="BN618" s="1">
        <v>1</v>
      </c>
    </row>
    <row r="619" spans="1:77" x14ac:dyDescent="0.2">
      <c r="A619" t="str">
        <f t="shared" si="42"/>
        <v>2008_01_045</v>
      </c>
      <c r="B619" s="1">
        <v>2008</v>
      </c>
      <c r="C619" s="1">
        <v>1</v>
      </c>
      <c r="D619" s="1">
        <v>45</v>
      </c>
      <c r="E619" t="s">
        <v>13</v>
      </c>
      <c r="G619" s="1">
        <v>1</v>
      </c>
      <c r="H619" s="11" t="str">
        <f t="shared" si="39"/>
        <v>2008_01_045.gif</v>
      </c>
      <c r="I619"/>
      <c r="J619"/>
      <c r="L619" s="1" t="b">
        <v>0</v>
      </c>
      <c r="M619" s="1">
        <v>0</v>
      </c>
      <c r="N619" s="1" t="s">
        <v>657</v>
      </c>
      <c r="O619" s="1">
        <v>618</v>
      </c>
      <c r="P619" s="12" t="str">
        <f t="shared" si="41"/>
        <v>Particle Physics</v>
      </c>
      <c r="Q619" s="1">
        <v>5079</v>
      </c>
      <c r="R619" s="1" t="str">
        <f t="shared" si="40"/>
        <v>2008_01</v>
      </c>
      <c r="T619" s="1"/>
      <c r="BW619" s="1">
        <v>1</v>
      </c>
    </row>
    <row r="620" spans="1:77" x14ac:dyDescent="0.2">
      <c r="A620" t="str">
        <f t="shared" si="42"/>
        <v>2008_01_046</v>
      </c>
      <c r="B620" s="1">
        <v>2008</v>
      </c>
      <c r="C620" s="1">
        <v>1</v>
      </c>
      <c r="D620" s="1">
        <v>46</v>
      </c>
      <c r="E620" t="s">
        <v>11</v>
      </c>
      <c r="G620" s="1">
        <v>4</v>
      </c>
      <c r="H620" s="11" t="str">
        <f t="shared" si="39"/>
        <v>2008_01_046.gif</v>
      </c>
      <c r="I620"/>
      <c r="J620"/>
      <c r="L620" s="1" t="b">
        <v>0</v>
      </c>
      <c r="M620" s="1">
        <v>0</v>
      </c>
      <c r="N620" s="1" t="s">
        <v>657</v>
      </c>
      <c r="O620" s="1">
        <v>619</v>
      </c>
      <c r="P620" s="12" t="str">
        <f t="shared" si="41"/>
        <v>Electrical Power</v>
      </c>
      <c r="Q620" s="1">
        <v>5080</v>
      </c>
      <c r="R620" s="1" t="str">
        <f t="shared" si="40"/>
        <v>2008_01</v>
      </c>
      <c r="T620" s="1"/>
      <c r="BP620" s="1">
        <v>1</v>
      </c>
    </row>
    <row r="621" spans="1:77" x14ac:dyDescent="0.2">
      <c r="A621" t="str">
        <f t="shared" si="42"/>
        <v>2008_01_047</v>
      </c>
      <c r="B621" s="1">
        <v>2008</v>
      </c>
      <c r="C621" s="1">
        <v>1</v>
      </c>
      <c r="D621" s="1">
        <v>47</v>
      </c>
      <c r="E621" t="s">
        <v>8</v>
      </c>
      <c r="F621" t="s">
        <v>9</v>
      </c>
      <c r="G621" s="1">
        <v>4</v>
      </c>
      <c r="H621" s="11" t="str">
        <f t="shared" si="39"/>
        <v>2008_01_047.gif</v>
      </c>
      <c r="I621"/>
      <c r="J621"/>
      <c r="L621" s="1" t="b">
        <v>0</v>
      </c>
      <c r="M621" s="1">
        <v>0</v>
      </c>
      <c r="N621" s="1" t="s">
        <v>657</v>
      </c>
      <c r="O621" s="1">
        <v>620</v>
      </c>
      <c r="P621" s="12" t="str">
        <f t="shared" si="41"/>
        <v>V=FxLamda,Light and Sound</v>
      </c>
      <c r="Q621" s="1">
        <v>5081</v>
      </c>
      <c r="R621" s="1" t="str">
        <f t="shared" si="40"/>
        <v>2008_01</v>
      </c>
      <c r="T621" s="1"/>
      <c r="BE621" s="1">
        <v>1</v>
      </c>
      <c r="BI621" s="1">
        <v>1</v>
      </c>
    </row>
    <row r="622" spans="1:77" x14ac:dyDescent="0.2">
      <c r="A622" t="str">
        <f t="shared" si="42"/>
        <v>2008_01_048</v>
      </c>
      <c r="B622" s="1">
        <v>2008</v>
      </c>
      <c r="C622" s="1">
        <v>1</v>
      </c>
      <c r="D622" s="1">
        <v>48</v>
      </c>
      <c r="E622" t="s">
        <v>13</v>
      </c>
      <c r="F622" t="s">
        <v>548</v>
      </c>
      <c r="G622" s="1">
        <v>1</v>
      </c>
      <c r="H622" s="11" t="str">
        <f t="shared" si="39"/>
        <v>2008_01_048.gif</v>
      </c>
      <c r="I622"/>
      <c r="J622"/>
      <c r="L622" s="1" t="b">
        <v>0</v>
      </c>
      <c r="M622" s="1">
        <v>0</v>
      </c>
      <c r="N622" s="1" t="s">
        <v>657</v>
      </c>
      <c r="O622" s="1">
        <v>621</v>
      </c>
      <c r="P622" s="12" t="str">
        <f t="shared" si="41"/>
        <v>Energy/Mass Equivalency,Graph Interpretation</v>
      </c>
      <c r="Q622" s="1">
        <v>5082</v>
      </c>
      <c r="R622" s="1" t="str">
        <f t="shared" si="40"/>
        <v>2008_01</v>
      </c>
      <c r="T622" s="1"/>
      <c r="BV622" s="1">
        <v>1</v>
      </c>
      <c r="BX622" s="1">
        <v>1</v>
      </c>
    </row>
    <row r="623" spans="1:77" x14ac:dyDescent="0.2">
      <c r="A623" t="str">
        <f t="shared" si="42"/>
        <v>2008_01_049</v>
      </c>
      <c r="B623" s="1">
        <v>2008</v>
      </c>
      <c r="C623" s="1">
        <v>1</v>
      </c>
      <c r="D623" s="1">
        <v>49</v>
      </c>
      <c r="E623" t="s">
        <v>9</v>
      </c>
      <c r="G623" s="1">
        <v>4</v>
      </c>
      <c r="H623" s="11" t="str">
        <f t="shared" si="39"/>
        <v>2008_01_049.gif</v>
      </c>
      <c r="I623"/>
      <c r="J623"/>
      <c r="L623" s="1" t="b">
        <v>0</v>
      </c>
      <c r="M623" s="1">
        <v>0</v>
      </c>
      <c r="N623" s="1" t="s">
        <v>657</v>
      </c>
      <c r="O623" s="1">
        <v>622</v>
      </c>
      <c r="P623" s="12" t="str">
        <f t="shared" si="41"/>
        <v>Refraction and Snell's Law</v>
      </c>
      <c r="Q623" s="1">
        <v>5083</v>
      </c>
      <c r="R623" s="1" t="str">
        <f t="shared" si="40"/>
        <v>2008_01</v>
      </c>
      <c r="T623" s="1"/>
      <c r="BJ623" s="1">
        <v>1</v>
      </c>
    </row>
    <row r="624" spans="1:77" x14ac:dyDescent="0.2">
      <c r="A624" t="s">
        <v>467</v>
      </c>
      <c r="B624" s="1">
        <v>2008</v>
      </c>
      <c r="C624" s="1">
        <v>6</v>
      </c>
      <c r="D624" s="1">
        <v>1</v>
      </c>
      <c r="E624" t="s">
        <v>3</v>
      </c>
      <c r="F624" t="s">
        <v>2</v>
      </c>
      <c r="G624" s="1">
        <v>1</v>
      </c>
      <c r="H624" s="11" t="str">
        <f t="shared" si="39"/>
        <v>2008_06_001.gif</v>
      </c>
      <c r="I624"/>
      <c r="J624"/>
      <c r="L624" s="1" t="b">
        <v>0</v>
      </c>
      <c r="M624" s="1">
        <v>0</v>
      </c>
      <c r="N624" s="1" t="s">
        <v>601</v>
      </c>
      <c r="O624" s="1">
        <v>623</v>
      </c>
      <c r="P624" s="12" t="str">
        <f t="shared" si="41"/>
        <v>Basic Motion Concepts,Vector vs. Scalar</v>
      </c>
      <c r="Q624" s="1">
        <v>5111</v>
      </c>
      <c r="R624" s="1" t="str">
        <f t="shared" si="40"/>
        <v>2008_06</v>
      </c>
      <c r="T624" s="1"/>
      <c r="Z624" s="1">
        <v>1</v>
      </c>
      <c r="AF624" s="1">
        <v>1</v>
      </c>
    </row>
    <row r="625" spans="1:77" x14ac:dyDescent="0.2">
      <c r="A625" t="s">
        <v>468</v>
      </c>
      <c r="B625" s="1">
        <v>2008</v>
      </c>
      <c r="C625" s="1">
        <v>6</v>
      </c>
      <c r="D625" s="1">
        <v>2</v>
      </c>
      <c r="E625" t="s">
        <v>4</v>
      </c>
      <c r="G625" s="1">
        <v>1</v>
      </c>
      <c r="H625" s="11" t="str">
        <f t="shared" si="39"/>
        <v>2008_06_002.gif</v>
      </c>
      <c r="I625"/>
      <c r="J625"/>
      <c r="L625" s="1" t="b">
        <v>0</v>
      </c>
      <c r="M625" s="1">
        <v>0</v>
      </c>
      <c r="N625" s="1" t="s">
        <v>601</v>
      </c>
      <c r="O625" s="1">
        <v>624</v>
      </c>
      <c r="P625" s="12" t="str">
        <f t="shared" si="41"/>
        <v>Projectiles at an Angle</v>
      </c>
      <c r="Q625" s="1">
        <v>5112</v>
      </c>
      <c r="R625" s="1" t="str">
        <f t="shared" si="40"/>
        <v>2008_06</v>
      </c>
      <c r="T625" s="1"/>
      <c r="AH625" s="1">
        <v>1</v>
      </c>
    </row>
    <row r="626" spans="1:77" x14ac:dyDescent="0.2">
      <c r="A626" t="s">
        <v>469</v>
      </c>
      <c r="B626" s="1">
        <v>2008</v>
      </c>
      <c r="C626" s="1">
        <v>6</v>
      </c>
      <c r="D626" s="1">
        <v>3</v>
      </c>
      <c r="E626" t="s">
        <v>5</v>
      </c>
      <c r="G626" s="1">
        <v>4</v>
      </c>
      <c r="H626" s="11" t="str">
        <f t="shared" si="39"/>
        <v>2008_06_003.gif</v>
      </c>
      <c r="I626"/>
      <c r="J626"/>
      <c r="L626" s="1" t="b">
        <v>0</v>
      </c>
      <c r="M626" s="1">
        <v>0</v>
      </c>
      <c r="N626" s="1" t="s">
        <v>601</v>
      </c>
      <c r="O626" s="1">
        <v>625</v>
      </c>
      <c r="P626" s="12" t="str">
        <f t="shared" si="41"/>
        <v>Newton's 1st Law (Inertia)</v>
      </c>
      <c r="Q626" s="1">
        <v>5113</v>
      </c>
      <c r="R626" s="1" t="str">
        <f t="shared" si="40"/>
        <v>2008_06</v>
      </c>
      <c r="T626" s="1"/>
      <c r="AR626" s="1">
        <v>1</v>
      </c>
    </row>
    <row r="627" spans="1:77" x14ac:dyDescent="0.2">
      <c r="A627" t="s">
        <v>470</v>
      </c>
      <c r="B627" s="1">
        <v>2008</v>
      </c>
      <c r="C627" s="1">
        <v>6</v>
      </c>
      <c r="D627" s="1">
        <v>4</v>
      </c>
      <c r="E627" t="s">
        <v>2</v>
      </c>
      <c r="G627" s="1">
        <v>3</v>
      </c>
      <c r="H627" s="11" t="str">
        <f t="shared" si="39"/>
        <v>2008_06_004.gif</v>
      </c>
      <c r="I627"/>
      <c r="J627"/>
      <c r="L627" s="1" t="b">
        <v>0</v>
      </c>
      <c r="M627" s="1">
        <v>0</v>
      </c>
      <c r="N627" s="1" t="s">
        <v>601</v>
      </c>
      <c r="O627" s="1">
        <v>626</v>
      </c>
      <c r="P627" s="12" t="str">
        <f t="shared" si="41"/>
        <v>Basic Motion Concepts</v>
      </c>
      <c r="Q627" s="1">
        <v>5114</v>
      </c>
      <c r="R627" s="1" t="str">
        <f t="shared" si="40"/>
        <v>2008_06</v>
      </c>
      <c r="T627" s="1"/>
      <c r="Z627" s="1">
        <v>1</v>
      </c>
    </row>
    <row r="628" spans="1:77" x14ac:dyDescent="0.2">
      <c r="A628" t="s">
        <v>471</v>
      </c>
      <c r="B628" s="1">
        <v>2008</v>
      </c>
      <c r="C628" s="1">
        <v>6</v>
      </c>
      <c r="D628" s="1">
        <v>5</v>
      </c>
      <c r="E628" t="s">
        <v>2</v>
      </c>
      <c r="G628" s="1">
        <v>3</v>
      </c>
      <c r="H628" s="11" t="str">
        <f t="shared" si="39"/>
        <v>2008_06_005.gif</v>
      </c>
      <c r="I628"/>
      <c r="J628"/>
      <c r="L628" s="1" t="b">
        <v>0</v>
      </c>
      <c r="M628" s="1">
        <v>0</v>
      </c>
      <c r="N628" s="1" t="s">
        <v>601</v>
      </c>
      <c r="O628" s="1">
        <v>627</v>
      </c>
      <c r="P628" s="12" t="str">
        <f t="shared" si="41"/>
        <v>Vertical Constant Acceleration Problems</v>
      </c>
      <c r="Q628" s="1">
        <v>5115</v>
      </c>
      <c r="R628" s="1" t="str">
        <f t="shared" si="40"/>
        <v>2008_06</v>
      </c>
      <c r="T628" s="1"/>
      <c r="AC628" s="1">
        <v>1</v>
      </c>
    </row>
    <row r="629" spans="1:77" x14ac:dyDescent="0.2">
      <c r="A629" t="s">
        <v>472</v>
      </c>
      <c r="B629" s="1">
        <v>2008</v>
      </c>
      <c r="C629" s="1">
        <v>6</v>
      </c>
      <c r="D629" s="1">
        <v>6</v>
      </c>
      <c r="E629" t="s">
        <v>4</v>
      </c>
      <c r="G629" s="1">
        <v>1</v>
      </c>
      <c r="H629" s="11" t="str">
        <f t="shared" si="39"/>
        <v>2008_06_006.gif</v>
      </c>
      <c r="I629"/>
      <c r="J629"/>
      <c r="L629" s="1" t="b">
        <v>0</v>
      </c>
      <c r="M629" s="1">
        <v>0</v>
      </c>
      <c r="N629" s="1" t="s">
        <v>601</v>
      </c>
      <c r="O629" s="1">
        <v>628</v>
      </c>
      <c r="P629" s="12" t="str">
        <f t="shared" si="41"/>
        <v>Horizontal Projectile Time of Flight</v>
      </c>
      <c r="Q629" s="1">
        <v>5116</v>
      </c>
      <c r="R629" s="1" t="str">
        <f t="shared" si="40"/>
        <v>2008_06</v>
      </c>
      <c r="T629" s="1"/>
      <c r="AJ629" s="1">
        <v>1</v>
      </c>
    </row>
    <row r="630" spans="1:77" x14ac:dyDescent="0.2">
      <c r="A630" t="s">
        <v>473</v>
      </c>
      <c r="B630" s="1">
        <v>2008</v>
      </c>
      <c r="C630" s="1">
        <v>6</v>
      </c>
      <c r="D630" s="1">
        <v>7</v>
      </c>
      <c r="E630" t="s">
        <v>2</v>
      </c>
      <c r="G630" s="1">
        <v>3</v>
      </c>
      <c r="H630" s="11" t="str">
        <f t="shared" si="39"/>
        <v>2008_06_007.gif</v>
      </c>
      <c r="I630"/>
      <c r="J630"/>
      <c r="L630" s="1" t="b">
        <v>0</v>
      </c>
      <c r="M630" s="1">
        <v>0</v>
      </c>
      <c r="N630" s="1" t="s">
        <v>601</v>
      </c>
      <c r="O630" s="1">
        <v>629</v>
      </c>
      <c r="P630" s="12" t="str">
        <f t="shared" si="41"/>
        <v>Horizontal Constant Acceleration Problems</v>
      </c>
      <c r="Q630" s="1">
        <v>5117</v>
      </c>
      <c r="R630" s="1" t="str">
        <f t="shared" si="40"/>
        <v>2008_06</v>
      </c>
      <c r="T630" s="1"/>
      <c r="AB630" s="1">
        <v>1</v>
      </c>
    </row>
    <row r="631" spans="1:77" x14ac:dyDescent="0.2">
      <c r="A631" t="s">
        <v>474</v>
      </c>
      <c r="B631" s="1">
        <v>2008</v>
      </c>
      <c r="C631" s="1">
        <v>6</v>
      </c>
      <c r="D631" s="1">
        <v>8</v>
      </c>
      <c r="E631" t="s">
        <v>5</v>
      </c>
      <c r="G631" s="1">
        <v>3</v>
      </c>
      <c r="H631" s="11" t="str">
        <f t="shared" si="39"/>
        <v>2008_06_008.gif</v>
      </c>
      <c r="I631"/>
      <c r="J631"/>
      <c r="L631" s="1" t="b">
        <v>0</v>
      </c>
      <c r="M631" s="1">
        <v>0</v>
      </c>
      <c r="N631" s="1" t="s">
        <v>601</v>
      </c>
      <c r="O631" s="1">
        <v>630</v>
      </c>
      <c r="P631" s="12" t="str">
        <f t="shared" si="41"/>
        <v>Weight and Mass</v>
      </c>
      <c r="Q631" s="1">
        <v>5118</v>
      </c>
      <c r="R631" s="1" t="str">
        <f t="shared" si="40"/>
        <v>2008_06</v>
      </c>
      <c r="T631" s="1"/>
      <c r="AT631" s="1">
        <v>1</v>
      </c>
    </row>
    <row r="632" spans="1:77" x14ac:dyDescent="0.2">
      <c r="A632" t="s">
        <v>475</v>
      </c>
      <c r="B632" s="1">
        <v>2008</v>
      </c>
      <c r="C632" s="1">
        <v>6</v>
      </c>
      <c r="D632" s="1">
        <v>9</v>
      </c>
      <c r="E632" t="s">
        <v>5</v>
      </c>
      <c r="G632" s="1">
        <v>2</v>
      </c>
      <c r="H632" s="11" t="str">
        <f t="shared" si="39"/>
        <v>2008_06_009.gif</v>
      </c>
      <c r="I632"/>
      <c r="J632"/>
      <c r="L632" s="1" t="b">
        <v>0</v>
      </c>
      <c r="M632" s="1">
        <v>0</v>
      </c>
      <c r="N632" s="1" t="s">
        <v>601</v>
      </c>
      <c r="O632" s="1">
        <v>631</v>
      </c>
      <c r="P632" s="12" t="str">
        <f t="shared" si="41"/>
        <v>Newton's 1st Law (Inertia),Newton's 2nd Law (F=MA)</v>
      </c>
      <c r="Q632" s="1">
        <v>5119</v>
      </c>
      <c r="R632" s="1" t="str">
        <f t="shared" si="40"/>
        <v>2008_06</v>
      </c>
      <c r="T632" s="1"/>
      <c r="AR632" s="1">
        <v>1</v>
      </c>
      <c r="AS632" s="1">
        <v>1</v>
      </c>
    </row>
    <row r="633" spans="1:77" x14ac:dyDescent="0.2">
      <c r="A633" t="s">
        <v>476</v>
      </c>
      <c r="B633" s="1">
        <v>2008</v>
      </c>
      <c r="C633" s="1">
        <v>6</v>
      </c>
      <c r="D633" s="1">
        <v>10</v>
      </c>
      <c r="E633" t="s">
        <v>4</v>
      </c>
      <c r="G633" s="1">
        <v>2</v>
      </c>
      <c r="H633" s="11" t="str">
        <f t="shared" si="39"/>
        <v>2008_06_010.gif</v>
      </c>
      <c r="I633"/>
      <c r="J633"/>
      <c r="L633" s="1" t="b">
        <v>0</v>
      </c>
      <c r="M633" s="1">
        <v>0</v>
      </c>
      <c r="N633" s="1" t="s">
        <v>601</v>
      </c>
      <c r="O633" s="1">
        <v>632</v>
      </c>
      <c r="P633" s="12" t="str">
        <f t="shared" si="41"/>
        <v>Centripetal Motion - Direction F,A,V</v>
      </c>
      <c r="Q633" s="1">
        <v>5120</v>
      </c>
      <c r="R633" s="1" t="str">
        <f t="shared" si="40"/>
        <v>2008_06</v>
      </c>
      <c r="T633" s="1"/>
      <c r="AL633" s="1">
        <v>1</v>
      </c>
    </row>
    <row r="634" spans="1:77" x14ac:dyDescent="0.2">
      <c r="A634" t="s">
        <v>477</v>
      </c>
      <c r="B634" s="1">
        <v>2008</v>
      </c>
      <c r="C634" s="1">
        <v>6</v>
      </c>
      <c r="D634" s="1">
        <v>11</v>
      </c>
      <c r="E634" t="s">
        <v>3</v>
      </c>
      <c r="G634" s="1">
        <v>2</v>
      </c>
      <c r="H634" s="11" t="str">
        <f t="shared" si="39"/>
        <v>2008_06_011.gif</v>
      </c>
      <c r="I634"/>
      <c r="J634"/>
      <c r="L634" s="1" t="b">
        <v>0</v>
      </c>
      <c r="M634" s="1">
        <v>0</v>
      </c>
      <c r="N634" s="1" t="s">
        <v>601</v>
      </c>
      <c r="O634" s="1">
        <v>633</v>
      </c>
      <c r="P634" s="12" t="str">
        <f t="shared" si="41"/>
        <v>Vector Components</v>
      </c>
      <c r="Q634" s="1">
        <v>5121</v>
      </c>
      <c r="R634" s="1" t="str">
        <f t="shared" si="40"/>
        <v>2008_06</v>
      </c>
      <c r="T634" s="1"/>
      <c r="AE634" s="1">
        <v>1</v>
      </c>
    </row>
    <row r="635" spans="1:77" x14ac:dyDescent="0.2">
      <c r="A635" t="s">
        <v>478</v>
      </c>
      <c r="B635" s="1">
        <v>2008</v>
      </c>
      <c r="C635" s="1">
        <v>6</v>
      </c>
      <c r="D635" s="1">
        <v>12</v>
      </c>
      <c r="E635" t="s">
        <v>5</v>
      </c>
      <c r="G635" s="1">
        <v>3</v>
      </c>
      <c r="H635" s="11" t="str">
        <f t="shared" si="39"/>
        <v>2008_06_012.gif</v>
      </c>
      <c r="I635"/>
      <c r="J635"/>
      <c r="L635" s="1" t="b">
        <v>0</v>
      </c>
      <c r="M635" s="1">
        <v>0</v>
      </c>
      <c r="N635" s="1" t="s">
        <v>601</v>
      </c>
      <c r="O635" s="1">
        <v>634</v>
      </c>
      <c r="P635" s="12" t="str">
        <f t="shared" si="41"/>
        <v>Friction,Newton's 2nd Law (F=MA)</v>
      </c>
      <c r="Q635" s="1">
        <v>5122</v>
      </c>
      <c r="R635" s="1" t="str">
        <f t="shared" si="40"/>
        <v>2008_06</v>
      </c>
      <c r="T635" s="1"/>
      <c r="AN635" s="1">
        <v>1</v>
      </c>
      <c r="AS635" s="1">
        <v>1</v>
      </c>
    </row>
    <row r="636" spans="1:77" x14ac:dyDescent="0.2">
      <c r="A636" t="s">
        <v>479</v>
      </c>
      <c r="B636" s="1">
        <v>2008</v>
      </c>
      <c r="C636" s="1">
        <v>6</v>
      </c>
      <c r="D636" s="1">
        <v>13</v>
      </c>
      <c r="E636" t="s">
        <v>4</v>
      </c>
      <c r="G636" s="1">
        <v>3</v>
      </c>
      <c r="H636" s="11" t="str">
        <f t="shared" si="39"/>
        <v>2008_06_013.gif</v>
      </c>
      <c r="I636"/>
      <c r="J636"/>
      <c r="L636" s="1" t="b">
        <v>0</v>
      </c>
      <c r="M636" s="1">
        <v>0</v>
      </c>
      <c r="N636" s="1" t="s">
        <v>601</v>
      </c>
      <c r="O636" s="1">
        <v>635</v>
      </c>
      <c r="P636" s="12" t="str">
        <f t="shared" si="41"/>
        <v>Centripetal Motion - Calculation</v>
      </c>
      <c r="Q636" s="1">
        <v>5123</v>
      </c>
      <c r="R636" s="1" t="str">
        <f t="shared" si="40"/>
        <v>2008_06</v>
      </c>
      <c r="T636" s="1"/>
      <c r="AM636" s="1">
        <v>1</v>
      </c>
    </row>
    <row r="637" spans="1:77" x14ac:dyDescent="0.2">
      <c r="A637" t="s">
        <v>480</v>
      </c>
      <c r="B637" s="1">
        <v>2008</v>
      </c>
      <c r="C637" s="1">
        <v>6</v>
      </c>
      <c r="D637" s="1">
        <v>14</v>
      </c>
      <c r="E637" t="s">
        <v>6</v>
      </c>
      <c r="G637" s="1">
        <v>2</v>
      </c>
      <c r="H637" s="11" t="str">
        <f t="shared" si="39"/>
        <v>2008_06_014.gif</v>
      </c>
      <c r="I637"/>
      <c r="J637"/>
      <c r="L637" s="1" t="b">
        <v>0</v>
      </c>
      <c r="M637" s="1">
        <v>0</v>
      </c>
      <c r="N637" s="1" t="s">
        <v>601</v>
      </c>
      <c r="O637" s="1">
        <v>636</v>
      </c>
      <c r="P637" s="12" t="str">
        <f t="shared" si="41"/>
        <v>Impulse</v>
      </c>
      <c r="Q637" s="1">
        <v>5124</v>
      </c>
      <c r="R637" s="1" t="str">
        <f t="shared" si="40"/>
        <v>2008_06</v>
      </c>
      <c r="T637" s="1"/>
      <c r="AV637" s="1">
        <v>1</v>
      </c>
    </row>
    <row r="638" spans="1:77" x14ac:dyDescent="0.2">
      <c r="A638" t="s">
        <v>481</v>
      </c>
      <c r="B638" s="1">
        <v>2008</v>
      </c>
      <c r="C638" s="1">
        <v>6</v>
      </c>
      <c r="D638" s="1">
        <v>15</v>
      </c>
      <c r="E638" t="s">
        <v>6</v>
      </c>
      <c r="G638" s="1">
        <v>3</v>
      </c>
      <c r="H638" s="11" t="str">
        <f t="shared" si="39"/>
        <v>2008_06_015.gif</v>
      </c>
      <c r="I638"/>
      <c r="J638"/>
      <c r="L638" s="1" t="b">
        <v>0</v>
      </c>
      <c r="M638" s="1">
        <v>0</v>
      </c>
      <c r="N638" s="1" t="s">
        <v>601</v>
      </c>
      <c r="O638" s="1">
        <v>637</v>
      </c>
      <c r="P638" s="12" t="str">
        <f t="shared" si="41"/>
        <v>Newton's 3rd Law (Equal But Opposite)</v>
      </c>
      <c r="Q638" s="1">
        <v>5125</v>
      </c>
      <c r="R638" s="1" t="str">
        <f t="shared" si="40"/>
        <v>2008_06</v>
      </c>
      <c r="T638" s="1"/>
      <c r="AW638" s="1">
        <v>1</v>
      </c>
    </row>
    <row r="639" spans="1:77" x14ac:dyDescent="0.2">
      <c r="A639" t="s">
        <v>482</v>
      </c>
      <c r="B639" s="1">
        <v>2008</v>
      </c>
      <c r="C639" s="1">
        <v>6</v>
      </c>
      <c r="D639" s="1">
        <v>16</v>
      </c>
      <c r="E639" t="s">
        <v>5</v>
      </c>
      <c r="F639" t="s">
        <v>548</v>
      </c>
      <c r="G639" s="1">
        <v>3</v>
      </c>
      <c r="H639" s="11" t="str">
        <f t="shared" si="39"/>
        <v>2008_06_016.gif</v>
      </c>
      <c r="I639"/>
      <c r="J639"/>
      <c r="L639" s="1" t="b">
        <v>0</v>
      </c>
      <c r="M639" s="1">
        <v>0</v>
      </c>
      <c r="N639" s="1" t="s">
        <v>601</v>
      </c>
      <c r="O639" s="1">
        <v>638</v>
      </c>
      <c r="P639" s="12" t="str">
        <f t="shared" si="41"/>
        <v>Law of Gravity,Mathematical Relationships (Numberless Problems)</v>
      </c>
      <c r="Q639" s="1">
        <v>5126</v>
      </c>
      <c r="R639" s="1" t="str">
        <f t="shared" si="40"/>
        <v>2008_06</v>
      </c>
      <c r="T639" s="1"/>
      <c r="AQ639" s="1">
        <v>1</v>
      </c>
      <c r="BY639" s="1">
        <v>1</v>
      </c>
    </row>
    <row r="640" spans="1:77" x14ac:dyDescent="0.2">
      <c r="A640" t="s">
        <v>483</v>
      </c>
      <c r="B640" s="1">
        <v>2008</v>
      </c>
      <c r="C640" s="1">
        <v>6</v>
      </c>
      <c r="D640" s="1">
        <v>17</v>
      </c>
      <c r="E640" t="s">
        <v>7</v>
      </c>
      <c r="G640" s="1">
        <v>1</v>
      </c>
      <c r="H640" s="11" t="str">
        <f t="shared" si="39"/>
        <v>2008_06_017.gif</v>
      </c>
      <c r="I640"/>
      <c r="J640"/>
      <c r="L640" s="1" t="b">
        <v>0</v>
      </c>
      <c r="M640" s="1">
        <v>0</v>
      </c>
      <c r="N640" s="1" t="s">
        <v>601</v>
      </c>
      <c r="O640" s="1">
        <v>639</v>
      </c>
      <c r="P640" s="12" t="str">
        <f t="shared" si="41"/>
        <v>Work/Power</v>
      </c>
      <c r="Q640" s="1">
        <v>5127</v>
      </c>
      <c r="R640" s="1" t="str">
        <f t="shared" si="40"/>
        <v>2008_06</v>
      </c>
      <c r="T640" s="1"/>
      <c r="BB640" s="1">
        <v>1</v>
      </c>
    </row>
    <row r="641" spans="1:74" x14ac:dyDescent="0.2">
      <c r="A641" t="s">
        <v>484</v>
      </c>
      <c r="B641" s="1">
        <v>2008</v>
      </c>
      <c r="C641" s="1">
        <v>6</v>
      </c>
      <c r="D641" s="1">
        <v>18</v>
      </c>
      <c r="E641" t="s">
        <v>7</v>
      </c>
      <c r="G641" s="1">
        <v>2</v>
      </c>
      <c r="H641" s="11" t="str">
        <f t="shared" si="39"/>
        <v>2008_06_018.gif</v>
      </c>
      <c r="I641"/>
      <c r="J641"/>
      <c r="L641" s="1" t="b">
        <v>0</v>
      </c>
      <c r="M641" s="1">
        <v>0</v>
      </c>
      <c r="N641" s="1" t="s">
        <v>601</v>
      </c>
      <c r="O641" s="1">
        <v>640</v>
      </c>
      <c r="P641" s="12" t="str">
        <f t="shared" si="41"/>
        <v>Conservation of Energy</v>
      </c>
      <c r="Q641" s="1">
        <v>5128</v>
      </c>
      <c r="R641" s="1" t="str">
        <f t="shared" si="40"/>
        <v>2008_06</v>
      </c>
      <c r="T641" s="1"/>
      <c r="AX641" s="1">
        <v>1</v>
      </c>
    </row>
    <row r="642" spans="1:74" x14ac:dyDescent="0.2">
      <c r="A642" t="s">
        <v>485</v>
      </c>
      <c r="B642" s="1">
        <v>2008</v>
      </c>
      <c r="C642" s="1">
        <v>6</v>
      </c>
      <c r="D642" s="1">
        <v>19</v>
      </c>
      <c r="E642" t="s">
        <v>7</v>
      </c>
      <c r="G642" s="1">
        <v>4</v>
      </c>
      <c r="H642" s="11" t="str">
        <f t="shared" ref="H642:H705" si="43">HYPERLINK(A642&amp;".gif")</f>
        <v>2008_06_019.gif</v>
      </c>
      <c r="I642"/>
      <c r="J642"/>
      <c r="L642" s="1" t="b">
        <v>0</v>
      </c>
      <c r="M642" s="1">
        <v>0</v>
      </c>
      <c r="N642" s="1" t="s">
        <v>601</v>
      </c>
      <c r="O642" s="1">
        <v>641</v>
      </c>
      <c r="P642" s="12" t="str">
        <f t="shared" si="41"/>
        <v>Work/Power</v>
      </c>
      <c r="Q642" s="1">
        <v>5129</v>
      </c>
      <c r="R642" s="1" t="str">
        <f t="shared" si="40"/>
        <v>2008_06</v>
      </c>
      <c r="T642" s="1"/>
      <c r="BB642" s="1">
        <v>1</v>
      </c>
    </row>
    <row r="643" spans="1:74" x14ac:dyDescent="0.2">
      <c r="A643" t="s">
        <v>486</v>
      </c>
      <c r="B643" s="1">
        <v>2008</v>
      </c>
      <c r="C643" s="1">
        <v>6</v>
      </c>
      <c r="D643" s="1">
        <v>20</v>
      </c>
      <c r="E643" t="s">
        <v>11</v>
      </c>
      <c r="G643" s="1">
        <v>1</v>
      </c>
      <c r="H643" s="11" t="str">
        <f t="shared" si="43"/>
        <v>2008_06_020.gif</v>
      </c>
      <c r="I643"/>
      <c r="J643"/>
      <c r="L643" s="1" t="b">
        <v>0</v>
      </c>
      <c r="M643" s="1">
        <v>0</v>
      </c>
      <c r="N643" s="1" t="s">
        <v>601</v>
      </c>
      <c r="O643" s="1">
        <v>642</v>
      </c>
      <c r="P643" s="12" t="str">
        <f t="shared" si="41"/>
        <v>Series and Parallel</v>
      </c>
      <c r="Q643" s="1">
        <v>5130</v>
      </c>
      <c r="R643" s="1" t="str">
        <f t="shared" ref="R643:R706" si="44">B643&amp;"_"&amp;TEXT(C643,"00")</f>
        <v>2008_06</v>
      </c>
      <c r="T643" s="1"/>
      <c r="BS643" s="1">
        <v>1</v>
      </c>
    </row>
    <row r="644" spans="1:74" x14ac:dyDescent="0.2">
      <c r="A644" t="s">
        <v>487</v>
      </c>
      <c r="B644" s="1">
        <v>2008</v>
      </c>
      <c r="C644" s="1">
        <v>6</v>
      </c>
      <c r="D644" s="1">
        <v>21</v>
      </c>
      <c r="E644" t="s">
        <v>11</v>
      </c>
      <c r="G644" s="1">
        <v>1</v>
      </c>
      <c r="H644" s="11" t="str">
        <f t="shared" si="43"/>
        <v>2008_06_021.gif</v>
      </c>
      <c r="I644"/>
      <c r="J644"/>
      <c r="L644" s="1" t="b">
        <v>0</v>
      </c>
      <c r="M644" s="1">
        <v>0</v>
      </c>
      <c r="N644" s="1" t="s">
        <v>601</v>
      </c>
      <c r="O644" s="1">
        <v>643</v>
      </c>
      <c r="P644" s="12" t="str">
        <f t="shared" si="41"/>
        <v>Electrical Power</v>
      </c>
      <c r="Q644" s="1">
        <v>5131</v>
      </c>
      <c r="R644" s="1" t="str">
        <f t="shared" si="44"/>
        <v>2008_06</v>
      </c>
      <c r="T644" s="1"/>
      <c r="BP644" s="1">
        <v>1</v>
      </c>
    </row>
    <row r="645" spans="1:74" x14ac:dyDescent="0.2">
      <c r="A645" t="s">
        <v>488</v>
      </c>
      <c r="B645" s="1">
        <v>2008</v>
      </c>
      <c r="C645" s="1">
        <v>6</v>
      </c>
      <c r="D645" s="1">
        <v>22</v>
      </c>
      <c r="E645" t="s">
        <v>588</v>
      </c>
      <c r="F645" t="s">
        <v>10</v>
      </c>
      <c r="G645" s="1">
        <v>1</v>
      </c>
      <c r="H645" s="11" t="str">
        <f t="shared" si="43"/>
        <v>2008_06_022.gif</v>
      </c>
      <c r="I645"/>
      <c r="J645"/>
      <c r="L645" s="1" t="b">
        <v>0</v>
      </c>
      <c r="M645" s="1">
        <v>0</v>
      </c>
      <c r="N645" s="1" t="s">
        <v>601</v>
      </c>
      <c r="O645" s="1">
        <v>644</v>
      </c>
      <c r="P645" s="12" t="str">
        <f t="shared" si="41"/>
        <v>Electric Fields and Potential</v>
      </c>
      <c r="Q645" s="1">
        <v>5132</v>
      </c>
      <c r="R645" s="1" t="str">
        <f t="shared" si="44"/>
        <v>2008_06</v>
      </c>
      <c r="T645" s="1"/>
      <c r="BN645" s="1">
        <v>1</v>
      </c>
    </row>
    <row r="646" spans="1:74" x14ac:dyDescent="0.2">
      <c r="A646" t="s">
        <v>489</v>
      </c>
      <c r="B646" s="1">
        <v>2008</v>
      </c>
      <c r="C646" s="1">
        <v>6</v>
      </c>
      <c r="D646" s="1">
        <v>23</v>
      </c>
      <c r="E646" t="s">
        <v>10</v>
      </c>
      <c r="G646" s="1">
        <v>4</v>
      </c>
      <c r="H646" s="11" t="str">
        <f t="shared" si="43"/>
        <v>2008_06_023.gif</v>
      </c>
      <c r="I646"/>
      <c r="J646"/>
      <c r="L646" s="1" t="b">
        <v>0</v>
      </c>
      <c r="M646" s="1">
        <v>0</v>
      </c>
      <c r="N646" s="1" t="s">
        <v>601</v>
      </c>
      <c r="O646" s="1">
        <v>645</v>
      </c>
      <c r="P646" s="12" t="str">
        <f t="shared" si="41"/>
        <v>Electric Fields and Potential</v>
      </c>
      <c r="Q646" s="1">
        <v>5133</v>
      </c>
      <c r="R646" s="1" t="str">
        <f t="shared" si="44"/>
        <v>2008_06</v>
      </c>
      <c r="T646" s="1"/>
      <c r="BN646" s="1">
        <v>1</v>
      </c>
    </row>
    <row r="647" spans="1:74" x14ac:dyDescent="0.2">
      <c r="A647" t="s">
        <v>490</v>
      </c>
      <c r="B647" s="1">
        <v>2008</v>
      </c>
      <c r="C647" s="1">
        <v>6</v>
      </c>
      <c r="D647" s="1">
        <v>24</v>
      </c>
      <c r="E647" t="s">
        <v>11</v>
      </c>
      <c r="G647" s="1">
        <v>1</v>
      </c>
      <c r="H647" s="11" t="str">
        <f t="shared" si="43"/>
        <v>2008_06_024.gif</v>
      </c>
      <c r="I647"/>
      <c r="J647"/>
      <c r="L647" s="1" t="b">
        <v>0</v>
      </c>
      <c r="M647" s="1">
        <v>0</v>
      </c>
      <c r="N647" s="1" t="s">
        <v>601</v>
      </c>
      <c r="O647" s="1">
        <v>646</v>
      </c>
      <c r="P647" s="12" t="str">
        <f t="shared" si="41"/>
        <v>Ohm's Law</v>
      </c>
      <c r="Q647" s="1">
        <v>5134</v>
      </c>
      <c r="R647" s="1" t="str">
        <f t="shared" si="44"/>
        <v>2008_06</v>
      </c>
      <c r="T647" s="1"/>
      <c r="BQ647" s="1">
        <v>1</v>
      </c>
    </row>
    <row r="648" spans="1:74" x14ac:dyDescent="0.2">
      <c r="A648" t="s">
        <v>491</v>
      </c>
      <c r="B648" s="1">
        <v>2008</v>
      </c>
      <c r="C648" s="1">
        <v>6</v>
      </c>
      <c r="D648" s="1">
        <v>25</v>
      </c>
      <c r="E648" t="s">
        <v>8</v>
      </c>
      <c r="G648" s="1">
        <v>2</v>
      </c>
      <c r="H648" s="11" t="str">
        <f t="shared" si="43"/>
        <v>2008_06_025.gif</v>
      </c>
      <c r="I648"/>
      <c r="J648"/>
      <c r="L648" s="1" t="b">
        <v>0</v>
      </c>
      <c r="M648" s="1">
        <v>0</v>
      </c>
      <c r="N648" s="1" t="s">
        <v>601</v>
      </c>
      <c r="O648" s="1">
        <v>647</v>
      </c>
      <c r="P648" s="12" t="str">
        <f t="shared" si="41"/>
        <v>Wave Vocabulary</v>
      </c>
      <c r="Q648" s="1">
        <v>5135</v>
      </c>
      <c r="R648" s="1" t="str">
        <f t="shared" si="44"/>
        <v>2008_06</v>
      </c>
      <c r="T648" s="1"/>
      <c r="BF648" s="1">
        <v>1</v>
      </c>
    </row>
    <row r="649" spans="1:74" x14ac:dyDescent="0.2">
      <c r="A649" t="s">
        <v>492</v>
      </c>
      <c r="B649" s="1">
        <v>2008</v>
      </c>
      <c r="C649" s="1">
        <v>6</v>
      </c>
      <c r="D649" s="1">
        <v>26</v>
      </c>
      <c r="E649" t="s">
        <v>9</v>
      </c>
      <c r="G649" s="1">
        <v>3</v>
      </c>
      <c r="H649" s="11" t="str">
        <f t="shared" si="43"/>
        <v>2008_06_026.gif</v>
      </c>
      <c r="I649"/>
      <c r="J649"/>
      <c r="L649" s="1" t="b">
        <v>0</v>
      </c>
      <c r="M649" s="1">
        <v>0</v>
      </c>
      <c r="N649" s="1" t="s">
        <v>601</v>
      </c>
      <c r="O649" s="1">
        <v>648</v>
      </c>
      <c r="P649" s="12" t="str">
        <f t="shared" si="41"/>
        <v>Light and Sound</v>
      </c>
      <c r="Q649" s="1">
        <v>5136</v>
      </c>
      <c r="R649" s="1" t="str">
        <f t="shared" si="44"/>
        <v>2008_06</v>
      </c>
      <c r="T649" s="1"/>
      <c r="BI649" s="1">
        <v>1</v>
      </c>
    </row>
    <row r="650" spans="1:74" x14ac:dyDescent="0.2">
      <c r="A650" t="s">
        <v>493</v>
      </c>
      <c r="B650" s="1">
        <v>2008</v>
      </c>
      <c r="C650" s="1">
        <v>6</v>
      </c>
      <c r="D650" s="1">
        <v>27</v>
      </c>
      <c r="E650" t="s">
        <v>8</v>
      </c>
      <c r="G650" s="1">
        <v>2</v>
      </c>
      <c r="H650" s="11" t="str">
        <f t="shared" si="43"/>
        <v>2008_06_027.gif</v>
      </c>
      <c r="I650"/>
      <c r="J650"/>
      <c r="L650" s="1" t="b">
        <v>0</v>
      </c>
      <c r="M650" s="1">
        <v>0</v>
      </c>
      <c r="N650" s="1" t="s">
        <v>601</v>
      </c>
      <c r="O650" s="1">
        <v>649</v>
      </c>
      <c r="P650" s="12" t="str">
        <f t="shared" si="41"/>
        <v>Wave Vocabulary</v>
      </c>
      <c r="Q650" s="1">
        <v>5137</v>
      </c>
      <c r="R650" s="1" t="str">
        <f t="shared" si="44"/>
        <v>2008_06</v>
      </c>
      <c r="T650" s="1"/>
      <c r="BF650" s="1">
        <v>1</v>
      </c>
    </row>
    <row r="651" spans="1:74" x14ac:dyDescent="0.2">
      <c r="A651" t="s">
        <v>494</v>
      </c>
      <c r="B651" s="1">
        <v>2008</v>
      </c>
      <c r="C651" s="1">
        <v>6</v>
      </c>
      <c r="D651" s="1">
        <v>28</v>
      </c>
      <c r="E651" t="s">
        <v>9</v>
      </c>
      <c r="G651" s="1">
        <v>4</v>
      </c>
      <c r="H651" s="11" t="str">
        <f t="shared" si="43"/>
        <v>2008_06_028.gif</v>
      </c>
      <c r="I651"/>
      <c r="J651"/>
      <c r="L651" s="1" t="b">
        <v>0</v>
      </c>
      <c r="M651" s="1">
        <v>0</v>
      </c>
      <c r="N651" s="1" t="s">
        <v>601</v>
      </c>
      <c r="O651" s="1">
        <v>650</v>
      </c>
      <c r="P651" s="12" t="str">
        <f t="shared" ref="P651:P714" si="45">concatenateif(U651:DI651,1,$U$1:$DI$1)</f>
        <v>Refraction and Snell's Law</v>
      </c>
      <c r="Q651" s="1">
        <v>5138</v>
      </c>
      <c r="R651" s="1" t="str">
        <f t="shared" si="44"/>
        <v>2008_06</v>
      </c>
      <c r="T651" s="1"/>
      <c r="BJ651" s="1">
        <v>1</v>
      </c>
    </row>
    <row r="652" spans="1:74" x14ac:dyDescent="0.2">
      <c r="A652" t="s">
        <v>495</v>
      </c>
      <c r="B652" s="1">
        <v>2008</v>
      </c>
      <c r="C652" s="1">
        <v>6</v>
      </c>
      <c r="D652" s="1">
        <v>29</v>
      </c>
      <c r="E652" t="s">
        <v>9</v>
      </c>
      <c r="G652" s="1">
        <v>4</v>
      </c>
      <c r="H652" s="11" t="str">
        <f t="shared" si="43"/>
        <v>2008_06_029.gif</v>
      </c>
      <c r="I652"/>
      <c r="J652"/>
      <c r="L652" s="1" t="b">
        <v>0</v>
      </c>
      <c r="M652" s="1">
        <v>0</v>
      </c>
      <c r="N652" s="1" t="s">
        <v>601</v>
      </c>
      <c r="O652" s="1">
        <v>651</v>
      </c>
      <c r="P652" s="12" t="str">
        <f t="shared" si="45"/>
        <v>Refraction and Snell's Law</v>
      </c>
      <c r="Q652" s="1">
        <v>5139</v>
      </c>
      <c r="R652" s="1" t="str">
        <f t="shared" si="44"/>
        <v>2008_06</v>
      </c>
      <c r="T652" s="1"/>
      <c r="BJ652" s="1">
        <v>1</v>
      </c>
    </row>
    <row r="653" spans="1:74" x14ac:dyDescent="0.2">
      <c r="A653" t="s">
        <v>496</v>
      </c>
      <c r="B653" s="1">
        <v>2008</v>
      </c>
      <c r="C653" s="1">
        <v>6</v>
      </c>
      <c r="D653" s="1">
        <v>30</v>
      </c>
      <c r="E653" t="s">
        <v>8</v>
      </c>
      <c r="G653" s="1">
        <v>4</v>
      </c>
      <c r="H653" s="11" t="str">
        <f t="shared" si="43"/>
        <v>2008_06_030.gif</v>
      </c>
      <c r="I653"/>
      <c r="J653"/>
      <c r="L653" s="1" t="b">
        <v>0</v>
      </c>
      <c r="M653" s="1">
        <v>0</v>
      </c>
      <c r="N653" s="1" t="s">
        <v>601</v>
      </c>
      <c r="O653" s="1">
        <v>652</v>
      </c>
      <c r="P653" s="12" t="str">
        <f t="shared" si="45"/>
        <v>Superposition and Standing Waves</v>
      </c>
      <c r="Q653" s="1">
        <v>5140</v>
      </c>
      <c r="R653" s="1" t="str">
        <f t="shared" si="44"/>
        <v>2008_06</v>
      </c>
      <c r="T653" s="1"/>
      <c r="BD653" s="1">
        <v>1</v>
      </c>
    </row>
    <row r="654" spans="1:74" x14ac:dyDescent="0.2">
      <c r="A654" t="s">
        <v>497</v>
      </c>
      <c r="B654" s="1">
        <v>2008</v>
      </c>
      <c r="C654" s="1">
        <v>6</v>
      </c>
      <c r="D654" s="1">
        <v>31</v>
      </c>
      <c r="E654" t="s">
        <v>8</v>
      </c>
      <c r="G654" s="1">
        <v>2</v>
      </c>
      <c r="H654" s="11" t="str">
        <f t="shared" si="43"/>
        <v>2008_06_031.gif</v>
      </c>
      <c r="I654"/>
      <c r="J654"/>
      <c r="L654" s="1" t="b">
        <v>0</v>
      </c>
      <c r="M654" s="1">
        <v>0</v>
      </c>
      <c r="N654" s="1" t="s">
        <v>601</v>
      </c>
      <c r="O654" s="1">
        <v>653</v>
      </c>
      <c r="P654" s="12" t="str">
        <f t="shared" si="45"/>
        <v>Superposition and Standing Waves</v>
      </c>
      <c r="Q654" s="1">
        <v>5141</v>
      </c>
      <c r="R654" s="1" t="str">
        <f t="shared" si="44"/>
        <v>2008_06</v>
      </c>
      <c r="T654" s="1"/>
      <c r="BD654" s="1">
        <v>1</v>
      </c>
    </row>
    <row r="655" spans="1:74" x14ac:dyDescent="0.2">
      <c r="A655" t="s">
        <v>498</v>
      </c>
      <c r="B655" s="1">
        <v>2008</v>
      </c>
      <c r="C655" s="1">
        <v>6</v>
      </c>
      <c r="D655" s="1">
        <v>32</v>
      </c>
      <c r="E655" t="s">
        <v>9</v>
      </c>
      <c r="G655" s="1">
        <v>4</v>
      </c>
      <c r="H655" s="11" t="str">
        <f t="shared" si="43"/>
        <v>2008_06_032.gif</v>
      </c>
      <c r="I655"/>
      <c r="J655"/>
      <c r="L655" s="1" t="b">
        <v>0</v>
      </c>
      <c r="M655" s="1">
        <v>0</v>
      </c>
      <c r="N655" s="1" t="s">
        <v>601</v>
      </c>
      <c r="O655" s="1">
        <v>654</v>
      </c>
      <c r="P655" s="12" t="str">
        <f t="shared" si="45"/>
        <v>Doppler Effect</v>
      </c>
      <c r="Q655" s="1">
        <v>5142</v>
      </c>
      <c r="R655" s="1" t="str">
        <f t="shared" si="44"/>
        <v>2008_06</v>
      </c>
      <c r="T655" s="1"/>
      <c r="BH655" s="1">
        <v>1</v>
      </c>
    </row>
    <row r="656" spans="1:74" x14ac:dyDescent="0.2">
      <c r="A656" t="s">
        <v>499</v>
      </c>
      <c r="B656" s="1">
        <v>2008</v>
      </c>
      <c r="C656" s="1">
        <v>6</v>
      </c>
      <c r="D656" s="1">
        <v>33</v>
      </c>
      <c r="E656" t="s">
        <v>13</v>
      </c>
      <c r="G656" s="1">
        <v>2</v>
      </c>
      <c r="H656" s="11" t="str">
        <f t="shared" si="43"/>
        <v>2008_06_033.gif</v>
      </c>
      <c r="I656"/>
      <c r="J656"/>
      <c r="L656" s="1" t="b">
        <v>0</v>
      </c>
      <c r="M656" s="1">
        <v>0</v>
      </c>
      <c r="N656" s="1" t="s">
        <v>601</v>
      </c>
      <c r="O656" s="1">
        <v>655</v>
      </c>
      <c r="P656" s="12" t="str">
        <f t="shared" si="45"/>
        <v>Energy/Mass Equivalency</v>
      </c>
      <c r="Q656" s="1">
        <v>5143</v>
      </c>
      <c r="R656" s="1" t="str">
        <f t="shared" si="44"/>
        <v>2008_06</v>
      </c>
      <c r="T656" s="1"/>
      <c r="BV656" s="1">
        <v>1</v>
      </c>
    </row>
    <row r="657" spans="1:77" x14ac:dyDescent="0.2">
      <c r="A657" t="s">
        <v>500</v>
      </c>
      <c r="B657" s="1">
        <v>2008</v>
      </c>
      <c r="C657" s="1">
        <v>6</v>
      </c>
      <c r="D657" s="1">
        <v>34</v>
      </c>
      <c r="E657" t="s">
        <v>13</v>
      </c>
      <c r="G657" s="1">
        <v>4</v>
      </c>
      <c r="H657" s="11" t="str">
        <f t="shared" si="43"/>
        <v>2008_06_034.gif</v>
      </c>
      <c r="I657"/>
      <c r="J657"/>
      <c r="L657" s="1" t="b">
        <v>0</v>
      </c>
      <c r="M657" s="1">
        <v>0</v>
      </c>
      <c r="N657" s="1" t="s">
        <v>601</v>
      </c>
      <c r="O657" s="1">
        <v>656</v>
      </c>
      <c r="P657" s="12" t="str">
        <f t="shared" si="45"/>
        <v>Particle Physics</v>
      </c>
      <c r="Q657" s="1">
        <v>5144</v>
      </c>
      <c r="R657" s="1" t="str">
        <f t="shared" si="44"/>
        <v>2008_06</v>
      </c>
      <c r="T657" s="1"/>
      <c r="BW657" s="1">
        <v>1</v>
      </c>
    </row>
    <row r="658" spans="1:77" x14ac:dyDescent="0.2">
      <c r="A658" t="s">
        <v>501</v>
      </c>
      <c r="B658" s="1">
        <v>2008</v>
      </c>
      <c r="C658" s="1">
        <v>6</v>
      </c>
      <c r="D658" s="1">
        <v>35</v>
      </c>
      <c r="E658" t="s">
        <v>13</v>
      </c>
      <c r="G658" s="1">
        <v>4</v>
      </c>
      <c r="H658" s="11" t="str">
        <f t="shared" si="43"/>
        <v>2008_06_035.gif</v>
      </c>
      <c r="I658"/>
      <c r="J658"/>
      <c r="L658" s="1" t="b">
        <v>0</v>
      </c>
      <c r="M658" s="1">
        <v>0</v>
      </c>
      <c r="N658" s="1" t="s">
        <v>601</v>
      </c>
      <c r="O658" s="1">
        <v>657</v>
      </c>
      <c r="P658" s="12" t="str">
        <f t="shared" si="45"/>
        <v>Energy/Mass Equivalency</v>
      </c>
      <c r="Q658" s="1">
        <v>5145</v>
      </c>
      <c r="R658" s="1" t="str">
        <f t="shared" si="44"/>
        <v>2008_06</v>
      </c>
      <c r="T658" s="1"/>
      <c r="BV658" s="1">
        <v>1</v>
      </c>
    </row>
    <row r="659" spans="1:77" x14ac:dyDescent="0.2">
      <c r="A659" t="str">
        <f t="shared" ref="A659:A674" si="46">B659 &amp; "_" &amp; TEXT(C659,"00") &amp; "_" &amp; TEXT(D659,"000")</f>
        <v>2008_06_036</v>
      </c>
      <c r="B659" s="1">
        <v>2008</v>
      </c>
      <c r="C659" s="1">
        <v>6</v>
      </c>
      <c r="D659" s="1">
        <v>36</v>
      </c>
      <c r="E659" t="s">
        <v>1</v>
      </c>
      <c r="G659" s="1">
        <v>3</v>
      </c>
      <c r="H659" s="11" t="str">
        <f t="shared" si="43"/>
        <v>2008_06_036.gif</v>
      </c>
      <c r="I659"/>
      <c r="J659"/>
      <c r="L659" s="1" t="b">
        <v>0</v>
      </c>
      <c r="M659" s="1">
        <v>0</v>
      </c>
      <c r="N659" s="1" t="s">
        <v>657</v>
      </c>
      <c r="O659" s="1">
        <v>658</v>
      </c>
      <c r="P659" s="12" t="str">
        <f t="shared" si="45"/>
        <v>Estimation</v>
      </c>
      <c r="Q659" s="1">
        <v>5146</v>
      </c>
      <c r="R659" s="1" t="str">
        <f t="shared" si="44"/>
        <v>2008_06</v>
      </c>
      <c r="T659" s="1"/>
      <c r="U659" s="1">
        <v>1</v>
      </c>
    </row>
    <row r="660" spans="1:77" x14ac:dyDescent="0.2">
      <c r="A660" t="str">
        <f t="shared" si="46"/>
        <v>2008_06_037</v>
      </c>
      <c r="B660" s="1">
        <v>2008</v>
      </c>
      <c r="C660" s="1">
        <v>6</v>
      </c>
      <c r="D660" s="1">
        <v>37</v>
      </c>
      <c r="E660" t="s">
        <v>2</v>
      </c>
      <c r="G660" s="1">
        <v>4</v>
      </c>
      <c r="H660" s="11" t="str">
        <f t="shared" si="43"/>
        <v>2008_06_037.gif</v>
      </c>
      <c r="I660"/>
      <c r="J660"/>
      <c r="L660" s="1" t="b">
        <v>0</v>
      </c>
      <c r="M660" s="1">
        <v>0</v>
      </c>
      <c r="N660" s="1" t="s">
        <v>657</v>
      </c>
      <c r="O660" s="1">
        <v>659</v>
      </c>
      <c r="P660" s="12" t="str">
        <f t="shared" si="45"/>
        <v>DT/VT Graphs</v>
      </c>
      <c r="Q660" s="1">
        <v>5147</v>
      </c>
      <c r="R660" s="1" t="str">
        <f t="shared" si="44"/>
        <v>2008_06</v>
      </c>
      <c r="T660" s="1"/>
      <c r="W660" s="1">
        <v>1</v>
      </c>
    </row>
    <row r="661" spans="1:77" x14ac:dyDescent="0.2">
      <c r="A661" t="str">
        <f t="shared" si="46"/>
        <v>2008_06_038</v>
      </c>
      <c r="B661" s="1">
        <v>2008</v>
      </c>
      <c r="C661" s="1">
        <v>6</v>
      </c>
      <c r="D661" s="1">
        <v>38</v>
      </c>
      <c r="E661" t="s">
        <v>5</v>
      </c>
      <c r="G661" s="1">
        <v>3</v>
      </c>
      <c r="H661" s="11" t="str">
        <f t="shared" si="43"/>
        <v>2008_06_038.gif</v>
      </c>
      <c r="I661"/>
      <c r="J661"/>
      <c r="L661" s="1" t="b">
        <v>0</v>
      </c>
      <c r="M661" s="1">
        <v>0</v>
      </c>
      <c r="N661" s="1" t="s">
        <v>657</v>
      </c>
      <c r="O661" s="1">
        <v>660</v>
      </c>
      <c r="P661" s="12" t="str">
        <f t="shared" si="45"/>
        <v>Law of Gravity</v>
      </c>
      <c r="Q661" s="1">
        <v>5148</v>
      </c>
      <c r="R661" s="1" t="str">
        <f t="shared" si="44"/>
        <v>2008_06</v>
      </c>
      <c r="T661" s="1"/>
      <c r="AQ661" s="1">
        <v>1</v>
      </c>
    </row>
    <row r="662" spans="1:77" x14ac:dyDescent="0.2">
      <c r="A662" t="str">
        <f t="shared" si="46"/>
        <v>2008_06_039</v>
      </c>
      <c r="B662" s="1">
        <v>2008</v>
      </c>
      <c r="C662" s="1">
        <v>6</v>
      </c>
      <c r="D662" s="1">
        <v>39</v>
      </c>
      <c r="E662" t="s">
        <v>5</v>
      </c>
      <c r="G662" s="1">
        <v>2</v>
      </c>
      <c r="H662" s="11" t="str">
        <f t="shared" si="43"/>
        <v>2008_06_039.gif</v>
      </c>
      <c r="I662"/>
      <c r="J662"/>
      <c r="L662" s="1" t="b">
        <v>0</v>
      </c>
      <c r="M662" s="1">
        <v>0</v>
      </c>
      <c r="N662" s="1" t="s">
        <v>657</v>
      </c>
      <c r="O662" s="1">
        <v>661</v>
      </c>
      <c r="P662" s="12" t="str">
        <f t="shared" si="45"/>
        <v>Inclined Plane,Newton's 2nd Law (F=MA)</v>
      </c>
      <c r="Q662" s="1">
        <v>5149</v>
      </c>
      <c r="R662" s="1" t="str">
        <f t="shared" si="44"/>
        <v>2008_06</v>
      </c>
      <c r="T662" s="1"/>
      <c r="AO662" s="1">
        <v>1</v>
      </c>
      <c r="AS662" s="1">
        <v>1</v>
      </c>
    </row>
    <row r="663" spans="1:77" x14ac:dyDescent="0.2">
      <c r="A663" t="str">
        <f t="shared" si="46"/>
        <v>2008_06_040</v>
      </c>
      <c r="B663" s="1">
        <v>2008</v>
      </c>
      <c r="C663" s="1">
        <v>6</v>
      </c>
      <c r="D663" s="1">
        <v>40</v>
      </c>
      <c r="E663" t="s">
        <v>5</v>
      </c>
      <c r="G663" s="1">
        <v>1</v>
      </c>
      <c r="H663" s="11" t="str">
        <f t="shared" si="43"/>
        <v>2008_06_040.gif</v>
      </c>
      <c r="I663"/>
      <c r="J663"/>
      <c r="L663" s="1" t="b">
        <v>0</v>
      </c>
      <c r="M663" s="1">
        <v>0</v>
      </c>
      <c r="N663" s="1" t="s">
        <v>657</v>
      </c>
      <c r="O663" s="1">
        <v>662</v>
      </c>
      <c r="P663" s="12" t="str">
        <f t="shared" si="45"/>
        <v>Newton's 2nd Law (F=MA)</v>
      </c>
      <c r="Q663" s="1">
        <v>5150</v>
      </c>
      <c r="R663" s="1" t="str">
        <f t="shared" si="44"/>
        <v>2008_06</v>
      </c>
      <c r="T663" s="1"/>
      <c r="AS663" s="1">
        <v>1</v>
      </c>
    </row>
    <row r="664" spans="1:77" x14ac:dyDescent="0.2">
      <c r="A664" t="str">
        <f t="shared" si="46"/>
        <v>2008_06_041</v>
      </c>
      <c r="B664" s="1">
        <v>2008</v>
      </c>
      <c r="C664" s="1">
        <v>6</v>
      </c>
      <c r="D664" s="1">
        <v>41</v>
      </c>
      <c r="E664" t="s">
        <v>3</v>
      </c>
      <c r="G664" s="1">
        <v>3</v>
      </c>
      <c r="H664" s="11" t="str">
        <f t="shared" si="43"/>
        <v>2008_06_041.gif</v>
      </c>
      <c r="I664"/>
      <c r="J664"/>
      <c r="L664" s="1" t="b">
        <v>0</v>
      </c>
      <c r="M664" s="1">
        <v>0</v>
      </c>
      <c r="N664" s="1" t="s">
        <v>657</v>
      </c>
      <c r="O664" s="1">
        <v>663</v>
      </c>
      <c r="P664" s="12" t="str">
        <f t="shared" si="45"/>
        <v>Adding Vectors</v>
      </c>
      <c r="Q664" s="1">
        <v>5151</v>
      </c>
      <c r="R664" s="1" t="str">
        <f t="shared" si="44"/>
        <v>2008_06</v>
      </c>
      <c r="T664" s="1"/>
      <c r="AD664" s="1">
        <v>1</v>
      </c>
    </row>
    <row r="665" spans="1:77" x14ac:dyDescent="0.2">
      <c r="A665" t="str">
        <f t="shared" si="46"/>
        <v>2008_06_042</v>
      </c>
      <c r="B665" s="1">
        <v>2008</v>
      </c>
      <c r="C665" s="1">
        <v>6</v>
      </c>
      <c r="D665" s="1">
        <v>42</v>
      </c>
      <c r="E665" t="s">
        <v>4</v>
      </c>
      <c r="F665" t="s">
        <v>548</v>
      </c>
      <c r="G665" s="1">
        <v>2</v>
      </c>
      <c r="H665" s="11" t="str">
        <f t="shared" si="43"/>
        <v>2008_06_042.gif</v>
      </c>
      <c r="I665"/>
      <c r="J665"/>
      <c r="L665" s="1" t="b">
        <v>0</v>
      </c>
      <c r="M665" s="1">
        <v>0</v>
      </c>
      <c r="N665" s="1" t="s">
        <v>657</v>
      </c>
      <c r="O665" s="1">
        <v>664</v>
      </c>
      <c r="P665" s="12" t="str">
        <f t="shared" si="45"/>
        <v>Centripetal Motion - Calculation,Graph Interpretation</v>
      </c>
      <c r="Q665" s="1">
        <v>5152</v>
      </c>
      <c r="R665" s="1" t="str">
        <f t="shared" si="44"/>
        <v>2008_06</v>
      </c>
      <c r="T665" s="1"/>
      <c r="AM665" s="1">
        <v>1</v>
      </c>
      <c r="BX665" s="1">
        <v>1</v>
      </c>
    </row>
    <row r="666" spans="1:77" x14ac:dyDescent="0.2">
      <c r="A666" t="str">
        <f t="shared" si="46"/>
        <v>2008_06_043</v>
      </c>
      <c r="B666" s="1">
        <v>2008</v>
      </c>
      <c r="C666" s="1">
        <v>6</v>
      </c>
      <c r="D666" s="1">
        <v>43</v>
      </c>
      <c r="E666" t="s">
        <v>6</v>
      </c>
      <c r="F666" t="s">
        <v>548</v>
      </c>
      <c r="G666" s="1">
        <v>4</v>
      </c>
      <c r="H666" s="11" t="str">
        <f t="shared" si="43"/>
        <v>2008_06_043.gif</v>
      </c>
      <c r="I666"/>
      <c r="J666"/>
      <c r="L666" s="1" t="b">
        <v>0</v>
      </c>
      <c r="M666" s="1">
        <v>0</v>
      </c>
      <c r="N666" s="1" t="s">
        <v>657</v>
      </c>
      <c r="O666" s="1">
        <v>665</v>
      </c>
      <c r="P666" s="12" t="str">
        <f t="shared" si="45"/>
        <v>Conservation of Momentum,Mathematical Relationships (Numberless Problems)</v>
      </c>
      <c r="Q666" s="1">
        <v>5153</v>
      </c>
      <c r="R666" s="1" t="str">
        <f t="shared" si="44"/>
        <v>2008_06</v>
      </c>
      <c r="T666" s="1"/>
      <c r="AU666" s="1">
        <v>1</v>
      </c>
      <c r="BY666" s="1">
        <v>1</v>
      </c>
    </row>
    <row r="667" spans="1:77" x14ac:dyDescent="0.2">
      <c r="A667" t="str">
        <f t="shared" si="46"/>
        <v>2008_06_044</v>
      </c>
      <c r="B667" s="1">
        <v>2008</v>
      </c>
      <c r="C667" s="1">
        <v>6</v>
      </c>
      <c r="D667" s="1">
        <v>44</v>
      </c>
      <c r="E667" t="s">
        <v>1</v>
      </c>
      <c r="G667" s="1">
        <v>4</v>
      </c>
      <c r="H667" s="11" t="str">
        <f t="shared" si="43"/>
        <v>2008_06_044.gif</v>
      </c>
      <c r="I667"/>
      <c r="J667"/>
      <c r="L667" s="1" t="b">
        <v>0</v>
      </c>
      <c r="M667" s="1">
        <v>0</v>
      </c>
      <c r="N667" s="1" t="s">
        <v>657</v>
      </c>
      <c r="O667" s="1">
        <v>666</v>
      </c>
      <c r="P667" s="12" t="str">
        <f t="shared" si="45"/>
        <v>Units</v>
      </c>
      <c r="Q667" s="1">
        <v>5154</v>
      </c>
      <c r="R667" s="1" t="str">
        <f t="shared" si="44"/>
        <v>2008_06</v>
      </c>
      <c r="T667" s="1"/>
      <c r="V667" s="1">
        <v>1</v>
      </c>
    </row>
    <row r="668" spans="1:77" x14ac:dyDescent="0.2">
      <c r="A668" t="str">
        <f t="shared" si="46"/>
        <v>2008_06_045</v>
      </c>
      <c r="B668" s="1">
        <v>2008</v>
      </c>
      <c r="C668" s="1">
        <v>6</v>
      </c>
      <c r="D668" s="1">
        <v>45</v>
      </c>
      <c r="E668" t="s">
        <v>7</v>
      </c>
      <c r="F668" t="s">
        <v>548</v>
      </c>
      <c r="G668" s="1">
        <v>1</v>
      </c>
      <c r="H668" s="11" t="str">
        <f t="shared" si="43"/>
        <v>2008_06_045.gif</v>
      </c>
      <c r="I668"/>
      <c r="J668"/>
      <c r="L668" s="1" t="b">
        <v>0</v>
      </c>
      <c r="M668" s="1">
        <v>0</v>
      </c>
      <c r="N668" s="1" t="s">
        <v>657</v>
      </c>
      <c r="O668" s="1">
        <v>667</v>
      </c>
      <c r="P668" s="12" t="str">
        <f t="shared" si="45"/>
        <v>Gravitational PE,Graph Interpretation</v>
      </c>
      <c r="Q668" s="1">
        <v>5155</v>
      </c>
      <c r="R668" s="1" t="str">
        <f t="shared" si="44"/>
        <v>2008_06</v>
      </c>
      <c r="T668" s="1"/>
      <c r="AY668" s="1">
        <v>1</v>
      </c>
      <c r="BX668" s="1">
        <v>1</v>
      </c>
    </row>
    <row r="669" spans="1:77" x14ac:dyDescent="0.2">
      <c r="A669" t="str">
        <f t="shared" si="46"/>
        <v>2008_06_046</v>
      </c>
      <c r="B669" s="1">
        <v>2008</v>
      </c>
      <c r="C669" s="1">
        <v>6</v>
      </c>
      <c r="D669" s="1">
        <v>46</v>
      </c>
      <c r="E669" t="s">
        <v>11</v>
      </c>
      <c r="G669" s="1">
        <v>3</v>
      </c>
      <c r="H669" s="11" t="str">
        <f t="shared" si="43"/>
        <v>2008_06_046.gif</v>
      </c>
      <c r="I669"/>
      <c r="J669"/>
      <c r="L669" s="1" t="b">
        <v>0</v>
      </c>
      <c r="M669" s="1">
        <v>0</v>
      </c>
      <c r="N669" s="1" t="s">
        <v>657</v>
      </c>
      <c r="O669" s="1">
        <v>668</v>
      </c>
      <c r="P669" s="12" t="str">
        <f t="shared" si="45"/>
        <v>Electrical Definitions</v>
      </c>
      <c r="Q669" s="1">
        <v>5156</v>
      </c>
      <c r="R669" s="1" t="str">
        <f t="shared" si="44"/>
        <v>2008_06</v>
      </c>
      <c r="T669" s="1"/>
      <c r="BO669" s="1">
        <v>1</v>
      </c>
    </row>
    <row r="670" spans="1:77" x14ac:dyDescent="0.2">
      <c r="A670" t="str">
        <f t="shared" si="46"/>
        <v>2008_06_047</v>
      </c>
      <c r="B670" s="1">
        <v>2008</v>
      </c>
      <c r="C670" s="1">
        <v>6</v>
      </c>
      <c r="D670" s="1">
        <v>47</v>
      </c>
      <c r="E670" t="s">
        <v>11</v>
      </c>
      <c r="G670" s="1">
        <v>1</v>
      </c>
      <c r="H670" s="11" t="str">
        <f t="shared" si="43"/>
        <v>2008_06_047.gif</v>
      </c>
      <c r="I670"/>
      <c r="J670"/>
      <c r="L670" s="1" t="b">
        <v>0</v>
      </c>
      <c r="M670" s="1">
        <v>0</v>
      </c>
      <c r="N670" s="1" t="s">
        <v>657</v>
      </c>
      <c r="O670" s="1">
        <v>669</v>
      </c>
      <c r="P670" s="12" t="str">
        <f t="shared" si="45"/>
        <v>Electrical Power</v>
      </c>
      <c r="Q670" s="1">
        <v>5157</v>
      </c>
      <c r="R670" s="1" t="str">
        <f t="shared" si="44"/>
        <v>2008_06</v>
      </c>
      <c r="T670" s="1"/>
      <c r="BP670" s="1">
        <v>1</v>
      </c>
    </row>
    <row r="671" spans="1:77" x14ac:dyDescent="0.2">
      <c r="A671" t="str">
        <f t="shared" si="46"/>
        <v>2008_06_048</v>
      </c>
      <c r="B671" s="1">
        <v>2008</v>
      </c>
      <c r="C671" s="1">
        <v>6</v>
      </c>
      <c r="D671" s="1">
        <v>48</v>
      </c>
      <c r="E671" t="s">
        <v>8</v>
      </c>
      <c r="G671" s="1">
        <v>2</v>
      </c>
      <c r="H671" s="11" t="str">
        <f t="shared" si="43"/>
        <v>2008_06_048.gif</v>
      </c>
      <c r="I671"/>
      <c r="J671"/>
      <c r="L671" s="1" t="b">
        <v>0</v>
      </c>
      <c r="M671" s="1">
        <v>0</v>
      </c>
      <c r="N671" s="1" t="s">
        <v>657</v>
      </c>
      <c r="O671" s="1">
        <v>670</v>
      </c>
      <c r="P671" s="12" t="str">
        <f t="shared" si="45"/>
        <v>Wave Vocabulary</v>
      </c>
      <c r="Q671" s="1">
        <v>5158</v>
      </c>
      <c r="R671" s="1" t="str">
        <f t="shared" si="44"/>
        <v>2008_06</v>
      </c>
      <c r="T671" s="1"/>
      <c r="BF671" s="1">
        <v>1</v>
      </c>
    </row>
    <row r="672" spans="1:77" x14ac:dyDescent="0.2">
      <c r="A672" t="str">
        <f t="shared" si="46"/>
        <v>2008_06_049</v>
      </c>
      <c r="B672" s="1">
        <v>2008</v>
      </c>
      <c r="C672" s="1">
        <v>6</v>
      </c>
      <c r="D672" s="1">
        <v>49</v>
      </c>
      <c r="E672" t="s">
        <v>13</v>
      </c>
      <c r="G672" s="1">
        <v>3</v>
      </c>
      <c r="H672" s="11" t="str">
        <f t="shared" si="43"/>
        <v>2008_06_049.gif</v>
      </c>
      <c r="I672"/>
      <c r="J672"/>
      <c r="L672" s="1" t="b">
        <v>0</v>
      </c>
      <c r="M672" s="1">
        <v>0</v>
      </c>
      <c r="N672" s="1" t="s">
        <v>657</v>
      </c>
      <c r="O672" s="1">
        <v>671</v>
      </c>
      <c r="P672" s="12" t="str">
        <f t="shared" si="45"/>
        <v>Energy/Frequency of Photon</v>
      </c>
      <c r="Q672" s="1">
        <v>5159</v>
      </c>
      <c r="R672" s="1" t="str">
        <f t="shared" si="44"/>
        <v>2008_06</v>
      </c>
      <c r="T672" s="1"/>
      <c r="BU672" s="1">
        <v>1</v>
      </c>
    </row>
    <row r="673" spans="1:77" x14ac:dyDescent="0.2">
      <c r="A673" t="str">
        <f t="shared" si="46"/>
        <v>2008_06_050</v>
      </c>
      <c r="B673" s="1">
        <v>2008</v>
      </c>
      <c r="C673" s="1">
        <v>6</v>
      </c>
      <c r="D673" s="1">
        <v>50</v>
      </c>
      <c r="E673" t="s">
        <v>13</v>
      </c>
      <c r="G673" s="1">
        <v>4</v>
      </c>
      <c r="H673" s="11" t="str">
        <f t="shared" si="43"/>
        <v>2008_06_050.gif</v>
      </c>
      <c r="I673"/>
      <c r="J673"/>
      <c r="L673" s="1" t="b">
        <v>0</v>
      </c>
      <c r="M673" s="1">
        <v>0</v>
      </c>
      <c r="N673" s="1" t="s">
        <v>657</v>
      </c>
      <c r="O673" s="1">
        <v>672</v>
      </c>
      <c r="P673" s="12" t="str">
        <f t="shared" si="45"/>
        <v>Particle Physics</v>
      </c>
      <c r="Q673" s="1">
        <v>5160</v>
      </c>
      <c r="R673" s="1" t="str">
        <f t="shared" si="44"/>
        <v>2008_06</v>
      </c>
      <c r="T673" s="1"/>
      <c r="BW673" s="1">
        <v>1</v>
      </c>
    </row>
    <row r="674" spans="1:77" x14ac:dyDescent="0.2">
      <c r="A674" t="str">
        <f t="shared" si="46"/>
        <v>2008_06_051</v>
      </c>
      <c r="B674" s="1">
        <v>2008</v>
      </c>
      <c r="C674" s="1">
        <v>6</v>
      </c>
      <c r="D674" s="1">
        <v>51</v>
      </c>
      <c r="E674" t="s">
        <v>13</v>
      </c>
      <c r="G674" s="1">
        <v>2</v>
      </c>
      <c r="H674" s="11" t="str">
        <f t="shared" si="43"/>
        <v>2008_06_051.gif</v>
      </c>
      <c r="I674"/>
      <c r="J674"/>
      <c r="L674" s="1" t="b">
        <v>0</v>
      </c>
      <c r="M674" s="1">
        <v>0</v>
      </c>
      <c r="N674" s="1" t="s">
        <v>657</v>
      </c>
      <c r="O674" s="1">
        <v>673</v>
      </c>
      <c r="P674" s="12" t="str">
        <f t="shared" si="45"/>
        <v>Particle Physics</v>
      </c>
      <c r="Q674" s="1">
        <v>5161</v>
      </c>
      <c r="R674" s="1" t="str">
        <f t="shared" si="44"/>
        <v>2008_06</v>
      </c>
      <c r="T674" s="1"/>
      <c r="BW674" s="1">
        <v>1</v>
      </c>
    </row>
    <row r="675" spans="1:77" x14ac:dyDescent="0.2">
      <c r="A675" t="s">
        <v>502</v>
      </c>
      <c r="B675" s="1">
        <v>2009</v>
      </c>
      <c r="C675" s="1">
        <v>1</v>
      </c>
      <c r="D675" s="1">
        <v>1</v>
      </c>
      <c r="E675" s="19" t="s">
        <v>5</v>
      </c>
      <c r="G675" s="1">
        <v>4</v>
      </c>
      <c r="H675" s="11" t="str">
        <f t="shared" si="43"/>
        <v>2009_01_001.gif</v>
      </c>
      <c r="I675"/>
      <c r="J675"/>
      <c r="L675" s="1" t="b">
        <v>0</v>
      </c>
      <c r="M675" s="1">
        <v>0</v>
      </c>
      <c r="N675" s="1" t="s">
        <v>601</v>
      </c>
      <c r="O675" s="1">
        <v>674</v>
      </c>
      <c r="P675" s="12" t="str">
        <f t="shared" si="45"/>
        <v>Newton's 2nd Law (F=MA)</v>
      </c>
      <c r="Q675" s="1">
        <v>5187</v>
      </c>
      <c r="R675" s="1" t="str">
        <f t="shared" si="44"/>
        <v>2009_01</v>
      </c>
      <c r="T675" s="1"/>
      <c r="AS675" s="1">
        <v>1</v>
      </c>
    </row>
    <row r="676" spans="1:77" x14ac:dyDescent="0.2">
      <c r="A676" t="s">
        <v>503</v>
      </c>
      <c r="B676" s="1">
        <v>2009</v>
      </c>
      <c r="C676" s="1">
        <v>1</v>
      </c>
      <c r="D676" s="1">
        <v>2</v>
      </c>
      <c r="E676" t="s">
        <v>5</v>
      </c>
      <c r="G676" s="1">
        <v>2</v>
      </c>
      <c r="H676" s="11" t="str">
        <f t="shared" si="43"/>
        <v>2009_01_002.gif</v>
      </c>
      <c r="I676"/>
      <c r="J676"/>
      <c r="L676" s="1" t="b">
        <v>0</v>
      </c>
      <c r="M676" s="1">
        <v>0</v>
      </c>
      <c r="N676" s="1" t="s">
        <v>601</v>
      </c>
      <c r="O676" s="1">
        <v>675</v>
      </c>
      <c r="P676" s="12" t="str">
        <f t="shared" si="45"/>
        <v>Hooke's Law</v>
      </c>
      <c r="Q676" s="1">
        <v>5188</v>
      </c>
      <c r="R676" s="1" t="str">
        <f t="shared" si="44"/>
        <v>2009_01</v>
      </c>
      <c r="T676" s="1"/>
      <c r="AP676" s="1">
        <v>1</v>
      </c>
    </row>
    <row r="677" spans="1:77" x14ac:dyDescent="0.2">
      <c r="A677" t="s">
        <v>504</v>
      </c>
      <c r="B677" s="1">
        <v>2009</v>
      </c>
      <c r="C677" s="1">
        <v>1</v>
      </c>
      <c r="D677" s="1">
        <v>3</v>
      </c>
      <c r="E677" t="s">
        <v>5</v>
      </c>
      <c r="G677" s="1">
        <v>3</v>
      </c>
      <c r="H677" s="11" t="str">
        <f t="shared" si="43"/>
        <v>2009_01_003.gif</v>
      </c>
      <c r="I677"/>
      <c r="J677"/>
      <c r="L677" s="1" t="b">
        <v>0</v>
      </c>
      <c r="M677" s="1">
        <v>0</v>
      </c>
      <c r="N677" s="1" t="s">
        <v>601</v>
      </c>
      <c r="O677" s="1">
        <v>676</v>
      </c>
      <c r="P677" s="12" t="str">
        <f t="shared" si="45"/>
        <v>Weight and Mass</v>
      </c>
      <c r="Q677" s="1">
        <v>5189</v>
      </c>
      <c r="R677" s="1" t="str">
        <f t="shared" si="44"/>
        <v>2009_01</v>
      </c>
      <c r="T677" s="1"/>
      <c r="AT677" s="1">
        <v>1</v>
      </c>
    </row>
    <row r="678" spans="1:77" x14ac:dyDescent="0.2">
      <c r="A678" t="s">
        <v>505</v>
      </c>
      <c r="B678" s="1">
        <v>2009</v>
      </c>
      <c r="C678" s="1">
        <v>1</v>
      </c>
      <c r="D678" s="1">
        <v>4</v>
      </c>
      <c r="E678" t="s">
        <v>2</v>
      </c>
      <c r="G678" s="1">
        <v>1</v>
      </c>
      <c r="H678" s="11" t="str">
        <f t="shared" si="43"/>
        <v>2009_01_004.gif</v>
      </c>
      <c r="I678"/>
      <c r="J678"/>
      <c r="L678" s="1" t="b">
        <v>0</v>
      </c>
      <c r="M678" s="1">
        <v>0</v>
      </c>
      <c r="N678" s="1" t="s">
        <v>601</v>
      </c>
      <c r="O678" s="1">
        <v>677</v>
      </c>
      <c r="P678" s="12" t="str">
        <f t="shared" si="45"/>
        <v>Basic Motion Concepts</v>
      </c>
      <c r="Q678" s="1">
        <v>5190</v>
      </c>
      <c r="R678" s="1" t="str">
        <f t="shared" si="44"/>
        <v>2009_01</v>
      </c>
      <c r="T678" s="1"/>
      <c r="Z678" s="1">
        <v>1</v>
      </c>
    </row>
    <row r="679" spans="1:77" x14ac:dyDescent="0.2">
      <c r="A679" t="s">
        <v>506</v>
      </c>
      <c r="B679" s="1">
        <v>2009</v>
      </c>
      <c r="C679" s="1">
        <v>1</v>
      </c>
      <c r="D679" s="1">
        <v>5</v>
      </c>
      <c r="E679" t="s">
        <v>2</v>
      </c>
      <c r="G679" s="1">
        <v>3</v>
      </c>
      <c r="H679" s="11" t="str">
        <f t="shared" si="43"/>
        <v>2009_01_005.gif</v>
      </c>
      <c r="I679"/>
      <c r="J679"/>
      <c r="L679" s="1" t="b">
        <v>0</v>
      </c>
      <c r="M679" s="1">
        <v>0</v>
      </c>
      <c r="N679" s="1" t="s">
        <v>601</v>
      </c>
      <c r="O679" s="1">
        <v>678</v>
      </c>
      <c r="P679" s="12" t="str">
        <f t="shared" si="45"/>
        <v>Vertical Constant Acceleration Problems</v>
      </c>
      <c r="Q679" s="1">
        <v>5191</v>
      </c>
      <c r="R679" s="1" t="str">
        <f t="shared" si="44"/>
        <v>2009_01</v>
      </c>
      <c r="T679" s="1"/>
      <c r="AC679" s="1">
        <v>1</v>
      </c>
    </row>
    <row r="680" spans="1:77" x14ac:dyDescent="0.2">
      <c r="A680" t="s">
        <v>507</v>
      </c>
      <c r="B680" s="1">
        <v>2009</v>
      </c>
      <c r="C680" s="1">
        <v>1</v>
      </c>
      <c r="D680" s="1">
        <v>6</v>
      </c>
      <c r="E680" t="s">
        <v>5</v>
      </c>
      <c r="G680" s="1">
        <v>3</v>
      </c>
      <c r="H680" s="11" t="str">
        <f t="shared" si="43"/>
        <v>2009_01_006.gif</v>
      </c>
      <c r="I680"/>
      <c r="J680"/>
      <c r="L680" s="1" t="b">
        <v>0</v>
      </c>
      <c r="M680" s="1">
        <v>0</v>
      </c>
      <c r="N680" s="1" t="s">
        <v>601</v>
      </c>
      <c r="O680" s="1">
        <v>679</v>
      </c>
      <c r="P680" s="12" t="str">
        <f t="shared" si="45"/>
        <v>Newton's 1st Law (Inertia)</v>
      </c>
      <c r="Q680" s="1">
        <v>5192</v>
      </c>
      <c r="R680" s="1" t="str">
        <f t="shared" si="44"/>
        <v>2009_01</v>
      </c>
      <c r="T680" s="1"/>
      <c r="AR680" s="1">
        <v>1</v>
      </c>
    </row>
    <row r="681" spans="1:77" x14ac:dyDescent="0.2">
      <c r="A681" t="s">
        <v>508</v>
      </c>
      <c r="B681" s="1">
        <v>2009</v>
      </c>
      <c r="C681" s="1">
        <v>1</v>
      </c>
      <c r="D681" s="1">
        <v>7</v>
      </c>
      <c r="E681" t="s">
        <v>4</v>
      </c>
      <c r="F681" t="s">
        <v>548</v>
      </c>
      <c r="G681" s="1">
        <v>4</v>
      </c>
      <c r="H681" s="11" t="str">
        <f t="shared" si="43"/>
        <v>2009_01_007.gif</v>
      </c>
      <c r="I681"/>
      <c r="J681"/>
      <c r="L681" s="1" t="b">
        <v>0</v>
      </c>
      <c r="M681" s="1">
        <v>0</v>
      </c>
      <c r="N681" s="1" t="s">
        <v>601</v>
      </c>
      <c r="O681" s="1">
        <v>680</v>
      </c>
      <c r="P681" s="12" t="str">
        <f t="shared" si="45"/>
        <v>Centripetal Motion - Calculation,Mathematical Relationships (Numberless Problems)</v>
      </c>
      <c r="Q681" s="1">
        <v>5193</v>
      </c>
      <c r="R681" s="1" t="str">
        <f t="shared" si="44"/>
        <v>2009_01</v>
      </c>
      <c r="T681" s="1"/>
      <c r="AM681" s="1">
        <v>1</v>
      </c>
      <c r="BY681" s="1">
        <v>1</v>
      </c>
    </row>
    <row r="682" spans="1:77" x14ac:dyDescent="0.2">
      <c r="A682" t="s">
        <v>509</v>
      </c>
      <c r="B682" s="1">
        <v>2009</v>
      </c>
      <c r="C682" s="1">
        <v>1</v>
      </c>
      <c r="D682" s="1">
        <v>8</v>
      </c>
      <c r="E682" t="s">
        <v>4</v>
      </c>
      <c r="F682" t="s">
        <v>3</v>
      </c>
      <c r="G682" s="1">
        <v>3</v>
      </c>
      <c r="H682" s="11" t="str">
        <f t="shared" si="43"/>
        <v>2009_01_008.gif</v>
      </c>
      <c r="I682"/>
      <c r="J682"/>
      <c r="L682" s="1" t="b">
        <v>0</v>
      </c>
      <c r="M682" s="1">
        <v>0</v>
      </c>
      <c r="N682" s="1" t="s">
        <v>601</v>
      </c>
      <c r="O682" s="1">
        <v>681</v>
      </c>
      <c r="P682" s="12" t="str">
        <f t="shared" si="45"/>
        <v>Vector Components,Horizontal Projectile Range</v>
      </c>
      <c r="Q682" s="1">
        <v>5194</v>
      </c>
      <c r="R682" s="1" t="str">
        <f t="shared" si="44"/>
        <v>2009_01</v>
      </c>
      <c r="T682" s="1"/>
      <c r="AE682" s="1">
        <v>1</v>
      </c>
      <c r="AI682" s="1">
        <v>1</v>
      </c>
    </row>
    <row r="683" spans="1:77" x14ac:dyDescent="0.2">
      <c r="A683" t="s">
        <v>510</v>
      </c>
      <c r="B683" s="1">
        <v>2009</v>
      </c>
      <c r="C683" s="1">
        <v>1</v>
      </c>
      <c r="D683" s="1">
        <v>9</v>
      </c>
      <c r="E683" t="s">
        <v>7</v>
      </c>
      <c r="G683" s="1">
        <v>2</v>
      </c>
      <c r="H683" s="11" t="str">
        <f t="shared" si="43"/>
        <v>2009_01_009.gif</v>
      </c>
      <c r="I683"/>
      <c r="J683"/>
      <c r="L683" s="1" t="b">
        <v>0</v>
      </c>
      <c r="M683" s="1">
        <v>0</v>
      </c>
      <c r="N683" s="1" t="s">
        <v>601</v>
      </c>
      <c r="O683" s="1">
        <v>682</v>
      </c>
      <c r="P683" s="12" t="str">
        <f t="shared" si="45"/>
        <v>Work/Power</v>
      </c>
      <c r="Q683" s="1">
        <v>5195</v>
      </c>
      <c r="R683" s="1" t="str">
        <f t="shared" si="44"/>
        <v>2009_01</v>
      </c>
      <c r="T683" s="1"/>
      <c r="BB683" s="1">
        <v>1</v>
      </c>
    </row>
    <row r="684" spans="1:77" x14ac:dyDescent="0.2">
      <c r="A684" t="s">
        <v>511</v>
      </c>
      <c r="B684" s="1">
        <v>2009</v>
      </c>
      <c r="C684" s="1">
        <v>1</v>
      </c>
      <c r="D684" s="1">
        <v>10</v>
      </c>
      <c r="E684" t="s">
        <v>7</v>
      </c>
      <c r="F684" t="s">
        <v>548</v>
      </c>
      <c r="G684" s="1">
        <v>4</v>
      </c>
      <c r="H684" s="11" t="str">
        <f t="shared" si="43"/>
        <v>2009_01_010.gif</v>
      </c>
      <c r="I684"/>
      <c r="J684"/>
      <c r="L684" s="1" t="b">
        <v>0</v>
      </c>
      <c r="M684" s="1">
        <v>0</v>
      </c>
      <c r="N684" s="1" t="s">
        <v>601</v>
      </c>
      <c r="O684" s="1">
        <v>683</v>
      </c>
      <c r="P684" s="12" t="str">
        <f t="shared" si="45"/>
        <v>Kinetic Energy,Mathematical Relationships (Numberless Problems)</v>
      </c>
      <c r="Q684" s="1">
        <v>5196</v>
      </c>
      <c r="R684" s="1" t="str">
        <f t="shared" si="44"/>
        <v>2009_01</v>
      </c>
      <c r="T684" s="1"/>
      <c r="AZ684" s="1">
        <v>1</v>
      </c>
      <c r="BY684" s="1">
        <v>1</v>
      </c>
    </row>
    <row r="685" spans="1:77" x14ac:dyDescent="0.2">
      <c r="A685" t="s">
        <v>512</v>
      </c>
      <c r="B685" s="1">
        <v>2009</v>
      </c>
      <c r="C685" s="1">
        <v>1</v>
      </c>
      <c r="D685" s="1">
        <v>11</v>
      </c>
      <c r="E685" t="s">
        <v>5</v>
      </c>
      <c r="G685" s="1">
        <v>1</v>
      </c>
      <c r="H685" s="11" t="str">
        <f t="shared" si="43"/>
        <v>2009_01_011.gif</v>
      </c>
      <c r="I685"/>
      <c r="J685"/>
      <c r="L685" s="1" t="b">
        <v>0</v>
      </c>
      <c r="M685" s="1">
        <v>0</v>
      </c>
      <c r="N685" s="1" t="s">
        <v>601</v>
      </c>
      <c r="O685" s="1">
        <v>684</v>
      </c>
      <c r="P685" s="12" t="str">
        <f t="shared" si="45"/>
        <v>Friction</v>
      </c>
      <c r="Q685" s="1">
        <v>5197</v>
      </c>
      <c r="R685" s="1" t="str">
        <f t="shared" si="44"/>
        <v>2009_01</v>
      </c>
      <c r="T685" s="1"/>
      <c r="AN685" s="1">
        <v>1</v>
      </c>
    </row>
    <row r="686" spans="1:77" x14ac:dyDescent="0.2">
      <c r="A686" t="s">
        <v>513</v>
      </c>
      <c r="B686" s="1">
        <v>2009</v>
      </c>
      <c r="C686" s="1">
        <v>1</v>
      </c>
      <c r="D686" s="1">
        <v>12</v>
      </c>
      <c r="E686" t="s">
        <v>7</v>
      </c>
      <c r="G686" s="1">
        <v>1</v>
      </c>
      <c r="H686" s="11" t="str">
        <f t="shared" si="43"/>
        <v>2009_01_012.gif</v>
      </c>
      <c r="I686"/>
      <c r="J686"/>
      <c r="L686" s="1" t="b">
        <v>0</v>
      </c>
      <c r="M686" s="1">
        <v>0</v>
      </c>
      <c r="N686" s="1" t="s">
        <v>601</v>
      </c>
      <c r="O686" s="1">
        <v>685</v>
      </c>
      <c r="P686" s="12" t="str">
        <f t="shared" si="45"/>
        <v>PE of Spring</v>
      </c>
      <c r="Q686" s="1">
        <v>5198</v>
      </c>
      <c r="R686" s="1" t="str">
        <f t="shared" si="44"/>
        <v>2009_01</v>
      </c>
      <c r="T686" s="1"/>
      <c r="BA686" s="1">
        <v>1</v>
      </c>
    </row>
    <row r="687" spans="1:77" x14ac:dyDescent="0.2">
      <c r="A687" t="s">
        <v>514</v>
      </c>
      <c r="B687" s="1">
        <v>2009</v>
      </c>
      <c r="C687" s="1">
        <v>1</v>
      </c>
      <c r="D687" s="1">
        <v>13</v>
      </c>
      <c r="E687" t="s">
        <v>7</v>
      </c>
      <c r="G687" s="1">
        <v>3</v>
      </c>
      <c r="H687" s="11" t="str">
        <f t="shared" si="43"/>
        <v>2009_01_013.gif</v>
      </c>
      <c r="I687"/>
      <c r="J687"/>
      <c r="L687" s="1" t="b">
        <v>0</v>
      </c>
      <c r="M687" s="1">
        <v>0</v>
      </c>
      <c r="N687" s="1" t="s">
        <v>601</v>
      </c>
      <c r="O687" s="1">
        <v>686</v>
      </c>
      <c r="P687" s="12" t="str">
        <f t="shared" si="45"/>
        <v>Gravitational PE</v>
      </c>
      <c r="Q687" s="1">
        <v>5199</v>
      </c>
      <c r="R687" s="1" t="str">
        <f t="shared" si="44"/>
        <v>2009_01</v>
      </c>
      <c r="T687" s="1"/>
      <c r="AY687" s="1">
        <v>1</v>
      </c>
    </row>
    <row r="688" spans="1:77" x14ac:dyDescent="0.2">
      <c r="A688" t="s">
        <v>515</v>
      </c>
      <c r="B688" s="1">
        <v>2009</v>
      </c>
      <c r="C688" s="1">
        <v>1</v>
      </c>
      <c r="D688" s="1">
        <v>14</v>
      </c>
      <c r="E688" t="s">
        <v>7</v>
      </c>
      <c r="G688" s="1">
        <v>4</v>
      </c>
      <c r="H688" s="11" t="str">
        <f t="shared" si="43"/>
        <v>2009_01_014.gif</v>
      </c>
      <c r="I688"/>
      <c r="J688"/>
      <c r="L688" s="1" t="b">
        <v>0</v>
      </c>
      <c r="M688" s="1">
        <v>0</v>
      </c>
      <c r="N688" s="1" t="s">
        <v>601</v>
      </c>
      <c r="O688" s="1">
        <v>687</v>
      </c>
      <c r="P688" s="12" t="str">
        <f t="shared" si="45"/>
        <v>Gravitational PE</v>
      </c>
      <c r="Q688" s="1">
        <v>5200</v>
      </c>
      <c r="R688" s="1" t="str">
        <f t="shared" si="44"/>
        <v>2009_01</v>
      </c>
      <c r="T688" s="1"/>
      <c r="AY688" s="1">
        <v>1</v>
      </c>
    </row>
    <row r="689" spans="1:78" x14ac:dyDescent="0.2">
      <c r="A689" t="s">
        <v>516</v>
      </c>
      <c r="B689" s="1">
        <v>2009</v>
      </c>
      <c r="C689" s="1">
        <v>1</v>
      </c>
      <c r="D689" s="1">
        <v>15</v>
      </c>
      <c r="E689" t="s">
        <v>11</v>
      </c>
      <c r="G689" s="1">
        <v>1</v>
      </c>
      <c r="H689" s="11" t="str">
        <f t="shared" si="43"/>
        <v>2009_01_015.gif</v>
      </c>
      <c r="I689"/>
      <c r="J689"/>
      <c r="L689" s="1" t="b">
        <v>0</v>
      </c>
      <c r="M689" s="1">
        <v>0</v>
      </c>
      <c r="N689" s="1" t="s">
        <v>601</v>
      </c>
      <c r="O689" s="1">
        <v>688</v>
      </c>
      <c r="P689" s="12" t="str">
        <f t="shared" si="45"/>
        <v>Ohm's Law</v>
      </c>
      <c r="Q689" s="1">
        <v>5201</v>
      </c>
      <c r="R689" s="1" t="str">
        <f t="shared" si="44"/>
        <v>2009_01</v>
      </c>
      <c r="T689" s="1"/>
      <c r="BQ689" s="1">
        <v>1</v>
      </c>
    </row>
    <row r="690" spans="1:78" x14ac:dyDescent="0.2">
      <c r="A690" t="s">
        <v>517</v>
      </c>
      <c r="B690" s="1">
        <v>2009</v>
      </c>
      <c r="C690" s="1">
        <v>1</v>
      </c>
      <c r="D690" s="1">
        <v>16</v>
      </c>
      <c r="E690" t="s">
        <v>11</v>
      </c>
      <c r="G690" s="1">
        <v>2</v>
      </c>
      <c r="H690" s="11" t="str">
        <f t="shared" si="43"/>
        <v>2009_01_016.gif</v>
      </c>
      <c r="I690"/>
      <c r="J690"/>
      <c r="L690" s="1" t="b">
        <v>0</v>
      </c>
      <c r="M690" s="1">
        <v>0</v>
      </c>
      <c r="N690" s="1" t="s">
        <v>601</v>
      </c>
      <c r="O690" s="1">
        <v>689</v>
      </c>
      <c r="P690" s="12" t="str">
        <f t="shared" si="45"/>
        <v>Resistance of Wire</v>
      </c>
      <c r="Q690" s="1">
        <v>5202</v>
      </c>
      <c r="R690" s="1" t="str">
        <f t="shared" si="44"/>
        <v>2009_01</v>
      </c>
      <c r="T690" s="1"/>
      <c r="BR690" s="1">
        <v>1</v>
      </c>
    </row>
    <row r="691" spans="1:78" x14ac:dyDescent="0.2">
      <c r="A691" t="s">
        <v>518</v>
      </c>
      <c r="B691" s="1">
        <v>2009</v>
      </c>
      <c r="C691" s="1">
        <v>1</v>
      </c>
      <c r="D691" s="1">
        <v>17</v>
      </c>
      <c r="E691" t="s">
        <v>11</v>
      </c>
      <c r="F691" t="s">
        <v>548</v>
      </c>
      <c r="G691" s="1">
        <v>2</v>
      </c>
      <c r="H691" s="11" t="str">
        <f t="shared" si="43"/>
        <v>2009_01_017.gif</v>
      </c>
      <c r="I691"/>
      <c r="J691"/>
      <c r="L691" s="1" t="b">
        <v>0</v>
      </c>
      <c r="M691" s="1">
        <v>0</v>
      </c>
      <c r="N691" s="1" t="s">
        <v>601</v>
      </c>
      <c r="O691" s="1">
        <v>690</v>
      </c>
      <c r="P691" s="12" t="str">
        <f t="shared" si="45"/>
        <v>Series and Parallel,Mathematical Relationships (Numberless Problems)</v>
      </c>
      <c r="Q691" s="1">
        <v>5203</v>
      </c>
      <c r="R691" s="1" t="str">
        <f t="shared" si="44"/>
        <v>2009_01</v>
      </c>
      <c r="T691" s="1"/>
      <c r="BS691" s="1">
        <v>1</v>
      </c>
      <c r="BY691" s="1">
        <v>1</v>
      </c>
    </row>
    <row r="692" spans="1:78" x14ac:dyDescent="0.2">
      <c r="A692" t="s">
        <v>519</v>
      </c>
      <c r="B692" s="1">
        <v>2009</v>
      </c>
      <c r="C692" s="1">
        <v>1</v>
      </c>
      <c r="D692" s="1">
        <v>18</v>
      </c>
      <c r="E692" t="s">
        <v>11</v>
      </c>
      <c r="G692" s="1">
        <v>2</v>
      </c>
      <c r="H692" s="11" t="str">
        <f t="shared" si="43"/>
        <v>2009_01_018.gif</v>
      </c>
      <c r="I692"/>
      <c r="J692"/>
      <c r="L692" s="1" t="b">
        <v>0</v>
      </c>
      <c r="M692" s="1">
        <v>0</v>
      </c>
      <c r="N692" s="1" t="s">
        <v>601</v>
      </c>
      <c r="O692" s="1">
        <v>691</v>
      </c>
      <c r="P692" s="12" t="str">
        <f t="shared" si="45"/>
        <v>Series and Parallel</v>
      </c>
      <c r="Q692" s="1">
        <v>5204</v>
      </c>
      <c r="R692" s="1" t="str">
        <f t="shared" si="44"/>
        <v>2009_01</v>
      </c>
      <c r="T692" s="1"/>
      <c r="BS692" s="1">
        <v>1</v>
      </c>
    </row>
    <row r="693" spans="1:78" x14ac:dyDescent="0.2">
      <c r="A693" t="s">
        <v>520</v>
      </c>
      <c r="B693" s="1">
        <v>2009</v>
      </c>
      <c r="C693" s="1">
        <v>1</v>
      </c>
      <c r="D693" s="1">
        <v>19</v>
      </c>
      <c r="E693" t="s">
        <v>588</v>
      </c>
      <c r="F693" t="s">
        <v>10</v>
      </c>
      <c r="G693" s="1">
        <v>1</v>
      </c>
      <c r="H693" s="11" t="str">
        <f t="shared" si="43"/>
        <v>2009_01_019.gif</v>
      </c>
      <c r="I693"/>
      <c r="J693"/>
      <c r="L693" s="1" t="b">
        <v>0</v>
      </c>
      <c r="M693" s="1">
        <v>0</v>
      </c>
      <c r="N693" s="1" t="s">
        <v>601</v>
      </c>
      <c r="O693" s="1">
        <v>692</v>
      </c>
      <c r="P693" s="12" t="str">
        <f t="shared" si="45"/>
        <v>Electric Fields and Potential</v>
      </c>
      <c r="Q693" s="1">
        <v>5205</v>
      </c>
      <c r="R693" s="1" t="str">
        <f t="shared" si="44"/>
        <v>2009_01</v>
      </c>
      <c r="T693" s="1"/>
      <c r="BN693" s="1">
        <v>1</v>
      </c>
    </row>
    <row r="694" spans="1:78" x14ac:dyDescent="0.2">
      <c r="A694" t="s">
        <v>521</v>
      </c>
      <c r="B694" s="1">
        <v>2009</v>
      </c>
      <c r="C694" s="1">
        <v>1</v>
      </c>
      <c r="D694" s="1">
        <v>20</v>
      </c>
      <c r="E694" t="s">
        <v>11</v>
      </c>
      <c r="G694" s="1">
        <v>1</v>
      </c>
      <c r="H694" s="11" t="str">
        <f t="shared" si="43"/>
        <v>2009_01_020.gif</v>
      </c>
      <c r="I694"/>
      <c r="J694"/>
      <c r="L694" s="1" t="b">
        <v>0</v>
      </c>
      <c r="M694" s="1">
        <v>0</v>
      </c>
      <c r="N694" s="1" t="s">
        <v>601</v>
      </c>
      <c r="O694" s="1">
        <v>693</v>
      </c>
      <c r="P694" s="12" t="str">
        <f t="shared" si="45"/>
        <v>Electrical Definitions</v>
      </c>
      <c r="Q694" s="1">
        <v>5206</v>
      </c>
      <c r="R694" s="1" t="str">
        <f t="shared" si="44"/>
        <v>2009_01</v>
      </c>
      <c r="T694" s="1"/>
      <c r="BO694" s="1">
        <v>1</v>
      </c>
    </row>
    <row r="695" spans="1:78" x14ac:dyDescent="0.2">
      <c r="A695" t="s">
        <v>522</v>
      </c>
      <c r="B695" s="1">
        <v>2009</v>
      </c>
      <c r="C695" s="1">
        <v>1</v>
      </c>
      <c r="D695" s="1">
        <v>21</v>
      </c>
      <c r="E695" t="s">
        <v>588</v>
      </c>
      <c r="F695" t="s">
        <v>12</v>
      </c>
      <c r="G695" s="1">
        <v>3</v>
      </c>
      <c r="H695" s="11" t="str">
        <f t="shared" si="43"/>
        <v>2009_01_021.gif</v>
      </c>
      <c r="I695"/>
      <c r="J695"/>
      <c r="L695" s="1" t="b">
        <v>0</v>
      </c>
      <c r="M695" s="1">
        <v>0</v>
      </c>
      <c r="N695" s="1" t="s">
        <v>601</v>
      </c>
      <c r="O695" s="1">
        <v>694</v>
      </c>
      <c r="P695" s="12" t="str">
        <f t="shared" si="45"/>
        <v>Magnetism</v>
      </c>
      <c r="Q695" s="1">
        <v>5207</v>
      </c>
      <c r="R695" s="1" t="str">
        <f t="shared" si="44"/>
        <v>2009_01</v>
      </c>
      <c r="T695" s="1"/>
      <c r="BZ695" s="1">
        <v>1</v>
      </c>
    </row>
    <row r="696" spans="1:78" x14ac:dyDescent="0.2">
      <c r="A696" t="s">
        <v>523</v>
      </c>
      <c r="B696" s="1">
        <v>2009</v>
      </c>
      <c r="C696" s="1">
        <v>1</v>
      </c>
      <c r="D696" s="1">
        <v>22</v>
      </c>
      <c r="E696" t="s">
        <v>8</v>
      </c>
      <c r="G696" s="1">
        <v>1</v>
      </c>
      <c r="H696" s="11" t="str">
        <f t="shared" si="43"/>
        <v>2009_01_022.gif</v>
      </c>
      <c r="I696"/>
      <c r="J696"/>
      <c r="L696" s="1" t="b">
        <v>0</v>
      </c>
      <c r="M696" s="1">
        <v>0</v>
      </c>
      <c r="N696" s="1" t="s">
        <v>601</v>
      </c>
      <c r="O696" s="1">
        <v>695</v>
      </c>
      <c r="P696" s="12" t="str">
        <f t="shared" si="45"/>
        <v>Resonance</v>
      </c>
      <c r="Q696" s="1">
        <v>5208</v>
      </c>
      <c r="R696" s="1" t="str">
        <f t="shared" si="44"/>
        <v>2009_01</v>
      </c>
      <c r="T696" s="1"/>
      <c r="BC696" s="1">
        <v>1</v>
      </c>
    </row>
    <row r="697" spans="1:78" x14ac:dyDescent="0.2">
      <c r="A697" t="s">
        <v>524</v>
      </c>
      <c r="B697" s="1">
        <v>2009</v>
      </c>
      <c r="C697" s="1">
        <v>1</v>
      </c>
      <c r="D697" s="1">
        <v>23</v>
      </c>
      <c r="E697" t="s">
        <v>9</v>
      </c>
      <c r="G697" s="1">
        <v>4</v>
      </c>
      <c r="H697" s="11" t="str">
        <f t="shared" si="43"/>
        <v>2009_01_023.gif</v>
      </c>
      <c r="I697"/>
      <c r="J697"/>
      <c r="L697" s="1" t="b">
        <v>0</v>
      </c>
      <c r="M697" s="1">
        <v>0</v>
      </c>
      <c r="N697" s="1" t="s">
        <v>601</v>
      </c>
      <c r="O697" s="1">
        <v>696</v>
      </c>
      <c r="P697" s="12" t="str">
        <f t="shared" si="45"/>
        <v>Light and Sound</v>
      </c>
      <c r="Q697" s="1">
        <v>5209</v>
      </c>
      <c r="R697" s="1" t="str">
        <f t="shared" si="44"/>
        <v>2009_01</v>
      </c>
      <c r="T697" s="1"/>
      <c r="BI697" s="1">
        <v>1</v>
      </c>
    </row>
    <row r="698" spans="1:78" x14ac:dyDescent="0.2">
      <c r="A698" t="s">
        <v>525</v>
      </c>
      <c r="B698" s="1">
        <v>2009</v>
      </c>
      <c r="C698" s="1">
        <v>1</v>
      </c>
      <c r="D698" s="1">
        <v>24</v>
      </c>
      <c r="E698" t="s">
        <v>9</v>
      </c>
      <c r="G698" s="1">
        <v>2</v>
      </c>
      <c r="H698" s="11" t="str">
        <f t="shared" si="43"/>
        <v>2009_01_024.gif</v>
      </c>
      <c r="I698"/>
      <c r="J698"/>
      <c r="L698" s="1" t="b">
        <v>0</v>
      </c>
      <c r="M698" s="1">
        <v>0</v>
      </c>
      <c r="N698" s="1" t="s">
        <v>601</v>
      </c>
      <c r="O698" s="1">
        <v>697</v>
      </c>
      <c r="P698" s="12" t="str">
        <f t="shared" si="45"/>
        <v>Light and Sound</v>
      </c>
      <c r="Q698" s="1">
        <v>5210</v>
      </c>
      <c r="R698" s="1" t="str">
        <f t="shared" si="44"/>
        <v>2009_01</v>
      </c>
      <c r="T698" s="1"/>
      <c r="BI698" s="1">
        <v>1</v>
      </c>
    </row>
    <row r="699" spans="1:78" x14ac:dyDescent="0.2">
      <c r="A699" t="s">
        <v>526</v>
      </c>
      <c r="B699" s="1">
        <v>2009</v>
      </c>
      <c r="C699" s="1">
        <v>1</v>
      </c>
      <c r="D699" s="1">
        <v>25</v>
      </c>
      <c r="E699" t="s">
        <v>8</v>
      </c>
      <c r="G699" s="1">
        <v>3</v>
      </c>
      <c r="H699" s="11" t="str">
        <f t="shared" si="43"/>
        <v>2009_01_025.gif</v>
      </c>
      <c r="I699"/>
      <c r="J699"/>
      <c r="L699" s="1" t="b">
        <v>0</v>
      </c>
      <c r="M699" s="1">
        <v>0</v>
      </c>
      <c r="N699" s="1" t="s">
        <v>601</v>
      </c>
      <c r="O699" s="1">
        <v>698</v>
      </c>
      <c r="P699" s="12" t="str">
        <f t="shared" si="45"/>
        <v>Wave Vocabulary</v>
      </c>
      <c r="Q699" s="1">
        <v>5211</v>
      </c>
      <c r="R699" s="1" t="str">
        <f t="shared" si="44"/>
        <v>2009_01</v>
      </c>
      <c r="T699" s="1"/>
      <c r="BF699" s="1">
        <v>1</v>
      </c>
    </row>
    <row r="700" spans="1:78" x14ac:dyDescent="0.2">
      <c r="A700" t="s">
        <v>527</v>
      </c>
      <c r="B700" s="1">
        <v>2009</v>
      </c>
      <c r="C700" s="1">
        <v>1</v>
      </c>
      <c r="D700" s="1">
        <v>26</v>
      </c>
      <c r="E700" t="s">
        <v>1</v>
      </c>
      <c r="G700" s="1">
        <v>2</v>
      </c>
      <c r="H700" s="11" t="str">
        <f t="shared" si="43"/>
        <v>2009_01_026.gif</v>
      </c>
      <c r="I700"/>
      <c r="J700"/>
      <c r="L700" s="1" t="b">
        <v>0</v>
      </c>
      <c r="M700" s="1">
        <v>0</v>
      </c>
      <c r="N700" s="1" t="s">
        <v>601</v>
      </c>
      <c r="O700" s="1">
        <v>699</v>
      </c>
      <c r="P700" s="12" t="str">
        <f t="shared" si="45"/>
        <v>Units</v>
      </c>
      <c r="Q700" s="1">
        <v>5212</v>
      </c>
      <c r="R700" s="1" t="str">
        <f t="shared" si="44"/>
        <v>2009_01</v>
      </c>
      <c r="T700" s="1"/>
      <c r="V700" s="1">
        <v>1</v>
      </c>
    </row>
    <row r="701" spans="1:78" x14ac:dyDescent="0.2">
      <c r="A701" t="s">
        <v>528</v>
      </c>
      <c r="B701" s="1">
        <v>2009</v>
      </c>
      <c r="C701" s="1">
        <v>1</v>
      </c>
      <c r="D701" s="1">
        <v>27</v>
      </c>
      <c r="E701" t="s">
        <v>9</v>
      </c>
      <c r="G701" s="1">
        <v>3</v>
      </c>
      <c r="H701" s="11" t="str">
        <f t="shared" si="43"/>
        <v>2009_01_027.gif</v>
      </c>
      <c r="I701"/>
      <c r="J701"/>
      <c r="L701" s="1" t="b">
        <v>0</v>
      </c>
      <c r="M701" s="1">
        <v>0</v>
      </c>
      <c r="N701" s="1" t="s">
        <v>601</v>
      </c>
      <c r="O701" s="1">
        <v>700</v>
      </c>
      <c r="P701" s="12" t="str">
        <f t="shared" si="45"/>
        <v>Light and Sound</v>
      </c>
      <c r="Q701" s="1">
        <v>5213</v>
      </c>
      <c r="R701" s="1" t="str">
        <f t="shared" si="44"/>
        <v>2009_01</v>
      </c>
      <c r="T701" s="1"/>
      <c r="BI701" s="1">
        <v>1</v>
      </c>
    </row>
    <row r="702" spans="1:78" x14ac:dyDescent="0.2">
      <c r="A702" t="s">
        <v>529</v>
      </c>
      <c r="B702" s="1">
        <v>2009</v>
      </c>
      <c r="C702" s="1">
        <v>1</v>
      </c>
      <c r="D702" s="1">
        <v>28</v>
      </c>
      <c r="E702" t="s">
        <v>9</v>
      </c>
      <c r="G702" s="1">
        <v>1</v>
      </c>
      <c r="H702" s="11" t="str">
        <f t="shared" si="43"/>
        <v>2009_01_028.gif</v>
      </c>
      <c r="I702"/>
      <c r="J702"/>
      <c r="L702" s="1" t="b">
        <v>0</v>
      </c>
      <c r="M702" s="1">
        <v>0</v>
      </c>
      <c r="N702" s="1" t="s">
        <v>601</v>
      </c>
      <c r="O702" s="1">
        <v>701</v>
      </c>
      <c r="P702" s="12" t="str">
        <f t="shared" si="45"/>
        <v>Refraction and Snell's Law</v>
      </c>
      <c r="Q702" s="1">
        <v>5214</v>
      </c>
      <c r="R702" s="1" t="str">
        <f t="shared" si="44"/>
        <v>2009_01</v>
      </c>
      <c r="T702" s="1"/>
      <c r="BJ702" s="1">
        <v>1</v>
      </c>
    </row>
    <row r="703" spans="1:78" x14ac:dyDescent="0.2">
      <c r="A703" t="s">
        <v>530</v>
      </c>
      <c r="B703" s="1">
        <v>2009</v>
      </c>
      <c r="C703" s="1">
        <v>1</v>
      </c>
      <c r="D703" s="1">
        <v>29</v>
      </c>
      <c r="E703" t="s">
        <v>8</v>
      </c>
      <c r="G703" s="1">
        <v>4</v>
      </c>
      <c r="H703" s="11" t="str">
        <f t="shared" si="43"/>
        <v>2009_01_029.gif</v>
      </c>
      <c r="I703"/>
      <c r="J703"/>
      <c r="L703" s="1" t="b">
        <v>0</v>
      </c>
      <c r="M703" s="1">
        <v>0</v>
      </c>
      <c r="N703" s="1" t="s">
        <v>601</v>
      </c>
      <c r="O703" s="1">
        <v>702</v>
      </c>
      <c r="P703" s="12" t="str">
        <f t="shared" si="45"/>
        <v>Superposition and Standing Waves</v>
      </c>
      <c r="Q703" s="1">
        <v>5215</v>
      </c>
      <c r="R703" s="1" t="str">
        <f t="shared" si="44"/>
        <v>2009_01</v>
      </c>
      <c r="T703" s="1"/>
      <c r="BD703" s="1">
        <v>1</v>
      </c>
    </row>
    <row r="704" spans="1:78" x14ac:dyDescent="0.2">
      <c r="A704" t="s">
        <v>531</v>
      </c>
      <c r="B704" s="1">
        <v>2009</v>
      </c>
      <c r="C704" s="1">
        <v>1</v>
      </c>
      <c r="D704" s="1">
        <v>30</v>
      </c>
      <c r="E704" t="s">
        <v>9</v>
      </c>
      <c r="G704" s="1">
        <v>4</v>
      </c>
      <c r="H704" s="11" t="str">
        <f t="shared" si="43"/>
        <v>2009_01_030.gif</v>
      </c>
      <c r="I704"/>
      <c r="J704"/>
      <c r="L704" s="1" t="b">
        <v>0</v>
      </c>
      <c r="M704" s="1">
        <v>0</v>
      </c>
      <c r="N704" s="1" t="s">
        <v>601</v>
      </c>
      <c r="O704" s="1">
        <v>703</v>
      </c>
      <c r="P704" s="12" t="str">
        <f t="shared" si="45"/>
        <v>Light and Sound</v>
      </c>
      <c r="Q704" s="1">
        <v>5216</v>
      </c>
      <c r="R704" s="1" t="str">
        <f t="shared" si="44"/>
        <v>2009_01</v>
      </c>
      <c r="T704" s="1"/>
      <c r="BI704" s="1">
        <v>1</v>
      </c>
    </row>
    <row r="705" spans="1:77" x14ac:dyDescent="0.2">
      <c r="A705" t="s">
        <v>532</v>
      </c>
      <c r="B705" s="1">
        <v>2009</v>
      </c>
      <c r="C705" s="1">
        <v>1</v>
      </c>
      <c r="D705" s="1">
        <v>31</v>
      </c>
      <c r="E705" t="s">
        <v>9</v>
      </c>
      <c r="G705" s="1">
        <v>1</v>
      </c>
      <c r="H705" s="11" t="str">
        <f t="shared" si="43"/>
        <v>2009_01_031.gif</v>
      </c>
      <c r="I705"/>
      <c r="J705"/>
      <c r="L705" s="1" t="b">
        <v>0</v>
      </c>
      <c r="M705" s="1">
        <v>0</v>
      </c>
      <c r="N705" s="1" t="s">
        <v>601</v>
      </c>
      <c r="O705" s="1">
        <v>704</v>
      </c>
      <c r="P705" s="12" t="str">
        <f t="shared" si="45"/>
        <v>Diffraction</v>
      </c>
      <c r="Q705" s="1">
        <v>5217</v>
      </c>
      <c r="R705" s="1" t="str">
        <f t="shared" si="44"/>
        <v>2009_01</v>
      </c>
      <c r="T705" s="1"/>
      <c r="BG705" s="1">
        <v>1</v>
      </c>
    </row>
    <row r="706" spans="1:77" x14ac:dyDescent="0.2">
      <c r="A706" t="s">
        <v>533</v>
      </c>
      <c r="B706" s="1">
        <v>2009</v>
      </c>
      <c r="C706" s="1">
        <v>1</v>
      </c>
      <c r="D706" s="1">
        <v>32</v>
      </c>
      <c r="E706" t="s">
        <v>9</v>
      </c>
      <c r="G706" s="1">
        <v>1</v>
      </c>
      <c r="H706" s="11" t="str">
        <f t="shared" ref="H706:H769" si="47">HYPERLINK(A706&amp;".gif")</f>
        <v>2009_01_032.gif</v>
      </c>
      <c r="I706"/>
      <c r="J706"/>
      <c r="L706" s="1" t="b">
        <v>0</v>
      </c>
      <c r="M706" s="1">
        <v>0</v>
      </c>
      <c r="N706" s="1" t="s">
        <v>601</v>
      </c>
      <c r="O706" s="1">
        <v>705</v>
      </c>
      <c r="P706" s="12" t="str">
        <f t="shared" si="45"/>
        <v>Doppler Effect</v>
      </c>
      <c r="Q706" s="1">
        <v>5218</v>
      </c>
      <c r="R706" s="1" t="str">
        <f t="shared" si="44"/>
        <v>2009_01</v>
      </c>
      <c r="T706" s="1"/>
      <c r="BH706" s="1">
        <v>1</v>
      </c>
    </row>
    <row r="707" spans="1:77" x14ac:dyDescent="0.2">
      <c r="A707" t="s">
        <v>534</v>
      </c>
      <c r="B707" s="1">
        <v>2009</v>
      </c>
      <c r="C707" s="1">
        <v>1</v>
      </c>
      <c r="D707" s="1">
        <v>33</v>
      </c>
      <c r="E707" t="s">
        <v>13</v>
      </c>
      <c r="G707" s="1">
        <v>3</v>
      </c>
      <c r="H707" s="11" t="str">
        <f t="shared" si="47"/>
        <v>2009_01_033.gif</v>
      </c>
      <c r="I707"/>
      <c r="J707"/>
      <c r="L707" s="1" t="b">
        <v>0</v>
      </c>
      <c r="M707" s="1">
        <v>0</v>
      </c>
      <c r="N707" s="1" t="s">
        <v>601</v>
      </c>
      <c r="O707" s="1">
        <v>706</v>
      </c>
      <c r="P707" s="12" t="str">
        <f t="shared" si="45"/>
        <v>Energy/Frequency of Photon</v>
      </c>
      <c r="Q707" s="1">
        <v>5219</v>
      </c>
      <c r="R707" s="1" t="str">
        <f t="shared" ref="R707:R770" si="48">B707&amp;"_"&amp;TEXT(C707,"00")</f>
        <v>2009_01</v>
      </c>
      <c r="T707" s="1"/>
      <c r="BU707" s="1">
        <v>1</v>
      </c>
    </row>
    <row r="708" spans="1:77" x14ac:dyDescent="0.2">
      <c r="A708" t="s">
        <v>535</v>
      </c>
      <c r="B708" s="1">
        <v>2009</v>
      </c>
      <c r="C708" s="1">
        <v>1</v>
      </c>
      <c r="D708" s="1">
        <v>34</v>
      </c>
      <c r="E708" t="s">
        <v>10</v>
      </c>
      <c r="G708" s="1">
        <v>2</v>
      </c>
      <c r="H708" s="11" t="str">
        <f t="shared" si="47"/>
        <v>2009_01_034.gif</v>
      </c>
      <c r="I708"/>
      <c r="J708"/>
      <c r="L708" s="1" t="b">
        <v>0</v>
      </c>
      <c r="M708" s="1">
        <v>0</v>
      </c>
      <c r="N708" s="1" t="s">
        <v>601</v>
      </c>
      <c r="O708" s="1">
        <v>707</v>
      </c>
      <c r="P708" s="12" t="str">
        <f t="shared" si="45"/>
        <v>Conservation of Charge</v>
      </c>
      <c r="Q708" s="1">
        <v>5220</v>
      </c>
      <c r="R708" s="1" t="str">
        <f t="shared" si="48"/>
        <v>2009_01</v>
      </c>
      <c r="T708" s="1"/>
      <c r="BK708" s="1">
        <v>1</v>
      </c>
    </row>
    <row r="709" spans="1:77" x14ac:dyDescent="0.2">
      <c r="A709" t="s">
        <v>536</v>
      </c>
      <c r="B709" s="1">
        <v>2009</v>
      </c>
      <c r="C709" s="1">
        <v>1</v>
      </c>
      <c r="D709" s="1">
        <v>35</v>
      </c>
      <c r="E709" t="s">
        <v>13</v>
      </c>
      <c r="G709" s="1">
        <v>3</v>
      </c>
      <c r="H709" s="11" t="str">
        <f t="shared" si="47"/>
        <v>2009_01_035.gif</v>
      </c>
      <c r="I709"/>
      <c r="J709"/>
      <c r="L709" s="1" t="b">
        <v>0</v>
      </c>
      <c r="M709" s="1">
        <v>0</v>
      </c>
      <c r="N709" s="1" t="s">
        <v>601</v>
      </c>
      <c r="O709" s="1">
        <v>708</v>
      </c>
      <c r="P709" s="12" t="str">
        <f t="shared" si="45"/>
        <v>Particle Physics</v>
      </c>
      <c r="Q709" s="1">
        <v>5221</v>
      </c>
      <c r="R709" s="1" t="str">
        <f t="shared" si="48"/>
        <v>2009_01</v>
      </c>
      <c r="T709" s="1"/>
      <c r="BW709" s="1">
        <v>1</v>
      </c>
    </row>
    <row r="710" spans="1:77" x14ac:dyDescent="0.2">
      <c r="A710" t="str">
        <f t="shared" ref="A710:A720" si="49">B710 &amp; "_" &amp; TEXT(C710,"00") &amp; "_" &amp; TEXT(D710,"000")</f>
        <v>2009_01_036</v>
      </c>
      <c r="B710" s="1">
        <v>2009</v>
      </c>
      <c r="C710" s="1">
        <v>1</v>
      </c>
      <c r="D710" s="1">
        <v>36</v>
      </c>
      <c r="E710" t="s">
        <v>1</v>
      </c>
      <c r="G710" s="1">
        <v>2</v>
      </c>
      <c r="H710" s="11" t="str">
        <f t="shared" si="47"/>
        <v>2009_01_036.gif</v>
      </c>
      <c r="I710"/>
      <c r="J710"/>
      <c r="L710" s="1" t="b">
        <v>0</v>
      </c>
      <c r="M710" s="1">
        <v>0</v>
      </c>
      <c r="N710" s="1" t="s">
        <v>657</v>
      </c>
      <c r="O710" s="1">
        <v>709</v>
      </c>
      <c r="P710" s="12" t="str">
        <f t="shared" si="45"/>
        <v>Estimation</v>
      </c>
      <c r="Q710" s="1">
        <v>5222</v>
      </c>
      <c r="R710" s="1" t="str">
        <f t="shared" si="48"/>
        <v>2009_01</v>
      </c>
      <c r="T710" s="1"/>
      <c r="U710" s="1">
        <v>1</v>
      </c>
    </row>
    <row r="711" spans="1:77" x14ac:dyDescent="0.2">
      <c r="A711" t="str">
        <f t="shared" si="49"/>
        <v>2009_01_037</v>
      </c>
      <c r="B711" s="1">
        <v>2009</v>
      </c>
      <c r="C711" s="1">
        <v>1</v>
      </c>
      <c r="D711" s="1">
        <v>37</v>
      </c>
      <c r="E711" t="s">
        <v>5</v>
      </c>
      <c r="G711" s="1">
        <v>3</v>
      </c>
      <c r="H711" s="11" t="str">
        <f t="shared" si="47"/>
        <v>2009_01_037.gif</v>
      </c>
      <c r="I711"/>
      <c r="J711"/>
      <c r="L711" s="1" t="b">
        <v>0</v>
      </c>
      <c r="M711" s="1">
        <v>0</v>
      </c>
      <c r="N711" s="1" t="s">
        <v>657</v>
      </c>
      <c r="O711" s="1">
        <v>710</v>
      </c>
      <c r="P711" s="12" t="str">
        <f t="shared" si="45"/>
        <v>Inclined Plane</v>
      </c>
      <c r="Q711" s="1">
        <v>5223</v>
      </c>
      <c r="R711" s="1" t="str">
        <f t="shared" si="48"/>
        <v>2009_01</v>
      </c>
      <c r="T711" s="1"/>
      <c r="AO711" s="1">
        <v>1</v>
      </c>
    </row>
    <row r="712" spans="1:77" x14ac:dyDescent="0.2">
      <c r="A712" t="str">
        <f t="shared" si="49"/>
        <v>2009_01_038</v>
      </c>
      <c r="B712" s="1">
        <v>2009</v>
      </c>
      <c r="C712" s="1">
        <v>1</v>
      </c>
      <c r="D712" s="1">
        <v>38</v>
      </c>
      <c r="E712" t="s">
        <v>2</v>
      </c>
      <c r="G712" s="1">
        <v>1</v>
      </c>
      <c r="H712" s="11" t="str">
        <f t="shared" si="47"/>
        <v>2009_01_038.gif</v>
      </c>
      <c r="I712"/>
      <c r="J712"/>
      <c r="L712" s="1" t="b">
        <v>0</v>
      </c>
      <c r="M712" s="1">
        <v>0</v>
      </c>
      <c r="N712" s="1" t="s">
        <v>657</v>
      </c>
      <c r="O712" s="1">
        <v>711</v>
      </c>
      <c r="P712" s="12" t="str">
        <f t="shared" si="45"/>
        <v>DT/VT Graphs</v>
      </c>
      <c r="Q712" s="1">
        <v>5224</v>
      </c>
      <c r="R712" s="1" t="str">
        <f t="shared" si="48"/>
        <v>2009_01</v>
      </c>
      <c r="T712" s="1"/>
      <c r="W712" s="1">
        <v>1</v>
      </c>
    </row>
    <row r="713" spans="1:77" x14ac:dyDescent="0.2">
      <c r="A713" t="str">
        <f t="shared" si="49"/>
        <v>2009_01_039</v>
      </c>
      <c r="B713" s="1">
        <v>2009</v>
      </c>
      <c r="C713" s="1">
        <v>1</v>
      </c>
      <c r="D713" s="1">
        <v>39</v>
      </c>
      <c r="E713" t="s">
        <v>7</v>
      </c>
      <c r="F713" t="s">
        <v>548</v>
      </c>
      <c r="G713" s="1">
        <v>1</v>
      </c>
      <c r="H713" s="11" t="str">
        <f t="shared" si="47"/>
        <v>2009_01_039.gif</v>
      </c>
      <c r="I713"/>
      <c r="J713"/>
      <c r="L713" s="1" t="b">
        <v>0</v>
      </c>
      <c r="M713" s="1">
        <v>0</v>
      </c>
      <c r="N713" s="1" t="s">
        <v>657</v>
      </c>
      <c r="O713" s="1">
        <v>712</v>
      </c>
      <c r="P713" s="12" t="str">
        <f t="shared" si="45"/>
        <v>Conservation of Energy,Graph Interpretation</v>
      </c>
      <c r="Q713" s="1">
        <v>5225</v>
      </c>
      <c r="R713" s="1" t="str">
        <f t="shared" si="48"/>
        <v>2009_01</v>
      </c>
      <c r="T713" s="1"/>
      <c r="AX713" s="1">
        <v>1</v>
      </c>
      <c r="BX713" s="1">
        <v>1</v>
      </c>
    </row>
    <row r="714" spans="1:77" x14ac:dyDescent="0.2">
      <c r="A714" t="str">
        <f t="shared" si="49"/>
        <v>2009_01_040</v>
      </c>
      <c r="B714" s="1">
        <v>2009</v>
      </c>
      <c r="C714" s="1">
        <v>1</v>
      </c>
      <c r="D714" s="1">
        <v>40</v>
      </c>
      <c r="E714" t="s">
        <v>7</v>
      </c>
      <c r="G714" s="1">
        <v>2</v>
      </c>
      <c r="H714" s="11" t="str">
        <f t="shared" si="47"/>
        <v>2009_01_040.gif</v>
      </c>
      <c r="I714"/>
      <c r="J714"/>
      <c r="L714" s="1" t="b">
        <v>0</v>
      </c>
      <c r="M714" s="1">
        <v>0</v>
      </c>
      <c r="N714" s="1" t="s">
        <v>657</v>
      </c>
      <c r="O714" s="1">
        <v>713</v>
      </c>
      <c r="P714" s="12" t="str">
        <f t="shared" si="45"/>
        <v>Conservation of Energy,PE of Spring</v>
      </c>
      <c r="Q714" s="1">
        <v>5226</v>
      </c>
      <c r="R714" s="1" t="str">
        <f t="shared" si="48"/>
        <v>2009_01</v>
      </c>
      <c r="T714" s="1"/>
      <c r="AX714" s="1">
        <v>1</v>
      </c>
      <c r="BA714" s="1">
        <v>1</v>
      </c>
    </row>
    <row r="715" spans="1:77" x14ac:dyDescent="0.2">
      <c r="A715" t="str">
        <f t="shared" si="49"/>
        <v>2009_01_041</v>
      </c>
      <c r="B715" s="1">
        <v>2009</v>
      </c>
      <c r="C715" s="1">
        <v>1</v>
      </c>
      <c r="D715" s="1">
        <v>41</v>
      </c>
      <c r="E715" t="s">
        <v>7</v>
      </c>
      <c r="F715" t="s">
        <v>548</v>
      </c>
      <c r="G715" s="1">
        <v>1</v>
      </c>
      <c r="H715" s="11" t="str">
        <f t="shared" si="47"/>
        <v>2009_01_041.gif</v>
      </c>
      <c r="I715"/>
      <c r="J715"/>
      <c r="L715" s="1" t="b">
        <v>0</v>
      </c>
      <c r="M715" s="1">
        <v>2</v>
      </c>
      <c r="N715" s="1" t="s">
        <v>657</v>
      </c>
      <c r="O715" s="1">
        <v>714</v>
      </c>
      <c r="P715" s="12" t="str">
        <f t="shared" ref="P715:P778" si="50">concatenateif(U715:DI715,1,$U$1:$DI$1)</f>
        <v>Conservation of Energy,Mathematical Relationships (Numberless Problems)</v>
      </c>
      <c r="Q715" s="1">
        <v>5227</v>
      </c>
      <c r="R715" s="1" t="str">
        <f t="shared" si="48"/>
        <v>2009_01</v>
      </c>
      <c r="T715" s="1"/>
      <c r="AX715" s="1">
        <v>1</v>
      </c>
      <c r="BY715" s="1">
        <v>1</v>
      </c>
    </row>
    <row r="716" spans="1:77" x14ac:dyDescent="0.2">
      <c r="A716" t="str">
        <f t="shared" si="49"/>
        <v>2009_01_042</v>
      </c>
      <c r="B716" s="1">
        <v>2009</v>
      </c>
      <c r="C716" s="1">
        <v>1</v>
      </c>
      <c r="D716" s="1">
        <v>42</v>
      </c>
      <c r="E716" t="s">
        <v>11</v>
      </c>
      <c r="G716" s="1">
        <v>1</v>
      </c>
      <c r="H716" s="11" t="str">
        <f t="shared" si="47"/>
        <v>2009_01_042.gif</v>
      </c>
      <c r="I716"/>
      <c r="J716"/>
      <c r="L716" s="1" t="b">
        <v>0</v>
      </c>
      <c r="M716" s="1">
        <v>0</v>
      </c>
      <c r="N716" s="1" t="s">
        <v>657</v>
      </c>
      <c r="O716" s="1">
        <v>715</v>
      </c>
      <c r="P716" s="12" t="str">
        <f t="shared" si="50"/>
        <v>Electrical Meters</v>
      </c>
      <c r="Q716" s="1">
        <v>5228</v>
      </c>
      <c r="R716" s="1" t="str">
        <f t="shared" si="48"/>
        <v>2009_01</v>
      </c>
      <c r="T716" s="1"/>
      <c r="BT716" s="1">
        <v>1</v>
      </c>
    </row>
    <row r="717" spans="1:77" x14ac:dyDescent="0.2">
      <c r="A717" t="str">
        <f t="shared" si="49"/>
        <v>2009_01_043</v>
      </c>
      <c r="B717" s="1">
        <v>2009</v>
      </c>
      <c r="C717" s="1">
        <v>1</v>
      </c>
      <c r="D717" s="1">
        <v>43</v>
      </c>
      <c r="E717" t="s">
        <v>11</v>
      </c>
      <c r="G717" s="1">
        <v>4</v>
      </c>
      <c r="H717" s="11" t="str">
        <f t="shared" si="47"/>
        <v>2009_01_043.gif</v>
      </c>
      <c r="I717"/>
      <c r="J717"/>
      <c r="L717" s="1" t="b">
        <v>0</v>
      </c>
      <c r="M717" s="1">
        <v>0</v>
      </c>
      <c r="N717" s="1" t="s">
        <v>657</v>
      </c>
      <c r="O717" s="1">
        <v>716</v>
      </c>
      <c r="P717" s="12" t="str">
        <f t="shared" si="50"/>
        <v>Ohm's Law</v>
      </c>
      <c r="Q717" s="1">
        <v>5229</v>
      </c>
      <c r="R717" s="1" t="str">
        <f t="shared" si="48"/>
        <v>2009_01</v>
      </c>
      <c r="T717" s="1"/>
      <c r="BQ717" s="1">
        <v>1</v>
      </c>
    </row>
    <row r="718" spans="1:77" x14ac:dyDescent="0.2">
      <c r="A718" t="str">
        <f t="shared" si="49"/>
        <v>2009_01_044</v>
      </c>
      <c r="B718" s="1">
        <v>2009</v>
      </c>
      <c r="C718" s="1">
        <v>1</v>
      </c>
      <c r="D718" s="1">
        <v>44</v>
      </c>
      <c r="E718" t="s">
        <v>11</v>
      </c>
      <c r="F718" t="s">
        <v>548</v>
      </c>
      <c r="G718" s="1">
        <v>4</v>
      </c>
      <c r="H718" s="11" t="str">
        <f t="shared" si="47"/>
        <v>2009_01_044.gif</v>
      </c>
      <c r="I718"/>
      <c r="J718"/>
      <c r="L718" s="1" t="b">
        <v>0</v>
      </c>
      <c r="M718" s="1">
        <v>0</v>
      </c>
      <c r="N718" s="1" t="s">
        <v>657</v>
      </c>
      <c r="O718" s="1">
        <v>717</v>
      </c>
      <c r="P718" s="12" t="str">
        <f t="shared" si="50"/>
        <v>Electrical Power,Mathematical Relationships (Numberless Problems)</v>
      </c>
      <c r="Q718" s="1">
        <v>5230</v>
      </c>
      <c r="R718" s="1" t="str">
        <f t="shared" si="48"/>
        <v>2009_01</v>
      </c>
      <c r="T718" s="1"/>
      <c r="BP718" s="1">
        <v>1</v>
      </c>
      <c r="BY718" s="1">
        <v>1</v>
      </c>
    </row>
    <row r="719" spans="1:77" x14ac:dyDescent="0.2">
      <c r="A719" t="str">
        <f t="shared" si="49"/>
        <v>2009_01_045</v>
      </c>
      <c r="B719" s="1">
        <v>2009</v>
      </c>
      <c r="C719" s="1">
        <v>1</v>
      </c>
      <c r="D719" s="1">
        <v>45</v>
      </c>
      <c r="E719" t="s">
        <v>11</v>
      </c>
      <c r="G719" s="1">
        <v>3</v>
      </c>
      <c r="H719" s="11" t="str">
        <f t="shared" si="47"/>
        <v>2009_01_045.gif</v>
      </c>
      <c r="I719"/>
      <c r="J719"/>
      <c r="L719" s="1" t="b">
        <v>0</v>
      </c>
      <c r="M719" s="1">
        <v>0</v>
      </c>
      <c r="N719" s="1" t="s">
        <v>657</v>
      </c>
      <c r="O719" s="1">
        <v>718</v>
      </c>
      <c r="P719" s="12" t="str">
        <f t="shared" si="50"/>
        <v>Electrical Power</v>
      </c>
      <c r="Q719" s="1">
        <v>5231</v>
      </c>
      <c r="R719" s="1" t="str">
        <f t="shared" si="48"/>
        <v>2009_01</v>
      </c>
      <c r="T719" s="1"/>
      <c r="BP719" s="1">
        <v>1</v>
      </c>
    </row>
    <row r="720" spans="1:77" x14ac:dyDescent="0.2">
      <c r="A720" t="str">
        <f t="shared" si="49"/>
        <v>2009_01_046</v>
      </c>
      <c r="B720" s="1">
        <v>2009</v>
      </c>
      <c r="C720" s="1">
        <v>1</v>
      </c>
      <c r="D720" s="1">
        <v>46</v>
      </c>
      <c r="E720" t="s">
        <v>9</v>
      </c>
      <c r="G720" s="1">
        <v>1</v>
      </c>
      <c r="H720" s="11" t="str">
        <f t="shared" si="47"/>
        <v>2009_01_046.gif</v>
      </c>
      <c r="I720"/>
      <c r="J720"/>
      <c r="L720" s="1" t="b">
        <v>0</v>
      </c>
      <c r="M720" s="1">
        <v>0</v>
      </c>
      <c r="N720" s="1" t="s">
        <v>657</v>
      </c>
      <c r="O720" s="1">
        <v>719</v>
      </c>
      <c r="P720" s="12" t="str">
        <f t="shared" si="50"/>
        <v>Refraction and Snell's Law</v>
      </c>
      <c r="Q720" s="1">
        <v>5232</v>
      </c>
      <c r="R720" s="1" t="str">
        <f t="shared" si="48"/>
        <v>2009_01</v>
      </c>
      <c r="T720" s="1"/>
      <c r="BJ720" s="1">
        <v>1</v>
      </c>
    </row>
    <row r="721" spans="1:54" x14ac:dyDescent="0.2">
      <c r="A721" t="s">
        <v>622</v>
      </c>
      <c r="B721" s="1">
        <v>2009</v>
      </c>
      <c r="C721" s="1">
        <v>6</v>
      </c>
      <c r="D721" s="1">
        <v>1</v>
      </c>
      <c r="E721" t="s">
        <v>2</v>
      </c>
      <c r="G721" s="1">
        <v>3</v>
      </c>
      <c r="H721" s="11" t="str">
        <f t="shared" si="47"/>
        <v>2009_06_001.gif</v>
      </c>
      <c r="I721"/>
      <c r="J721"/>
      <c r="L721" s="1" t="b">
        <v>0</v>
      </c>
      <c r="M721" s="1">
        <v>0</v>
      </c>
      <c r="N721" s="1" t="s">
        <v>601</v>
      </c>
      <c r="O721" s="1">
        <v>720</v>
      </c>
      <c r="P721" s="12" t="str">
        <f t="shared" si="50"/>
        <v>Basic Motion Concepts</v>
      </c>
      <c r="Q721" s="1">
        <v>5260</v>
      </c>
      <c r="R721" s="1" t="str">
        <f t="shared" si="48"/>
        <v>2009_06</v>
      </c>
      <c r="T721" s="1"/>
      <c r="Z721" s="1">
        <v>1</v>
      </c>
    </row>
    <row r="722" spans="1:54" x14ac:dyDescent="0.2">
      <c r="A722" t="s">
        <v>623</v>
      </c>
      <c r="B722" s="1">
        <v>2009</v>
      </c>
      <c r="C722" s="1">
        <v>6</v>
      </c>
      <c r="D722" s="1">
        <v>2</v>
      </c>
      <c r="E722" t="s">
        <v>3</v>
      </c>
      <c r="G722" s="1">
        <v>4</v>
      </c>
      <c r="H722" s="11" t="str">
        <f t="shared" si="47"/>
        <v>2009_06_002.gif</v>
      </c>
      <c r="I722"/>
      <c r="J722"/>
      <c r="L722" s="1" t="b">
        <v>0</v>
      </c>
      <c r="M722" s="1">
        <v>0</v>
      </c>
      <c r="N722" s="1" t="s">
        <v>601</v>
      </c>
      <c r="O722" s="1">
        <v>721</v>
      </c>
      <c r="P722" s="12" t="str">
        <f t="shared" si="50"/>
        <v>Vector Components</v>
      </c>
      <c r="Q722" s="1">
        <v>5261</v>
      </c>
      <c r="R722" s="1" t="str">
        <f t="shared" si="48"/>
        <v>2009_06</v>
      </c>
      <c r="T722" s="1"/>
      <c r="AE722" s="1">
        <v>1</v>
      </c>
    </row>
    <row r="723" spans="1:54" x14ac:dyDescent="0.2">
      <c r="A723" t="s">
        <v>624</v>
      </c>
      <c r="B723" s="1">
        <v>2009</v>
      </c>
      <c r="C723" s="1">
        <v>6</v>
      </c>
      <c r="D723" s="1">
        <v>3</v>
      </c>
      <c r="E723" t="s">
        <v>3</v>
      </c>
      <c r="G723" s="1">
        <v>1</v>
      </c>
      <c r="H723" s="11" t="str">
        <f t="shared" si="47"/>
        <v>2009_06_003.gif</v>
      </c>
      <c r="I723"/>
      <c r="J723"/>
      <c r="L723" s="1" t="b">
        <v>0</v>
      </c>
      <c r="M723" s="1">
        <v>0</v>
      </c>
      <c r="N723" s="1" t="s">
        <v>601</v>
      </c>
      <c r="O723" s="1">
        <v>722</v>
      </c>
      <c r="P723" s="12" t="str">
        <f t="shared" si="50"/>
        <v>Vector vs. Scalar</v>
      </c>
      <c r="Q723" s="1">
        <v>5262</v>
      </c>
      <c r="R723" s="1" t="str">
        <f t="shared" si="48"/>
        <v>2009_06</v>
      </c>
      <c r="T723" s="1"/>
      <c r="AF723" s="1">
        <v>1</v>
      </c>
    </row>
    <row r="724" spans="1:54" x14ac:dyDescent="0.2">
      <c r="A724" t="s">
        <v>625</v>
      </c>
      <c r="B724" s="1">
        <v>2009</v>
      </c>
      <c r="C724" s="1">
        <v>6</v>
      </c>
      <c r="D724" s="1">
        <v>4</v>
      </c>
      <c r="E724" t="s">
        <v>2</v>
      </c>
      <c r="G724" s="1">
        <v>4</v>
      </c>
      <c r="H724" s="11" t="str">
        <f t="shared" si="47"/>
        <v>2009_06_004.gif</v>
      </c>
      <c r="I724"/>
      <c r="J724"/>
      <c r="L724" s="1" t="b">
        <v>0</v>
      </c>
      <c r="M724" s="1">
        <v>0</v>
      </c>
      <c r="N724" s="1" t="s">
        <v>601</v>
      </c>
      <c r="O724" s="1">
        <v>723</v>
      </c>
      <c r="P724" s="12" t="str">
        <f t="shared" si="50"/>
        <v>Basic Motion Concepts</v>
      </c>
      <c r="Q724" s="1">
        <v>5263</v>
      </c>
      <c r="R724" s="1" t="str">
        <f t="shared" si="48"/>
        <v>2009_06</v>
      </c>
      <c r="T724" s="1"/>
      <c r="Z724" s="1">
        <v>1</v>
      </c>
    </row>
    <row r="725" spans="1:54" x14ac:dyDescent="0.2">
      <c r="A725" t="s">
        <v>626</v>
      </c>
      <c r="B725" s="1">
        <v>2009</v>
      </c>
      <c r="C725" s="1">
        <v>6</v>
      </c>
      <c r="D725" s="1">
        <v>5</v>
      </c>
      <c r="E725" t="s">
        <v>2</v>
      </c>
      <c r="G725" s="1">
        <v>3</v>
      </c>
      <c r="H725" s="11" t="str">
        <f t="shared" si="47"/>
        <v>2009_06_005.gif</v>
      </c>
      <c r="I725"/>
      <c r="J725"/>
      <c r="L725" s="1" t="b">
        <v>0</v>
      </c>
      <c r="M725" s="1">
        <v>0</v>
      </c>
      <c r="N725" s="1" t="s">
        <v>601</v>
      </c>
      <c r="O725" s="1">
        <v>724</v>
      </c>
      <c r="P725" s="12" t="str">
        <f t="shared" si="50"/>
        <v>Vertical Constant Acceleration Problems</v>
      </c>
      <c r="Q725" s="1">
        <v>5264</v>
      </c>
      <c r="R725" s="1" t="str">
        <f t="shared" si="48"/>
        <v>2009_06</v>
      </c>
      <c r="T725" s="1"/>
      <c r="AC725" s="1">
        <v>1</v>
      </c>
    </row>
    <row r="726" spans="1:54" x14ac:dyDescent="0.2">
      <c r="A726" t="s">
        <v>627</v>
      </c>
      <c r="B726" s="1">
        <v>2009</v>
      </c>
      <c r="C726" s="1">
        <v>6</v>
      </c>
      <c r="D726" s="1">
        <v>6</v>
      </c>
      <c r="E726" t="s">
        <v>4</v>
      </c>
      <c r="G726" s="1">
        <v>2</v>
      </c>
      <c r="H726" s="11" t="str">
        <f t="shared" si="47"/>
        <v>2009_06_006.gif</v>
      </c>
      <c r="I726"/>
      <c r="J726"/>
      <c r="L726" s="1" t="b">
        <v>0</v>
      </c>
      <c r="M726" s="1">
        <v>0</v>
      </c>
      <c r="N726" s="1" t="s">
        <v>601</v>
      </c>
      <c r="O726" s="1">
        <v>725</v>
      </c>
      <c r="P726" s="12" t="str">
        <f t="shared" si="50"/>
        <v>Projectiles at an Angle</v>
      </c>
      <c r="Q726" s="1">
        <v>5265</v>
      </c>
      <c r="R726" s="1" t="str">
        <f t="shared" si="48"/>
        <v>2009_06</v>
      </c>
      <c r="T726" s="1"/>
      <c r="AH726" s="1">
        <v>1</v>
      </c>
    </row>
    <row r="727" spans="1:54" x14ac:dyDescent="0.2">
      <c r="A727" t="s">
        <v>628</v>
      </c>
      <c r="B727" s="1">
        <v>2009</v>
      </c>
      <c r="C727" s="1">
        <v>6</v>
      </c>
      <c r="D727" s="1">
        <v>7</v>
      </c>
      <c r="E727" t="s">
        <v>4</v>
      </c>
      <c r="G727" s="1">
        <v>2</v>
      </c>
      <c r="H727" s="11" t="str">
        <f t="shared" si="47"/>
        <v>2009_06_007.gif</v>
      </c>
      <c r="I727"/>
      <c r="J727"/>
      <c r="L727" s="1" t="b">
        <v>0</v>
      </c>
      <c r="M727" s="1">
        <v>0</v>
      </c>
      <c r="N727" s="1" t="s">
        <v>601</v>
      </c>
      <c r="O727" s="1">
        <v>726</v>
      </c>
      <c r="P727" s="12" t="str">
        <f t="shared" si="50"/>
        <v>Centripetal Motion - Calculation</v>
      </c>
      <c r="Q727" s="1">
        <v>5266</v>
      </c>
      <c r="R727" s="1" t="str">
        <f t="shared" si="48"/>
        <v>2009_06</v>
      </c>
      <c r="T727" s="1"/>
      <c r="AM727" s="1">
        <v>1</v>
      </c>
    </row>
    <row r="728" spans="1:54" x14ac:dyDescent="0.2">
      <c r="A728" t="s">
        <v>629</v>
      </c>
      <c r="B728" s="1">
        <v>2009</v>
      </c>
      <c r="C728" s="1">
        <v>6</v>
      </c>
      <c r="D728" s="1">
        <v>8</v>
      </c>
      <c r="E728" t="s">
        <v>4</v>
      </c>
      <c r="G728" s="1">
        <v>3</v>
      </c>
      <c r="H728" s="11" t="str">
        <f t="shared" si="47"/>
        <v>2009_06_008.gif</v>
      </c>
      <c r="I728"/>
      <c r="J728"/>
      <c r="L728" s="1" t="b">
        <v>0</v>
      </c>
      <c r="M728" s="1">
        <v>0</v>
      </c>
      <c r="N728" s="1" t="s">
        <v>601</v>
      </c>
      <c r="O728" s="1">
        <v>727</v>
      </c>
      <c r="P728" s="12" t="str">
        <f t="shared" si="50"/>
        <v>Centripetal Motion - Calculation</v>
      </c>
      <c r="Q728" s="1">
        <v>5267</v>
      </c>
      <c r="R728" s="1" t="str">
        <f t="shared" si="48"/>
        <v>2009_06</v>
      </c>
      <c r="T728" s="1"/>
      <c r="AM728" s="1">
        <v>1</v>
      </c>
    </row>
    <row r="729" spans="1:54" x14ac:dyDescent="0.2">
      <c r="A729" t="s">
        <v>630</v>
      </c>
      <c r="B729" s="1">
        <v>2009</v>
      </c>
      <c r="C729" s="1">
        <v>6</v>
      </c>
      <c r="D729" s="1">
        <v>9</v>
      </c>
      <c r="E729" t="s">
        <v>5</v>
      </c>
      <c r="G729" s="1">
        <v>4</v>
      </c>
      <c r="H729" s="11" t="str">
        <f t="shared" si="47"/>
        <v>2009_06_009.gif</v>
      </c>
      <c r="I729"/>
      <c r="J729"/>
      <c r="L729" s="1" t="b">
        <v>0</v>
      </c>
      <c r="M729" s="1">
        <v>0</v>
      </c>
      <c r="N729" s="1" t="s">
        <v>601</v>
      </c>
      <c r="O729" s="1">
        <v>728</v>
      </c>
      <c r="P729" s="12" t="str">
        <f t="shared" si="50"/>
        <v>Newton's 1st Law (Inertia)</v>
      </c>
      <c r="Q729" s="1">
        <v>5268</v>
      </c>
      <c r="R729" s="1" t="str">
        <f t="shared" si="48"/>
        <v>2009_06</v>
      </c>
      <c r="T729" s="1"/>
      <c r="AR729" s="1">
        <v>1</v>
      </c>
    </row>
    <row r="730" spans="1:54" x14ac:dyDescent="0.2">
      <c r="A730" t="s">
        <v>631</v>
      </c>
      <c r="B730" s="1">
        <v>2009</v>
      </c>
      <c r="C730" s="1">
        <v>6</v>
      </c>
      <c r="D730" s="1">
        <v>10</v>
      </c>
      <c r="E730" t="s">
        <v>5</v>
      </c>
      <c r="G730" s="1">
        <v>2</v>
      </c>
      <c r="H730" s="11" t="str">
        <f t="shared" si="47"/>
        <v>2009_06_010.gif</v>
      </c>
      <c r="I730"/>
      <c r="J730"/>
      <c r="L730" s="1" t="b">
        <v>0</v>
      </c>
      <c r="M730" s="1">
        <v>0</v>
      </c>
      <c r="N730" s="1" t="s">
        <v>601</v>
      </c>
      <c r="O730" s="1">
        <v>729</v>
      </c>
      <c r="P730" s="12" t="str">
        <f t="shared" si="50"/>
        <v>Newton's 2nd Law (F=MA)</v>
      </c>
      <c r="Q730" s="1">
        <v>5269</v>
      </c>
      <c r="R730" s="1" t="str">
        <f t="shared" si="48"/>
        <v>2009_06</v>
      </c>
      <c r="T730" s="1"/>
      <c r="AS730" s="1">
        <v>1</v>
      </c>
    </row>
    <row r="731" spans="1:54" x14ac:dyDescent="0.2">
      <c r="A731" t="s">
        <v>632</v>
      </c>
      <c r="B731" s="1">
        <v>2009</v>
      </c>
      <c r="C731" s="1">
        <v>6</v>
      </c>
      <c r="D731" s="1">
        <v>11</v>
      </c>
      <c r="E731" t="s">
        <v>5</v>
      </c>
      <c r="G731" s="1">
        <v>3</v>
      </c>
      <c r="H731" s="11" t="str">
        <f t="shared" si="47"/>
        <v>2009_06_011.gif</v>
      </c>
      <c r="I731"/>
      <c r="J731"/>
      <c r="L731" s="1" t="b">
        <v>0</v>
      </c>
      <c r="M731" s="1">
        <v>0</v>
      </c>
      <c r="N731" s="1" t="s">
        <v>601</v>
      </c>
      <c r="O731" s="1">
        <v>730</v>
      </c>
      <c r="P731" s="12" t="str">
        <f t="shared" si="50"/>
        <v>Newton's 2nd Law (F=MA)</v>
      </c>
      <c r="Q731" s="1">
        <v>5270</v>
      </c>
      <c r="R731" s="1" t="str">
        <f t="shared" si="48"/>
        <v>2009_06</v>
      </c>
      <c r="T731" s="1"/>
      <c r="AS731" s="1">
        <v>1</v>
      </c>
    </row>
    <row r="732" spans="1:54" x14ac:dyDescent="0.2">
      <c r="A732" t="s">
        <v>633</v>
      </c>
      <c r="B732" s="1">
        <v>2009</v>
      </c>
      <c r="C732" s="1">
        <v>6</v>
      </c>
      <c r="D732" s="1">
        <v>12</v>
      </c>
      <c r="E732" t="s">
        <v>5</v>
      </c>
      <c r="G732" s="1">
        <v>4</v>
      </c>
      <c r="H732" s="11" t="str">
        <f t="shared" si="47"/>
        <v>2009_06_012.gif</v>
      </c>
      <c r="I732"/>
      <c r="J732"/>
      <c r="L732" s="1" t="b">
        <v>0</v>
      </c>
      <c r="M732" s="1">
        <v>0</v>
      </c>
      <c r="N732" s="1" t="s">
        <v>601</v>
      </c>
      <c r="O732" s="1">
        <v>731</v>
      </c>
      <c r="P732" s="12" t="str">
        <f t="shared" si="50"/>
        <v>Weight and Mass</v>
      </c>
      <c r="Q732" s="1">
        <v>5271</v>
      </c>
      <c r="R732" s="1" t="str">
        <f t="shared" si="48"/>
        <v>2009_06</v>
      </c>
      <c r="T732" s="1"/>
      <c r="AT732" s="1">
        <v>1</v>
      </c>
    </row>
    <row r="733" spans="1:54" x14ac:dyDescent="0.2">
      <c r="A733" t="s">
        <v>634</v>
      </c>
      <c r="B733" s="1">
        <v>2009</v>
      </c>
      <c r="C733" s="1">
        <v>6</v>
      </c>
      <c r="D733" s="1">
        <v>13</v>
      </c>
      <c r="E733" t="s">
        <v>7</v>
      </c>
      <c r="G733" s="1">
        <v>2</v>
      </c>
      <c r="H733" s="11" t="str">
        <f t="shared" si="47"/>
        <v>2009_06_013.gif</v>
      </c>
      <c r="I733"/>
      <c r="J733"/>
      <c r="L733" s="1" t="b">
        <v>0</v>
      </c>
      <c r="M733" s="1">
        <v>0</v>
      </c>
      <c r="N733" s="1" t="s">
        <v>601</v>
      </c>
      <c r="O733" s="1">
        <v>732</v>
      </c>
      <c r="P733" s="12" t="str">
        <f t="shared" si="50"/>
        <v>Work/Power</v>
      </c>
      <c r="Q733" s="1">
        <v>5272</v>
      </c>
      <c r="R733" s="1" t="str">
        <f t="shared" si="48"/>
        <v>2009_06</v>
      </c>
      <c r="T733" s="1"/>
      <c r="BB733" s="1">
        <v>1</v>
      </c>
    </row>
    <row r="734" spans="1:54" x14ac:dyDescent="0.2">
      <c r="A734" t="s">
        <v>635</v>
      </c>
      <c r="B734" s="1">
        <v>2009</v>
      </c>
      <c r="C734" s="1">
        <v>6</v>
      </c>
      <c r="D734" s="1">
        <v>14</v>
      </c>
      <c r="E734" t="s">
        <v>7</v>
      </c>
      <c r="G734" s="1">
        <v>3</v>
      </c>
      <c r="H734" s="11" t="str">
        <f t="shared" si="47"/>
        <v>2009_06_014.gif</v>
      </c>
      <c r="I734"/>
      <c r="J734"/>
      <c r="L734" s="1" t="b">
        <v>0</v>
      </c>
      <c r="M734" s="1">
        <v>0</v>
      </c>
      <c r="N734" s="1" t="s">
        <v>601</v>
      </c>
      <c r="O734" s="1">
        <v>733</v>
      </c>
      <c r="P734" s="12" t="str">
        <f t="shared" si="50"/>
        <v>Gravitational PE</v>
      </c>
      <c r="Q734" s="1">
        <v>5273</v>
      </c>
      <c r="R734" s="1" t="str">
        <f t="shared" si="48"/>
        <v>2009_06</v>
      </c>
      <c r="T734" s="1"/>
      <c r="AY734" s="1">
        <v>1</v>
      </c>
    </row>
    <row r="735" spans="1:54" x14ac:dyDescent="0.2">
      <c r="A735" t="s">
        <v>636</v>
      </c>
      <c r="B735" s="1">
        <v>2009</v>
      </c>
      <c r="C735" s="1">
        <v>6</v>
      </c>
      <c r="D735" s="1">
        <v>15</v>
      </c>
      <c r="E735" t="s">
        <v>7</v>
      </c>
      <c r="G735" s="1">
        <v>3</v>
      </c>
      <c r="H735" s="11" t="str">
        <f t="shared" si="47"/>
        <v>2009_06_015.gif</v>
      </c>
      <c r="I735"/>
      <c r="J735"/>
      <c r="L735" s="1" t="b">
        <v>0</v>
      </c>
      <c r="M735" s="1">
        <v>0</v>
      </c>
      <c r="N735" s="1" t="s">
        <v>601</v>
      </c>
      <c r="O735" s="1">
        <v>734</v>
      </c>
      <c r="P735" s="12" t="str">
        <f t="shared" si="50"/>
        <v>Conservation of Energy</v>
      </c>
      <c r="Q735" s="1">
        <v>5274</v>
      </c>
      <c r="R735" s="1" t="str">
        <f t="shared" si="48"/>
        <v>2009_06</v>
      </c>
      <c r="T735" s="1"/>
      <c r="AX735" s="1">
        <v>1</v>
      </c>
    </row>
    <row r="736" spans="1:54" x14ac:dyDescent="0.2">
      <c r="A736" t="s">
        <v>637</v>
      </c>
      <c r="B736" s="1">
        <v>2009</v>
      </c>
      <c r="C736" s="1">
        <v>6</v>
      </c>
      <c r="D736" s="1">
        <v>16</v>
      </c>
      <c r="E736" t="s">
        <v>7</v>
      </c>
      <c r="G736" s="1">
        <v>1</v>
      </c>
      <c r="H736" s="11" t="str">
        <f t="shared" si="47"/>
        <v>2009_06_016.gif</v>
      </c>
      <c r="I736"/>
      <c r="J736"/>
      <c r="L736" s="1" t="b">
        <v>0</v>
      </c>
      <c r="M736" s="1">
        <v>0</v>
      </c>
      <c r="N736" s="1" t="s">
        <v>601</v>
      </c>
      <c r="O736" s="1">
        <v>735</v>
      </c>
      <c r="P736" s="12" t="str">
        <f t="shared" si="50"/>
        <v>PE of Spring</v>
      </c>
      <c r="Q736" s="1">
        <v>5275</v>
      </c>
      <c r="R736" s="1" t="str">
        <f t="shared" si="48"/>
        <v>2009_06</v>
      </c>
      <c r="T736" s="1"/>
      <c r="BA736" s="1">
        <v>1</v>
      </c>
    </row>
    <row r="737" spans="1:78" x14ac:dyDescent="0.2">
      <c r="A737" t="s">
        <v>638</v>
      </c>
      <c r="B737" s="1">
        <v>2009</v>
      </c>
      <c r="C737" s="1">
        <v>6</v>
      </c>
      <c r="D737" s="1">
        <v>17</v>
      </c>
      <c r="E737" t="s">
        <v>5</v>
      </c>
      <c r="F737" t="s">
        <v>548</v>
      </c>
      <c r="G737" s="1">
        <v>1</v>
      </c>
      <c r="H737" s="11" t="str">
        <f t="shared" si="47"/>
        <v>2009_06_017.gif</v>
      </c>
      <c r="I737"/>
      <c r="J737"/>
      <c r="L737" s="1" t="b">
        <v>0</v>
      </c>
      <c r="M737" s="1">
        <v>0</v>
      </c>
      <c r="N737" s="1" t="s">
        <v>601</v>
      </c>
      <c r="O737" s="1">
        <v>736</v>
      </c>
      <c r="P737" s="12" t="str">
        <f t="shared" si="50"/>
        <v>Law of Gravity,Mathematical Relationships (Numberless Problems)</v>
      </c>
      <c r="Q737" s="1">
        <v>5276</v>
      </c>
      <c r="R737" s="1" t="str">
        <f t="shared" si="48"/>
        <v>2009_06</v>
      </c>
      <c r="T737" s="1"/>
      <c r="AQ737" s="1">
        <v>1</v>
      </c>
      <c r="BY737" s="1">
        <v>1</v>
      </c>
    </row>
    <row r="738" spans="1:78" x14ac:dyDescent="0.2">
      <c r="A738" t="s">
        <v>639</v>
      </c>
      <c r="B738" s="1">
        <v>2009</v>
      </c>
      <c r="C738" s="1">
        <v>6</v>
      </c>
      <c r="D738" s="1">
        <v>18</v>
      </c>
      <c r="E738" t="s">
        <v>11</v>
      </c>
      <c r="G738" s="1">
        <v>3</v>
      </c>
      <c r="H738" s="11" t="str">
        <f t="shared" si="47"/>
        <v>2009_06_018.gif</v>
      </c>
      <c r="I738"/>
      <c r="J738"/>
      <c r="L738" s="1" t="b">
        <v>0</v>
      </c>
      <c r="M738" s="1">
        <v>0</v>
      </c>
      <c r="N738" s="1" t="s">
        <v>601</v>
      </c>
      <c r="O738" s="1">
        <v>737</v>
      </c>
      <c r="P738" s="12" t="str">
        <f t="shared" si="50"/>
        <v>Resistance of Wire</v>
      </c>
      <c r="Q738" s="1">
        <v>5277</v>
      </c>
      <c r="R738" s="1" t="str">
        <f t="shared" si="48"/>
        <v>2009_06</v>
      </c>
      <c r="T738" s="1"/>
      <c r="BR738" s="1">
        <v>1</v>
      </c>
    </row>
    <row r="739" spans="1:78" x14ac:dyDescent="0.2">
      <c r="A739" t="s">
        <v>640</v>
      </c>
      <c r="B739" s="1">
        <v>2009</v>
      </c>
      <c r="C739" s="1">
        <v>6</v>
      </c>
      <c r="D739" s="1">
        <v>19</v>
      </c>
      <c r="E739" t="s">
        <v>11</v>
      </c>
      <c r="G739" s="1">
        <v>2</v>
      </c>
      <c r="H739" s="11" t="str">
        <f t="shared" si="47"/>
        <v>2009_06_019.gif</v>
      </c>
      <c r="I739"/>
      <c r="J739"/>
      <c r="L739" s="1" t="b">
        <v>0</v>
      </c>
      <c r="M739" s="1">
        <v>0</v>
      </c>
      <c r="N739" s="1" t="s">
        <v>601</v>
      </c>
      <c r="O739" s="1">
        <v>738</v>
      </c>
      <c r="P739" s="12" t="str">
        <f t="shared" si="50"/>
        <v>Ohm's Law</v>
      </c>
      <c r="Q739" s="1">
        <v>5278</v>
      </c>
      <c r="R739" s="1" t="str">
        <f t="shared" si="48"/>
        <v>2009_06</v>
      </c>
      <c r="T739" s="1"/>
      <c r="BQ739" s="1">
        <v>1</v>
      </c>
    </row>
    <row r="740" spans="1:78" x14ac:dyDescent="0.2">
      <c r="A740" t="s">
        <v>641</v>
      </c>
      <c r="B740" s="1">
        <v>2009</v>
      </c>
      <c r="C740" s="1">
        <v>6</v>
      </c>
      <c r="D740" s="1">
        <v>20</v>
      </c>
      <c r="E740" t="s">
        <v>11</v>
      </c>
      <c r="F740" t="s">
        <v>756</v>
      </c>
      <c r="G740" s="1">
        <v>3</v>
      </c>
      <c r="H740" s="11" t="str">
        <f t="shared" si="47"/>
        <v>2009_06_020.gif</v>
      </c>
      <c r="I740"/>
      <c r="J740"/>
      <c r="L740" s="1" t="b">
        <v>0</v>
      </c>
      <c r="M740" s="1">
        <v>0</v>
      </c>
      <c r="N740" s="1" t="s">
        <v>601</v>
      </c>
      <c r="O740" s="1">
        <v>739</v>
      </c>
      <c r="P740" s="12" t="str">
        <f t="shared" si="50"/>
        <v>Electrical Power</v>
      </c>
      <c r="Q740" s="1">
        <v>5279</v>
      </c>
      <c r="R740" s="1" t="str">
        <f t="shared" si="48"/>
        <v>2009_06</v>
      </c>
      <c r="T740" s="1"/>
      <c r="BP740" s="1">
        <v>1</v>
      </c>
    </row>
    <row r="741" spans="1:78" x14ac:dyDescent="0.2">
      <c r="A741" t="s">
        <v>642</v>
      </c>
      <c r="B741" s="1">
        <v>2009</v>
      </c>
      <c r="C741" s="1">
        <v>6</v>
      </c>
      <c r="D741" s="1">
        <v>21</v>
      </c>
      <c r="E741" t="s">
        <v>10</v>
      </c>
      <c r="G741" s="1">
        <v>4</v>
      </c>
      <c r="H741" s="11" t="str">
        <f t="shared" si="47"/>
        <v>2009_06_021.gif</v>
      </c>
      <c r="I741"/>
      <c r="J741"/>
      <c r="L741" s="1" t="b">
        <v>0</v>
      </c>
      <c r="M741" s="1">
        <v>0</v>
      </c>
      <c r="N741" s="1" t="s">
        <v>601</v>
      </c>
      <c r="O741" s="1">
        <v>740</v>
      </c>
      <c r="P741" s="12" t="str">
        <f t="shared" si="50"/>
        <v>Electric Fields and Potential</v>
      </c>
      <c r="Q741" s="1">
        <v>5280</v>
      </c>
      <c r="R741" s="1" t="str">
        <f t="shared" si="48"/>
        <v>2009_06</v>
      </c>
      <c r="T741" s="1"/>
      <c r="BN741" s="1">
        <v>1</v>
      </c>
    </row>
    <row r="742" spans="1:78" x14ac:dyDescent="0.2">
      <c r="A742" t="s">
        <v>643</v>
      </c>
      <c r="B742" s="1">
        <v>2009</v>
      </c>
      <c r="C742" s="1">
        <v>6</v>
      </c>
      <c r="D742" s="1">
        <v>22</v>
      </c>
      <c r="E742" t="s">
        <v>12</v>
      </c>
      <c r="G742" s="1">
        <v>1</v>
      </c>
      <c r="H742" s="11" t="str">
        <f t="shared" si="47"/>
        <v>2009_06_022.gif</v>
      </c>
      <c r="I742"/>
      <c r="J742"/>
      <c r="L742" s="1" t="b">
        <v>0</v>
      </c>
      <c r="M742" s="1">
        <v>0</v>
      </c>
      <c r="N742" s="1" t="s">
        <v>601</v>
      </c>
      <c r="O742" s="1">
        <v>741</v>
      </c>
      <c r="P742" s="12" t="str">
        <f t="shared" si="50"/>
        <v>Magnetism</v>
      </c>
      <c r="Q742" s="1">
        <v>5281</v>
      </c>
      <c r="R742" s="1" t="str">
        <f t="shared" si="48"/>
        <v>2009_06</v>
      </c>
      <c r="T742" s="1"/>
      <c r="BZ742" s="1">
        <v>1</v>
      </c>
    </row>
    <row r="743" spans="1:78" x14ac:dyDescent="0.2">
      <c r="A743" t="s">
        <v>644</v>
      </c>
      <c r="B743" s="1">
        <v>2009</v>
      </c>
      <c r="C743" s="1">
        <v>6</v>
      </c>
      <c r="D743" s="1">
        <v>23</v>
      </c>
      <c r="E743" t="s">
        <v>9</v>
      </c>
      <c r="G743" s="1">
        <v>2</v>
      </c>
      <c r="H743" s="11" t="str">
        <f t="shared" si="47"/>
        <v>2009_06_023.gif</v>
      </c>
      <c r="I743"/>
      <c r="J743"/>
      <c r="L743" s="1" t="b">
        <v>0</v>
      </c>
      <c r="M743" s="1">
        <v>3</v>
      </c>
      <c r="N743" s="1" t="s">
        <v>601</v>
      </c>
      <c r="O743" s="1">
        <v>742</v>
      </c>
      <c r="P743" s="12" t="str">
        <f t="shared" si="50"/>
        <v>Light and Sound</v>
      </c>
      <c r="Q743" s="1">
        <v>5282</v>
      </c>
      <c r="R743" s="1" t="str">
        <f t="shared" si="48"/>
        <v>2009_06</v>
      </c>
      <c r="T743" s="1"/>
      <c r="BI743" s="1">
        <v>1</v>
      </c>
    </row>
    <row r="744" spans="1:78" x14ac:dyDescent="0.2">
      <c r="A744" t="s">
        <v>645</v>
      </c>
      <c r="B744" s="1">
        <v>2009</v>
      </c>
      <c r="C744" s="1">
        <v>6</v>
      </c>
      <c r="D744" s="1">
        <v>24</v>
      </c>
      <c r="E744" t="s">
        <v>8</v>
      </c>
      <c r="G744" s="1">
        <v>1</v>
      </c>
      <c r="H744" s="11" t="str">
        <f t="shared" si="47"/>
        <v>2009_06_024.gif</v>
      </c>
      <c r="I744"/>
      <c r="J744"/>
      <c r="L744" s="1" t="b">
        <v>0</v>
      </c>
      <c r="M744" s="1">
        <v>0</v>
      </c>
      <c r="N744" s="1" t="s">
        <v>601</v>
      </c>
      <c r="O744" s="1">
        <v>743</v>
      </c>
      <c r="P744" s="12" t="str">
        <f t="shared" si="50"/>
        <v>Wave Vocabulary</v>
      </c>
      <c r="Q744" s="1">
        <v>5283</v>
      </c>
      <c r="R744" s="1" t="str">
        <f t="shared" si="48"/>
        <v>2009_06</v>
      </c>
      <c r="T744" s="1"/>
      <c r="BF744" s="1">
        <v>1</v>
      </c>
    </row>
    <row r="745" spans="1:78" x14ac:dyDescent="0.2">
      <c r="A745" t="s">
        <v>646</v>
      </c>
      <c r="B745" s="1">
        <v>2009</v>
      </c>
      <c r="C745" s="1">
        <v>6</v>
      </c>
      <c r="D745" s="1">
        <v>25</v>
      </c>
      <c r="E745" t="s">
        <v>8</v>
      </c>
      <c r="G745" s="1">
        <v>2</v>
      </c>
      <c r="H745" s="11" t="str">
        <f t="shared" si="47"/>
        <v>2009_06_025.gif</v>
      </c>
      <c r="I745"/>
      <c r="J745"/>
      <c r="L745" s="1" t="b">
        <v>0</v>
      </c>
      <c r="M745" s="1">
        <v>0</v>
      </c>
      <c r="N745" s="1" t="s">
        <v>601</v>
      </c>
      <c r="O745" s="1">
        <v>744</v>
      </c>
      <c r="P745" s="12" t="str">
        <f t="shared" si="50"/>
        <v>Wave Vocabulary</v>
      </c>
      <c r="Q745" s="1">
        <v>5284</v>
      </c>
      <c r="R745" s="1" t="str">
        <f t="shared" si="48"/>
        <v>2009_06</v>
      </c>
      <c r="T745" s="1"/>
      <c r="BF745" s="1">
        <v>1</v>
      </c>
    </row>
    <row r="746" spans="1:78" x14ac:dyDescent="0.2">
      <c r="A746" t="s">
        <v>647</v>
      </c>
      <c r="B746" s="1">
        <v>2009</v>
      </c>
      <c r="C746" s="1">
        <v>6</v>
      </c>
      <c r="D746" s="1">
        <v>26</v>
      </c>
      <c r="E746" t="s">
        <v>9</v>
      </c>
      <c r="F746" t="s">
        <v>8</v>
      </c>
      <c r="G746" s="1">
        <v>2</v>
      </c>
      <c r="H746" s="11" t="str">
        <f t="shared" si="47"/>
        <v>2009_06_026.gif</v>
      </c>
      <c r="I746"/>
      <c r="J746"/>
      <c r="L746" s="1" t="b">
        <v>0</v>
      </c>
      <c r="M746" s="1">
        <v>0</v>
      </c>
      <c r="N746" s="1" t="s">
        <v>601</v>
      </c>
      <c r="O746" s="1">
        <v>745</v>
      </c>
      <c r="P746" s="12" t="str">
        <f t="shared" si="50"/>
        <v>V=FxLamda,Light and Sound</v>
      </c>
      <c r="Q746" s="1">
        <v>5285</v>
      </c>
      <c r="R746" s="1" t="str">
        <f t="shared" si="48"/>
        <v>2009_06</v>
      </c>
      <c r="T746" s="1"/>
      <c r="BE746" s="1">
        <v>1</v>
      </c>
      <c r="BI746" s="1">
        <v>1</v>
      </c>
    </row>
    <row r="747" spans="1:78" x14ac:dyDescent="0.2">
      <c r="A747" t="s">
        <v>648</v>
      </c>
      <c r="B747" s="1">
        <v>2009</v>
      </c>
      <c r="C747" s="1">
        <v>6</v>
      </c>
      <c r="D747" s="1">
        <v>27</v>
      </c>
      <c r="E747" t="s">
        <v>9</v>
      </c>
      <c r="G747" s="1">
        <v>3</v>
      </c>
      <c r="H747" s="11" t="str">
        <f t="shared" si="47"/>
        <v>2009_06_027.gif</v>
      </c>
      <c r="I747"/>
      <c r="J747"/>
      <c r="L747" s="1" t="b">
        <v>0</v>
      </c>
      <c r="M747" s="1">
        <v>0</v>
      </c>
      <c r="N747" s="1" t="s">
        <v>601</v>
      </c>
      <c r="O747" s="1">
        <v>746</v>
      </c>
      <c r="P747" s="12" t="str">
        <f t="shared" si="50"/>
        <v>Light and Sound</v>
      </c>
      <c r="Q747" s="1">
        <v>5286</v>
      </c>
      <c r="R747" s="1" t="str">
        <f t="shared" si="48"/>
        <v>2009_06</v>
      </c>
      <c r="T747" s="1"/>
      <c r="BI747" s="1">
        <v>1</v>
      </c>
    </row>
    <row r="748" spans="1:78" x14ac:dyDescent="0.2">
      <c r="A748" t="s">
        <v>649</v>
      </c>
      <c r="B748" s="1">
        <v>2009</v>
      </c>
      <c r="C748" s="1">
        <v>6</v>
      </c>
      <c r="D748" s="1">
        <v>28</v>
      </c>
      <c r="E748" t="s">
        <v>9</v>
      </c>
      <c r="G748" s="1">
        <v>4</v>
      </c>
      <c r="H748" s="11" t="str">
        <f t="shared" si="47"/>
        <v>2009_06_028.gif</v>
      </c>
      <c r="I748"/>
      <c r="J748"/>
      <c r="L748" s="1" t="b">
        <v>0</v>
      </c>
      <c r="M748" s="1">
        <v>0</v>
      </c>
      <c r="N748" s="1" t="s">
        <v>601</v>
      </c>
      <c r="O748" s="1">
        <v>747</v>
      </c>
      <c r="P748" s="12" t="str">
        <f t="shared" si="50"/>
        <v>Refraction and Snell's Law</v>
      </c>
      <c r="Q748" s="1">
        <v>5287</v>
      </c>
      <c r="R748" s="1" t="str">
        <f t="shared" si="48"/>
        <v>2009_06</v>
      </c>
      <c r="T748" s="1"/>
      <c r="BJ748" s="1">
        <v>1</v>
      </c>
    </row>
    <row r="749" spans="1:78" x14ac:dyDescent="0.2">
      <c r="A749" t="s">
        <v>650</v>
      </c>
      <c r="B749" s="1">
        <v>2009</v>
      </c>
      <c r="C749" s="1">
        <v>6</v>
      </c>
      <c r="D749" s="1">
        <v>29</v>
      </c>
      <c r="E749" t="s">
        <v>8</v>
      </c>
      <c r="G749" s="1">
        <v>2</v>
      </c>
      <c r="H749" s="11" t="str">
        <f t="shared" si="47"/>
        <v>2009_06_029.gif</v>
      </c>
      <c r="I749"/>
      <c r="J749"/>
      <c r="L749" s="1" t="b">
        <v>0</v>
      </c>
      <c r="M749" s="1">
        <v>0</v>
      </c>
      <c r="N749" s="1" t="s">
        <v>601</v>
      </c>
      <c r="O749" s="1">
        <v>748</v>
      </c>
      <c r="P749" s="12" t="str">
        <f t="shared" si="50"/>
        <v>Superposition and Standing Waves</v>
      </c>
      <c r="Q749" s="1">
        <v>5288</v>
      </c>
      <c r="R749" s="1" t="str">
        <f t="shared" si="48"/>
        <v>2009_06</v>
      </c>
      <c r="T749" s="1"/>
      <c r="BD749" s="1">
        <v>1</v>
      </c>
    </row>
    <row r="750" spans="1:78" x14ac:dyDescent="0.2">
      <c r="A750" t="s">
        <v>651</v>
      </c>
      <c r="B750" s="1">
        <v>2009</v>
      </c>
      <c r="C750" s="1">
        <v>6</v>
      </c>
      <c r="D750" s="1">
        <v>30</v>
      </c>
      <c r="E750" t="s">
        <v>8</v>
      </c>
      <c r="F750" t="s">
        <v>9</v>
      </c>
      <c r="G750" s="1">
        <v>1</v>
      </c>
      <c r="H750" s="11" t="str">
        <f t="shared" si="47"/>
        <v>2009_06_030.gif</v>
      </c>
      <c r="I750"/>
      <c r="J750"/>
      <c r="L750" s="1" t="b">
        <v>0</v>
      </c>
      <c r="M750" s="1">
        <v>0</v>
      </c>
      <c r="N750" s="1" t="s">
        <v>601</v>
      </c>
      <c r="O750" s="1">
        <v>749</v>
      </c>
      <c r="P750" s="12" t="str">
        <f t="shared" si="50"/>
        <v>Resonance,Light and Sound</v>
      </c>
      <c r="Q750" s="1">
        <v>5289</v>
      </c>
      <c r="R750" s="1" t="str">
        <f t="shared" si="48"/>
        <v>2009_06</v>
      </c>
      <c r="T750" s="1"/>
      <c r="BC750" s="1">
        <v>1</v>
      </c>
      <c r="BI750" s="1">
        <v>1</v>
      </c>
    </row>
    <row r="751" spans="1:78" x14ac:dyDescent="0.2">
      <c r="A751" t="s">
        <v>652</v>
      </c>
      <c r="B751" s="1">
        <v>2009</v>
      </c>
      <c r="C751" s="1">
        <v>6</v>
      </c>
      <c r="D751" s="1">
        <v>31</v>
      </c>
      <c r="E751" t="s">
        <v>13</v>
      </c>
      <c r="G751" s="1">
        <v>4</v>
      </c>
      <c r="H751" s="11" t="str">
        <f t="shared" si="47"/>
        <v>2009_06_031.gif</v>
      </c>
      <c r="I751"/>
      <c r="J751"/>
      <c r="L751" s="1" t="b">
        <v>0</v>
      </c>
      <c r="M751" s="1">
        <v>0</v>
      </c>
      <c r="N751" s="1" t="s">
        <v>601</v>
      </c>
      <c r="O751" s="1">
        <v>750</v>
      </c>
      <c r="P751" s="12" t="str">
        <f t="shared" si="50"/>
        <v>Particle Physics</v>
      </c>
      <c r="Q751" s="1">
        <v>5290</v>
      </c>
      <c r="R751" s="1" t="str">
        <f t="shared" si="48"/>
        <v>2009_06</v>
      </c>
      <c r="T751" s="1"/>
      <c r="BW751" s="1">
        <v>1</v>
      </c>
    </row>
    <row r="752" spans="1:78" x14ac:dyDescent="0.2">
      <c r="A752" t="s">
        <v>653</v>
      </c>
      <c r="B752" s="1">
        <v>2009</v>
      </c>
      <c r="C752" s="1">
        <v>6</v>
      </c>
      <c r="D752" s="1">
        <v>32</v>
      </c>
      <c r="E752" t="s">
        <v>13</v>
      </c>
      <c r="G752" s="1">
        <v>4</v>
      </c>
      <c r="H752" s="11" t="str">
        <f t="shared" si="47"/>
        <v>2009_06_032.gif</v>
      </c>
      <c r="I752"/>
      <c r="J752"/>
      <c r="L752" s="1" t="b">
        <v>0</v>
      </c>
      <c r="M752" s="1">
        <v>0</v>
      </c>
      <c r="N752" s="1" t="s">
        <v>601</v>
      </c>
      <c r="O752" s="1">
        <v>751</v>
      </c>
      <c r="P752" s="12" t="str">
        <f t="shared" si="50"/>
        <v>Energy/Frequency of Photon</v>
      </c>
      <c r="Q752" s="1">
        <v>5291</v>
      </c>
      <c r="R752" s="1" t="str">
        <f t="shared" si="48"/>
        <v>2009_06</v>
      </c>
      <c r="T752" s="1"/>
      <c r="BU752" s="1">
        <v>1</v>
      </c>
    </row>
    <row r="753" spans="1:77" x14ac:dyDescent="0.2">
      <c r="A753" t="s">
        <v>654</v>
      </c>
      <c r="B753" s="1">
        <v>2009</v>
      </c>
      <c r="C753" s="1">
        <v>6</v>
      </c>
      <c r="D753" s="1">
        <v>33</v>
      </c>
      <c r="E753" t="s">
        <v>13</v>
      </c>
      <c r="G753" s="1">
        <v>2</v>
      </c>
      <c r="H753" s="11" t="str">
        <f t="shared" si="47"/>
        <v>2009_06_033.gif</v>
      </c>
      <c r="I753"/>
      <c r="J753"/>
      <c r="L753" s="1" t="b">
        <v>0</v>
      </c>
      <c r="M753" s="1">
        <v>0</v>
      </c>
      <c r="N753" s="1" t="s">
        <v>601</v>
      </c>
      <c r="O753" s="1">
        <v>752</v>
      </c>
      <c r="P753" s="12" t="str">
        <f t="shared" si="50"/>
        <v>Energy/Frequency of Photon</v>
      </c>
      <c r="Q753" s="1">
        <v>5292</v>
      </c>
      <c r="R753" s="1" t="str">
        <f t="shared" si="48"/>
        <v>2009_06</v>
      </c>
      <c r="T753" s="1"/>
      <c r="BU753" s="1">
        <v>1</v>
      </c>
    </row>
    <row r="754" spans="1:77" x14ac:dyDescent="0.2">
      <c r="A754" t="s">
        <v>655</v>
      </c>
      <c r="B754" s="1">
        <v>2009</v>
      </c>
      <c r="C754" s="1">
        <v>6</v>
      </c>
      <c r="D754" s="1">
        <v>34</v>
      </c>
      <c r="E754" t="s">
        <v>548</v>
      </c>
      <c r="F754" t="s">
        <v>5</v>
      </c>
      <c r="G754" s="1">
        <v>4</v>
      </c>
      <c r="H754" s="11" t="str">
        <f t="shared" si="47"/>
        <v>2009_06_034.gif</v>
      </c>
      <c r="I754"/>
      <c r="J754"/>
      <c r="L754" s="1" t="b">
        <v>0</v>
      </c>
      <c r="M754" s="1">
        <v>0</v>
      </c>
      <c r="N754" s="1" t="s">
        <v>601</v>
      </c>
      <c r="O754" s="1">
        <v>753</v>
      </c>
      <c r="P754" s="12" t="str">
        <f t="shared" si="50"/>
        <v>Law of Gravity,Mathematical Relationships (Numberless Problems)</v>
      </c>
      <c r="Q754" s="1">
        <v>5293</v>
      </c>
      <c r="R754" s="1" t="str">
        <f t="shared" si="48"/>
        <v>2009_06</v>
      </c>
      <c r="T754" s="1"/>
      <c r="AQ754" s="1">
        <v>1</v>
      </c>
      <c r="BY754" s="1">
        <v>1</v>
      </c>
    </row>
    <row r="755" spans="1:77" x14ac:dyDescent="0.2">
      <c r="A755" t="s">
        <v>656</v>
      </c>
      <c r="B755" s="1">
        <v>2009</v>
      </c>
      <c r="C755" s="1">
        <v>6</v>
      </c>
      <c r="D755" s="1">
        <v>35</v>
      </c>
      <c r="E755" t="s">
        <v>13</v>
      </c>
      <c r="G755" s="1">
        <v>1</v>
      </c>
      <c r="H755" s="11" t="str">
        <f t="shared" si="47"/>
        <v>2009_06_035.gif</v>
      </c>
      <c r="I755"/>
      <c r="J755"/>
      <c r="L755" s="1" t="b">
        <v>0</v>
      </c>
      <c r="M755" s="1">
        <v>0</v>
      </c>
      <c r="N755" s="1" t="s">
        <v>601</v>
      </c>
      <c r="O755" s="1">
        <v>754</v>
      </c>
      <c r="P755" s="12" t="str">
        <f t="shared" si="50"/>
        <v>Energy/Mass Equivalency,Particle Physics</v>
      </c>
      <c r="Q755" s="1">
        <v>5294</v>
      </c>
      <c r="R755" s="1" t="str">
        <f t="shared" si="48"/>
        <v>2009_06</v>
      </c>
      <c r="T755" s="1"/>
      <c r="BV755" s="1">
        <v>1</v>
      </c>
      <c r="BW755" s="1">
        <v>1</v>
      </c>
    </row>
    <row r="756" spans="1:77" x14ac:dyDescent="0.2">
      <c r="A756" t="str">
        <f t="shared" ref="A756:A767" si="51">B756 &amp; "_" &amp; TEXT(C756,"00") &amp; "_" &amp; TEXT(D756,"000")</f>
        <v>2009_06_036</v>
      </c>
      <c r="B756" s="1">
        <v>2009</v>
      </c>
      <c r="C756" s="1">
        <v>6</v>
      </c>
      <c r="D756" s="1">
        <v>36</v>
      </c>
      <c r="E756" t="s">
        <v>1</v>
      </c>
      <c r="G756" s="1">
        <v>1</v>
      </c>
      <c r="H756" s="11" t="str">
        <f t="shared" si="47"/>
        <v>2009_06_036.gif</v>
      </c>
      <c r="I756"/>
      <c r="J756"/>
      <c r="L756" s="1" t="b">
        <v>0</v>
      </c>
      <c r="M756" s="1">
        <v>0</v>
      </c>
      <c r="N756" s="1" t="s">
        <v>657</v>
      </c>
      <c r="O756" s="1">
        <v>755</v>
      </c>
      <c r="P756" s="12" t="str">
        <f t="shared" si="50"/>
        <v>Estimation</v>
      </c>
      <c r="Q756" s="1">
        <v>5295</v>
      </c>
      <c r="R756" s="1" t="str">
        <f t="shared" si="48"/>
        <v>2009_06</v>
      </c>
      <c r="T756" s="1"/>
      <c r="U756" s="1">
        <v>1</v>
      </c>
    </row>
    <row r="757" spans="1:77" x14ac:dyDescent="0.2">
      <c r="A757" t="str">
        <f t="shared" si="51"/>
        <v>2009_06_037</v>
      </c>
      <c r="B757" s="1">
        <v>2009</v>
      </c>
      <c r="C757" s="1">
        <v>6</v>
      </c>
      <c r="D757" s="1">
        <v>37</v>
      </c>
      <c r="E757" t="s">
        <v>2</v>
      </c>
      <c r="G757" s="1">
        <v>1</v>
      </c>
      <c r="H757" s="11" t="str">
        <f t="shared" si="47"/>
        <v>2009_06_037.gif</v>
      </c>
      <c r="I757"/>
      <c r="J757"/>
      <c r="L757" s="1" t="b">
        <v>0</v>
      </c>
      <c r="M757" s="1">
        <v>0</v>
      </c>
      <c r="N757" s="1" t="s">
        <v>657</v>
      </c>
      <c r="O757" s="1">
        <v>756</v>
      </c>
      <c r="P757" s="12" t="str">
        <f t="shared" si="50"/>
        <v>DT/VT Graphs</v>
      </c>
      <c r="Q757" s="1">
        <v>5296</v>
      </c>
      <c r="R757" s="1" t="str">
        <f t="shared" si="48"/>
        <v>2009_06</v>
      </c>
      <c r="T757" s="1"/>
      <c r="W757" s="1">
        <v>1</v>
      </c>
    </row>
    <row r="758" spans="1:77" x14ac:dyDescent="0.2">
      <c r="A758" t="str">
        <f t="shared" si="51"/>
        <v>2009_06_038</v>
      </c>
      <c r="B758" s="1">
        <v>2009</v>
      </c>
      <c r="C758" s="1">
        <v>6</v>
      </c>
      <c r="D758" s="1">
        <v>38</v>
      </c>
      <c r="E758" t="s">
        <v>2</v>
      </c>
      <c r="G758" s="1">
        <v>3</v>
      </c>
      <c r="H758" s="11" t="str">
        <f t="shared" si="47"/>
        <v>2009_06_038.gif</v>
      </c>
      <c r="I758"/>
      <c r="J758"/>
      <c r="L758" s="1" t="b">
        <v>0</v>
      </c>
      <c r="M758" s="1">
        <v>0</v>
      </c>
      <c r="N758" s="1" t="s">
        <v>657</v>
      </c>
      <c r="O758" s="1">
        <v>757</v>
      </c>
      <c r="P758" s="12" t="str">
        <f t="shared" si="50"/>
        <v>DT/VT Graphs</v>
      </c>
      <c r="Q758" s="1">
        <v>5297</v>
      </c>
      <c r="R758" s="1" t="str">
        <f t="shared" si="48"/>
        <v>2009_06</v>
      </c>
      <c r="T758" s="1"/>
      <c r="W758" s="1">
        <v>1</v>
      </c>
    </row>
    <row r="759" spans="1:77" x14ac:dyDescent="0.2">
      <c r="A759" t="str">
        <f t="shared" si="51"/>
        <v>2009_06_039</v>
      </c>
      <c r="B759" s="1">
        <v>2009</v>
      </c>
      <c r="C759" s="1">
        <v>6</v>
      </c>
      <c r="D759" s="1">
        <v>39</v>
      </c>
      <c r="E759" t="s">
        <v>5</v>
      </c>
      <c r="G759" s="1">
        <v>2</v>
      </c>
      <c r="H759" s="11" t="str">
        <f t="shared" si="47"/>
        <v>2009_06_039.gif</v>
      </c>
      <c r="I759"/>
      <c r="J759"/>
      <c r="L759" s="1" t="b">
        <v>0</v>
      </c>
      <c r="M759" s="1">
        <v>0</v>
      </c>
      <c r="N759" s="1" t="s">
        <v>657</v>
      </c>
      <c r="O759" s="1">
        <v>758</v>
      </c>
      <c r="P759" s="12" t="str">
        <f t="shared" si="50"/>
        <v>Weight and Mass</v>
      </c>
      <c r="Q759" s="1">
        <v>5298</v>
      </c>
      <c r="R759" s="1" t="str">
        <f t="shared" si="48"/>
        <v>2009_06</v>
      </c>
      <c r="T759" s="1"/>
      <c r="AT759" s="1">
        <v>1</v>
      </c>
    </row>
    <row r="760" spans="1:77" x14ac:dyDescent="0.2">
      <c r="A760" t="str">
        <f t="shared" si="51"/>
        <v>2009_06_040</v>
      </c>
      <c r="B760" s="1">
        <v>2009</v>
      </c>
      <c r="C760" s="1">
        <v>6</v>
      </c>
      <c r="D760" s="1">
        <v>40</v>
      </c>
      <c r="E760" t="s">
        <v>6</v>
      </c>
      <c r="G760" s="1">
        <v>4</v>
      </c>
      <c r="H760" s="11" t="str">
        <f t="shared" si="47"/>
        <v>2009_06_040.gif</v>
      </c>
      <c r="I760"/>
      <c r="J760"/>
      <c r="L760" s="1" t="b">
        <v>0</v>
      </c>
      <c r="M760" s="1">
        <v>0</v>
      </c>
      <c r="N760" s="1" t="s">
        <v>657</v>
      </c>
      <c r="O760" s="1">
        <v>759</v>
      </c>
      <c r="P760" s="12" t="str">
        <f t="shared" si="50"/>
        <v>Impulse</v>
      </c>
      <c r="Q760" s="1">
        <v>5299</v>
      </c>
      <c r="R760" s="1" t="str">
        <f t="shared" si="48"/>
        <v>2009_06</v>
      </c>
      <c r="T760" s="1"/>
      <c r="AV760" s="1">
        <v>1</v>
      </c>
    </row>
    <row r="761" spans="1:77" x14ac:dyDescent="0.2">
      <c r="A761" t="str">
        <f t="shared" si="51"/>
        <v>2009_06_041</v>
      </c>
      <c r="B761" s="1">
        <v>2009</v>
      </c>
      <c r="C761" s="1">
        <v>6</v>
      </c>
      <c r="D761" s="1">
        <v>41</v>
      </c>
      <c r="E761" t="s">
        <v>7</v>
      </c>
      <c r="F761" t="s">
        <v>548</v>
      </c>
      <c r="G761" s="1">
        <v>3</v>
      </c>
      <c r="H761" s="11" t="str">
        <f t="shared" si="47"/>
        <v>2009_06_041.gif</v>
      </c>
      <c r="I761"/>
      <c r="J761"/>
      <c r="L761" s="1" t="b">
        <v>0</v>
      </c>
      <c r="M761" s="1">
        <v>0</v>
      </c>
      <c r="N761" s="1" t="s">
        <v>657</v>
      </c>
      <c r="O761" s="1">
        <v>760</v>
      </c>
      <c r="P761" s="12" t="str">
        <f t="shared" si="50"/>
        <v>Work/Power,Graph Interpretation</v>
      </c>
      <c r="Q761" s="1">
        <v>5300</v>
      </c>
      <c r="R761" s="1" t="str">
        <f t="shared" si="48"/>
        <v>2009_06</v>
      </c>
      <c r="T761" s="1"/>
      <c r="BB761" s="1">
        <v>1</v>
      </c>
      <c r="BX761" s="1">
        <v>1</v>
      </c>
    </row>
    <row r="762" spans="1:77" x14ac:dyDescent="0.2">
      <c r="A762" t="str">
        <f t="shared" si="51"/>
        <v>2009_06_042</v>
      </c>
      <c r="B762" s="1">
        <v>2009</v>
      </c>
      <c r="C762" s="1">
        <v>6</v>
      </c>
      <c r="D762" s="1">
        <v>42</v>
      </c>
      <c r="E762" t="s">
        <v>7</v>
      </c>
      <c r="F762" t="s">
        <v>548</v>
      </c>
      <c r="G762" s="1">
        <v>3</v>
      </c>
      <c r="H762" s="11" t="str">
        <f t="shared" si="47"/>
        <v>2009_06_042.gif</v>
      </c>
      <c r="I762"/>
      <c r="J762"/>
      <c r="L762" s="1" t="b">
        <v>0</v>
      </c>
      <c r="M762" s="1">
        <v>0</v>
      </c>
      <c r="N762" s="1" t="s">
        <v>657</v>
      </c>
      <c r="O762" s="1">
        <v>761</v>
      </c>
      <c r="P762" s="12" t="str">
        <f t="shared" si="50"/>
        <v>Conservation of Energy,Graph Interpretation</v>
      </c>
      <c r="Q762" s="1">
        <v>5301</v>
      </c>
      <c r="R762" s="1" t="str">
        <f t="shared" si="48"/>
        <v>2009_06</v>
      </c>
      <c r="T762" s="1"/>
      <c r="AX762" s="1">
        <v>1</v>
      </c>
      <c r="BX762" s="1">
        <v>1</v>
      </c>
    </row>
    <row r="763" spans="1:77" x14ac:dyDescent="0.2">
      <c r="A763" t="str">
        <f t="shared" si="51"/>
        <v>2009_06_043</v>
      </c>
      <c r="B763" s="1">
        <v>2009</v>
      </c>
      <c r="C763" s="1">
        <v>6</v>
      </c>
      <c r="D763" s="1">
        <v>43</v>
      </c>
      <c r="E763" t="s">
        <v>1</v>
      </c>
      <c r="G763" s="1">
        <v>1</v>
      </c>
      <c r="H763" s="11" t="str">
        <f t="shared" si="47"/>
        <v>2009_06_043.gif</v>
      </c>
      <c r="I763"/>
      <c r="J763"/>
      <c r="L763" s="1" t="b">
        <v>0</v>
      </c>
      <c r="M763" s="1">
        <v>0</v>
      </c>
      <c r="N763" s="1" t="s">
        <v>657</v>
      </c>
      <c r="O763" s="1">
        <v>762</v>
      </c>
      <c r="P763" s="12" t="str">
        <f t="shared" si="50"/>
        <v>Units</v>
      </c>
      <c r="Q763" s="1">
        <v>5302</v>
      </c>
      <c r="R763" s="1" t="str">
        <f t="shared" si="48"/>
        <v>2009_06</v>
      </c>
      <c r="T763" s="1"/>
      <c r="V763" s="1">
        <v>1</v>
      </c>
    </row>
    <row r="764" spans="1:77" x14ac:dyDescent="0.2">
      <c r="A764" t="str">
        <f t="shared" si="51"/>
        <v>2009_06_044</v>
      </c>
      <c r="B764" s="1">
        <v>2009</v>
      </c>
      <c r="C764" s="1">
        <v>6</v>
      </c>
      <c r="D764" s="1">
        <v>44</v>
      </c>
      <c r="E764" t="s">
        <v>13</v>
      </c>
      <c r="F764" t="s">
        <v>548</v>
      </c>
      <c r="G764" s="1">
        <v>4</v>
      </c>
      <c r="H764" s="11" t="str">
        <f t="shared" si="47"/>
        <v>2009_06_044.gif</v>
      </c>
      <c r="I764"/>
      <c r="J764"/>
      <c r="L764" s="1" t="b">
        <v>0</v>
      </c>
      <c r="M764" s="1">
        <v>0</v>
      </c>
      <c r="N764" s="1" t="s">
        <v>657</v>
      </c>
      <c r="O764" s="1">
        <v>763</v>
      </c>
      <c r="P764" s="12" t="str">
        <f t="shared" si="50"/>
        <v>Energy/Frequency of Photon,Mathematical Relationships (Numberless Problems)</v>
      </c>
      <c r="Q764" s="1">
        <v>5303</v>
      </c>
      <c r="R764" s="1" t="str">
        <f t="shared" si="48"/>
        <v>2009_06</v>
      </c>
      <c r="T764" s="1"/>
      <c r="BU764" s="1">
        <v>1</v>
      </c>
      <c r="BY764" s="1">
        <v>1</v>
      </c>
    </row>
    <row r="765" spans="1:77" x14ac:dyDescent="0.2">
      <c r="A765" t="str">
        <f t="shared" si="51"/>
        <v>2009_06_045</v>
      </c>
      <c r="B765" s="1">
        <v>2009</v>
      </c>
      <c r="C765" s="1">
        <v>6</v>
      </c>
      <c r="D765" s="1">
        <v>45</v>
      </c>
      <c r="E765" t="s">
        <v>11</v>
      </c>
      <c r="F765" t="s">
        <v>548</v>
      </c>
      <c r="G765" s="1">
        <v>1</v>
      </c>
      <c r="H765" s="11" t="str">
        <f t="shared" si="47"/>
        <v>2009_06_045.gif</v>
      </c>
      <c r="I765"/>
      <c r="J765"/>
      <c r="L765" s="1" t="b">
        <v>0</v>
      </c>
      <c r="M765" s="1">
        <v>0</v>
      </c>
      <c r="N765" s="1" t="s">
        <v>657</v>
      </c>
      <c r="O765" s="1">
        <v>764</v>
      </c>
      <c r="P765" s="12" t="str">
        <f t="shared" si="50"/>
        <v>Ohm's Law,Graph Interpretation</v>
      </c>
      <c r="Q765" s="1">
        <v>5304</v>
      </c>
      <c r="R765" s="1" t="str">
        <f t="shared" si="48"/>
        <v>2009_06</v>
      </c>
      <c r="T765" s="1"/>
      <c r="BQ765" s="1">
        <v>1</v>
      </c>
      <c r="BX765" s="1">
        <v>1</v>
      </c>
    </row>
    <row r="766" spans="1:77" x14ac:dyDescent="0.2">
      <c r="A766" t="str">
        <f t="shared" si="51"/>
        <v>2009_06_046</v>
      </c>
      <c r="B766" s="1">
        <v>2009</v>
      </c>
      <c r="C766" s="1">
        <v>6</v>
      </c>
      <c r="D766" s="1">
        <v>46</v>
      </c>
      <c r="E766" t="s">
        <v>11</v>
      </c>
      <c r="G766" s="1">
        <v>4</v>
      </c>
      <c r="H766" s="11" t="str">
        <f t="shared" si="47"/>
        <v>2009_06_046.gif</v>
      </c>
      <c r="I766"/>
      <c r="J766"/>
      <c r="L766" s="1" t="b">
        <v>0</v>
      </c>
      <c r="M766" s="1">
        <v>0</v>
      </c>
      <c r="N766" s="1" t="s">
        <v>657</v>
      </c>
      <c r="O766" s="1">
        <v>765</v>
      </c>
      <c r="P766" s="12" t="str">
        <f t="shared" si="50"/>
        <v>Series and Parallel</v>
      </c>
      <c r="Q766" s="1">
        <v>5305</v>
      </c>
      <c r="R766" s="1" t="str">
        <f t="shared" si="48"/>
        <v>2009_06</v>
      </c>
      <c r="T766" s="1"/>
      <c r="BS766" s="1">
        <v>1</v>
      </c>
    </row>
    <row r="767" spans="1:77" x14ac:dyDescent="0.2">
      <c r="A767" t="str">
        <f t="shared" si="51"/>
        <v>2009_06_047</v>
      </c>
      <c r="B767" s="1">
        <v>2009</v>
      </c>
      <c r="C767" s="1">
        <v>6</v>
      </c>
      <c r="D767" s="1">
        <v>47</v>
      </c>
      <c r="E767" t="s">
        <v>11</v>
      </c>
      <c r="G767" s="1">
        <v>3</v>
      </c>
      <c r="H767" s="11" t="str">
        <f t="shared" si="47"/>
        <v>2009_06_047.gif</v>
      </c>
      <c r="I767"/>
      <c r="J767"/>
      <c r="L767" s="1" t="b">
        <v>0</v>
      </c>
      <c r="M767" s="1">
        <v>0</v>
      </c>
      <c r="N767" s="1" t="s">
        <v>657</v>
      </c>
      <c r="O767" s="1">
        <v>766</v>
      </c>
      <c r="P767" s="12" t="str">
        <f t="shared" si="50"/>
        <v>Series and Parallel</v>
      </c>
      <c r="Q767" s="1">
        <v>5306</v>
      </c>
      <c r="R767" s="1" t="str">
        <f t="shared" si="48"/>
        <v>2009_06</v>
      </c>
      <c r="T767" s="1"/>
      <c r="BS767" s="1">
        <v>1</v>
      </c>
    </row>
    <row r="768" spans="1:77" x14ac:dyDescent="0.2">
      <c r="A768" s="19" t="s">
        <v>689</v>
      </c>
      <c r="B768" s="1">
        <v>2010</v>
      </c>
      <c r="C768" s="1">
        <v>6</v>
      </c>
      <c r="D768" s="1">
        <v>1</v>
      </c>
      <c r="E768" t="s">
        <v>2</v>
      </c>
      <c r="G768" s="18">
        <v>2</v>
      </c>
      <c r="H768" s="11" t="str">
        <f t="shared" si="47"/>
        <v>2010_06_001.gif</v>
      </c>
      <c r="I768"/>
      <c r="J768"/>
      <c r="L768" s="1" t="b">
        <v>0</v>
      </c>
      <c r="M768" s="1">
        <v>0</v>
      </c>
      <c r="N768" s="1" t="s">
        <v>601</v>
      </c>
      <c r="O768" s="1">
        <v>767</v>
      </c>
      <c r="P768" s="12" t="str">
        <f t="shared" si="50"/>
        <v>Basic Motion Concepts</v>
      </c>
      <c r="Q768" s="1">
        <v>5334</v>
      </c>
      <c r="R768" s="1" t="str">
        <f t="shared" si="48"/>
        <v>2010_06</v>
      </c>
      <c r="T768" s="1"/>
      <c r="Z768" s="1">
        <v>1</v>
      </c>
    </row>
    <row r="769" spans="1:52" x14ac:dyDescent="0.2">
      <c r="A769" s="19" t="s">
        <v>690</v>
      </c>
      <c r="B769" s="1">
        <v>2010</v>
      </c>
      <c r="C769" s="1">
        <v>6</v>
      </c>
      <c r="D769" s="1">
        <v>2</v>
      </c>
      <c r="E769" t="s">
        <v>2</v>
      </c>
      <c r="G769" s="18">
        <v>3</v>
      </c>
      <c r="H769" s="11" t="str">
        <f t="shared" si="47"/>
        <v>2010_06_002.gif</v>
      </c>
      <c r="I769"/>
      <c r="J769"/>
      <c r="L769" s="1" t="b">
        <v>0</v>
      </c>
      <c r="M769" s="1">
        <v>0</v>
      </c>
      <c r="N769" s="1" t="s">
        <v>601</v>
      </c>
      <c r="O769" s="1">
        <v>768</v>
      </c>
      <c r="P769" s="12" t="str">
        <f t="shared" si="50"/>
        <v>Basic Motion Concepts</v>
      </c>
      <c r="Q769" s="1">
        <v>5335</v>
      </c>
      <c r="R769" s="1" t="str">
        <f t="shared" si="48"/>
        <v>2010_06</v>
      </c>
      <c r="T769" s="1"/>
      <c r="Z769" s="1">
        <v>1</v>
      </c>
    </row>
    <row r="770" spans="1:52" x14ac:dyDescent="0.2">
      <c r="A770" s="19" t="s">
        <v>691</v>
      </c>
      <c r="B770" s="1">
        <v>2010</v>
      </c>
      <c r="C770" s="1">
        <v>6</v>
      </c>
      <c r="D770" s="1">
        <v>3</v>
      </c>
      <c r="E770" t="s">
        <v>2</v>
      </c>
      <c r="G770" s="18">
        <v>3</v>
      </c>
      <c r="H770" s="11" t="str">
        <f t="shared" ref="H770:H833" si="52">HYPERLINK(A770&amp;".gif")</f>
        <v>2010_06_003.gif</v>
      </c>
      <c r="I770"/>
      <c r="J770"/>
      <c r="L770" s="1" t="b">
        <v>0</v>
      </c>
      <c r="M770" s="1">
        <v>0</v>
      </c>
      <c r="N770" s="1" t="s">
        <v>601</v>
      </c>
      <c r="O770" s="1">
        <v>769</v>
      </c>
      <c r="P770" s="12" t="str">
        <f t="shared" si="50"/>
        <v>Horizontal Constant Acceleration Problems</v>
      </c>
      <c r="Q770" s="1">
        <v>5336</v>
      </c>
      <c r="R770" s="1" t="str">
        <f t="shared" si="48"/>
        <v>2010_06</v>
      </c>
      <c r="T770" s="1"/>
      <c r="AB770" s="1">
        <v>1</v>
      </c>
    </row>
    <row r="771" spans="1:52" x14ac:dyDescent="0.2">
      <c r="A771" s="19" t="s">
        <v>692</v>
      </c>
      <c r="B771" s="1">
        <v>2010</v>
      </c>
      <c r="C771" s="1">
        <v>6</v>
      </c>
      <c r="D771" s="1">
        <v>4</v>
      </c>
      <c r="E771" t="s">
        <v>6</v>
      </c>
      <c r="G771" s="18">
        <v>4</v>
      </c>
      <c r="H771" s="11" t="str">
        <f t="shared" si="52"/>
        <v>2010_06_004.gif</v>
      </c>
      <c r="I771"/>
      <c r="J771"/>
      <c r="L771" s="1" t="b">
        <v>0</v>
      </c>
      <c r="M771" s="1">
        <v>0</v>
      </c>
      <c r="N771" s="1" t="s">
        <v>601</v>
      </c>
      <c r="O771" s="1">
        <v>770</v>
      </c>
      <c r="P771" s="12" t="str">
        <f t="shared" si="50"/>
        <v>Impulse</v>
      </c>
      <c r="Q771" s="1">
        <v>5337</v>
      </c>
      <c r="R771" s="1" t="str">
        <f t="shared" ref="R771:R834" si="53">B771&amp;"_"&amp;TEXT(C771,"00")</f>
        <v>2010_06</v>
      </c>
      <c r="T771" s="1"/>
      <c r="AV771" s="1">
        <v>1</v>
      </c>
    </row>
    <row r="772" spans="1:52" x14ac:dyDescent="0.2">
      <c r="A772" s="19" t="s">
        <v>693</v>
      </c>
      <c r="B772" s="1">
        <v>2010</v>
      </c>
      <c r="C772" s="1">
        <v>6</v>
      </c>
      <c r="D772" s="1">
        <v>5</v>
      </c>
      <c r="E772" t="s">
        <v>5</v>
      </c>
      <c r="G772" s="18">
        <v>4</v>
      </c>
      <c r="H772" s="11" t="str">
        <f t="shared" si="52"/>
        <v>2010_06_005.gif</v>
      </c>
      <c r="I772"/>
      <c r="J772"/>
      <c r="L772" s="1" t="b">
        <v>0</v>
      </c>
      <c r="M772" s="1">
        <v>0</v>
      </c>
      <c r="N772" s="1" t="s">
        <v>601</v>
      </c>
      <c r="O772" s="1">
        <v>771</v>
      </c>
      <c r="P772" s="12" t="str">
        <f t="shared" si="50"/>
        <v>Newton's 2nd Law (F=MA)</v>
      </c>
      <c r="Q772" s="1">
        <v>5338</v>
      </c>
      <c r="R772" s="1" t="str">
        <f t="shared" si="53"/>
        <v>2010_06</v>
      </c>
      <c r="T772" s="1"/>
      <c r="AS772" s="1">
        <v>1</v>
      </c>
    </row>
    <row r="773" spans="1:52" x14ac:dyDescent="0.2">
      <c r="A773" s="19" t="s">
        <v>694</v>
      </c>
      <c r="B773" s="1">
        <v>2010</v>
      </c>
      <c r="C773" s="1">
        <v>6</v>
      </c>
      <c r="D773" s="1">
        <v>6</v>
      </c>
      <c r="E773" t="s">
        <v>4</v>
      </c>
      <c r="G773" s="18">
        <v>1</v>
      </c>
      <c r="H773" s="11" t="str">
        <f t="shared" si="52"/>
        <v>2010_06_006.gif</v>
      </c>
      <c r="I773"/>
      <c r="J773"/>
      <c r="L773" s="1" t="b">
        <v>0</v>
      </c>
      <c r="M773" s="1">
        <v>0</v>
      </c>
      <c r="N773" s="1" t="s">
        <v>601</v>
      </c>
      <c r="O773" s="1">
        <v>772</v>
      </c>
      <c r="P773" s="12" t="str">
        <f t="shared" si="50"/>
        <v>Horizontal Projectile Time of Flight</v>
      </c>
      <c r="Q773" s="1">
        <v>5339</v>
      </c>
      <c r="R773" s="1" t="str">
        <f t="shared" si="53"/>
        <v>2010_06</v>
      </c>
      <c r="T773" s="1"/>
      <c r="AJ773" s="1">
        <v>1</v>
      </c>
    </row>
    <row r="774" spans="1:52" x14ac:dyDescent="0.2">
      <c r="A774" s="19" t="s">
        <v>695</v>
      </c>
      <c r="B774" s="1">
        <v>2010</v>
      </c>
      <c r="C774" s="1">
        <v>6</v>
      </c>
      <c r="D774" s="1">
        <v>7</v>
      </c>
      <c r="E774" t="s">
        <v>5</v>
      </c>
      <c r="G774" s="18">
        <v>2</v>
      </c>
      <c r="H774" s="11" t="str">
        <f t="shared" si="52"/>
        <v>2010_06_007.gif</v>
      </c>
      <c r="I774"/>
      <c r="J774"/>
      <c r="L774" s="1" t="b">
        <v>0</v>
      </c>
      <c r="M774" s="1">
        <v>0</v>
      </c>
      <c r="N774" s="1" t="s">
        <v>601</v>
      </c>
      <c r="O774" s="1">
        <v>773</v>
      </c>
      <c r="P774" s="12" t="str">
        <f t="shared" si="50"/>
        <v>Weight and Mass</v>
      </c>
      <c r="Q774" s="1">
        <v>5340</v>
      </c>
      <c r="R774" s="1" t="str">
        <f t="shared" si="53"/>
        <v>2010_06</v>
      </c>
      <c r="T774" s="1"/>
      <c r="AT774" s="1">
        <v>1</v>
      </c>
    </row>
    <row r="775" spans="1:52" x14ac:dyDescent="0.2">
      <c r="A775" s="19" t="s">
        <v>696</v>
      </c>
      <c r="B775" s="1">
        <v>2010</v>
      </c>
      <c r="C775" s="1">
        <v>6</v>
      </c>
      <c r="D775" s="1">
        <v>8</v>
      </c>
      <c r="E775" t="s">
        <v>6</v>
      </c>
      <c r="G775" s="18">
        <v>1</v>
      </c>
      <c r="H775" s="11" t="str">
        <f t="shared" si="52"/>
        <v>2010_06_008.gif</v>
      </c>
      <c r="I775"/>
      <c r="J775"/>
      <c r="L775" s="1" t="b">
        <v>0</v>
      </c>
      <c r="M775" s="1">
        <v>0</v>
      </c>
      <c r="N775" s="1" t="s">
        <v>601</v>
      </c>
      <c r="O775" s="1">
        <v>774</v>
      </c>
      <c r="P775" s="12" t="str">
        <f t="shared" si="50"/>
        <v>Newton's 3rd Law (Equal But Opposite)</v>
      </c>
      <c r="Q775" s="1">
        <v>5341</v>
      </c>
      <c r="R775" s="1" t="str">
        <f t="shared" si="53"/>
        <v>2010_06</v>
      </c>
      <c r="T775" s="1"/>
      <c r="AW775" s="1">
        <v>1</v>
      </c>
    </row>
    <row r="776" spans="1:52" x14ac:dyDescent="0.2">
      <c r="A776" s="19" t="s">
        <v>697</v>
      </c>
      <c r="B776" s="1">
        <v>2010</v>
      </c>
      <c r="C776" s="1">
        <v>6</v>
      </c>
      <c r="D776" s="1">
        <v>9</v>
      </c>
      <c r="E776" t="s">
        <v>5</v>
      </c>
      <c r="G776" s="18">
        <v>4</v>
      </c>
      <c r="H776" s="11" t="str">
        <f t="shared" si="52"/>
        <v>2010_06_009.gif</v>
      </c>
      <c r="I776"/>
      <c r="J776"/>
      <c r="L776" s="1" t="b">
        <v>0</v>
      </c>
      <c r="M776" s="1">
        <v>0</v>
      </c>
      <c r="N776" s="1" t="s">
        <v>601</v>
      </c>
      <c r="O776" s="1">
        <v>775</v>
      </c>
      <c r="P776" s="12" t="str">
        <f t="shared" si="50"/>
        <v>Newton's 1st Law (Inertia)</v>
      </c>
      <c r="Q776" s="1">
        <v>5342</v>
      </c>
      <c r="R776" s="1" t="str">
        <f t="shared" si="53"/>
        <v>2010_06</v>
      </c>
      <c r="T776" s="1"/>
      <c r="AR776" s="1">
        <v>1</v>
      </c>
    </row>
    <row r="777" spans="1:52" x14ac:dyDescent="0.2">
      <c r="A777" s="19" t="s">
        <v>698</v>
      </c>
      <c r="B777" s="1">
        <v>2010</v>
      </c>
      <c r="C777" s="1">
        <v>6</v>
      </c>
      <c r="D777" s="1">
        <v>10</v>
      </c>
      <c r="E777" t="s">
        <v>5</v>
      </c>
      <c r="G777" s="18">
        <v>4</v>
      </c>
      <c r="H777" s="11" t="str">
        <f t="shared" si="52"/>
        <v>2010_06_010.gif</v>
      </c>
      <c r="I777"/>
      <c r="J777"/>
      <c r="L777" s="1" t="b">
        <v>0</v>
      </c>
      <c r="M777" s="1">
        <v>0</v>
      </c>
      <c r="N777" s="1" t="s">
        <v>601</v>
      </c>
      <c r="O777" s="1">
        <v>776</v>
      </c>
      <c r="P777" s="12" t="str">
        <f t="shared" si="50"/>
        <v>Newton's 2nd Law (F=MA)</v>
      </c>
      <c r="Q777" s="1">
        <v>5343</v>
      </c>
      <c r="R777" s="1" t="str">
        <f t="shared" si="53"/>
        <v>2010_06</v>
      </c>
      <c r="T777" s="1"/>
      <c r="AS777" s="1">
        <v>1</v>
      </c>
    </row>
    <row r="778" spans="1:52" x14ac:dyDescent="0.2">
      <c r="A778" s="19" t="s">
        <v>699</v>
      </c>
      <c r="B778" s="1">
        <v>2010</v>
      </c>
      <c r="C778" s="1">
        <v>6</v>
      </c>
      <c r="D778" s="1">
        <v>11</v>
      </c>
      <c r="E778" t="s">
        <v>2</v>
      </c>
      <c r="G778" s="18">
        <v>3</v>
      </c>
      <c r="H778" s="11" t="str">
        <f t="shared" si="52"/>
        <v>2010_06_011.gif</v>
      </c>
      <c r="I778"/>
      <c r="J778"/>
      <c r="L778" s="1" t="b">
        <v>0</v>
      </c>
      <c r="M778" s="1">
        <v>0</v>
      </c>
      <c r="N778" s="1" t="s">
        <v>601</v>
      </c>
      <c r="O778" s="1">
        <v>777</v>
      </c>
      <c r="P778" s="12" t="str">
        <f t="shared" si="50"/>
        <v>Vertical Constant Acceleration Problems</v>
      </c>
      <c r="Q778" s="1">
        <v>5344</v>
      </c>
      <c r="R778" s="1" t="str">
        <f t="shared" si="53"/>
        <v>2010_06</v>
      </c>
      <c r="T778" s="1"/>
      <c r="AC778" s="1">
        <v>1</v>
      </c>
    </row>
    <row r="779" spans="1:52" x14ac:dyDescent="0.2">
      <c r="A779" s="19" t="s">
        <v>700</v>
      </c>
      <c r="B779" s="1">
        <v>2010</v>
      </c>
      <c r="C779" s="1">
        <v>6</v>
      </c>
      <c r="D779" s="1">
        <v>12</v>
      </c>
      <c r="E779" t="s">
        <v>4</v>
      </c>
      <c r="G779" s="18">
        <v>3</v>
      </c>
      <c r="H779" s="11" t="str">
        <f t="shared" si="52"/>
        <v>2010_06_012.gif</v>
      </c>
      <c r="I779"/>
      <c r="J779"/>
      <c r="L779" s="1" t="b">
        <v>0</v>
      </c>
      <c r="M779" s="1">
        <v>0</v>
      </c>
      <c r="N779" s="1" t="s">
        <v>601</v>
      </c>
      <c r="O779" s="1">
        <v>778</v>
      </c>
      <c r="P779" s="12" t="str">
        <f t="shared" ref="P779:P842" si="54">concatenateif(U779:DI779,1,$U$1:$DI$1)</f>
        <v>Centripetal Motion - Direction F,A,V</v>
      </c>
      <c r="Q779" s="1">
        <v>5345</v>
      </c>
      <c r="R779" s="1" t="str">
        <f t="shared" si="53"/>
        <v>2010_06</v>
      </c>
      <c r="T779" s="1"/>
      <c r="AL779" s="1">
        <v>1</v>
      </c>
    </row>
    <row r="780" spans="1:52" x14ac:dyDescent="0.2">
      <c r="A780" s="19" t="s">
        <v>701</v>
      </c>
      <c r="B780" s="1">
        <v>2010</v>
      </c>
      <c r="C780" s="1">
        <v>6</v>
      </c>
      <c r="D780" s="1">
        <v>13</v>
      </c>
      <c r="E780" t="s">
        <v>6</v>
      </c>
      <c r="G780" s="18">
        <v>2</v>
      </c>
      <c r="H780" s="11" t="str">
        <f t="shared" si="52"/>
        <v>2010_06_013.gif</v>
      </c>
      <c r="I780"/>
      <c r="J780"/>
      <c r="L780" s="1" t="b">
        <v>0</v>
      </c>
      <c r="M780" s="1">
        <v>0</v>
      </c>
      <c r="N780" s="1" t="s">
        <v>601</v>
      </c>
      <c r="O780" s="1">
        <v>779</v>
      </c>
      <c r="P780" s="12" t="str">
        <f t="shared" si="54"/>
        <v>Conservation of Momentum</v>
      </c>
      <c r="Q780" s="1">
        <v>5346</v>
      </c>
      <c r="R780" s="1" t="str">
        <f t="shared" si="53"/>
        <v>2010_06</v>
      </c>
      <c r="T780" s="1"/>
      <c r="AU780" s="1">
        <v>1</v>
      </c>
    </row>
    <row r="781" spans="1:52" x14ac:dyDescent="0.2">
      <c r="A781" s="19" t="s">
        <v>702</v>
      </c>
      <c r="B781" s="1">
        <v>2010</v>
      </c>
      <c r="C781" s="1">
        <v>6</v>
      </c>
      <c r="D781" s="1">
        <v>14</v>
      </c>
      <c r="E781" t="s">
        <v>4</v>
      </c>
      <c r="G781" s="18">
        <v>4</v>
      </c>
      <c r="H781" s="11" t="str">
        <f t="shared" si="52"/>
        <v>2010_06_014.gif</v>
      </c>
      <c r="I781"/>
      <c r="J781"/>
      <c r="L781" s="1" t="b">
        <v>0</v>
      </c>
      <c r="M781" s="1">
        <v>0</v>
      </c>
      <c r="N781" s="1" t="s">
        <v>601</v>
      </c>
      <c r="O781" s="1">
        <v>780</v>
      </c>
      <c r="P781" s="12" t="str">
        <f t="shared" si="54"/>
        <v>Horizontal Projectile Range</v>
      </c>
      <c r="Q781" s="1">
        <v>5347</v>
      </c>
      <c r="R781" s="1" t="str">
        <f t="shared" si="53"/>
        <v>2010_06</v>
      </c>
      <c r="T781" s="1"/>
      <c r="AI781" s="1">
        <v>1</v>
      </c>
    </row>
    <row r="782" spans="1:52" x14ac:dyDescent="0.2">
      <c r="A782" s="19" t="s">
        <v>703</v>
      </c>
      <c r="B782" s="1">
        <v>2010</v>
      </c>
      <c r="C782" s="1">
        <v>6</v>
      </c>
      <c r="D782" s="1">
        <v>15</v>
      </c>
      <c r="E782" t="s">
        <v>7</v>
      </c>
      <c r="G782" s="18">
        <v>3</v>
      </c>
      <c r="H782" s="11" t="str">
        <f t="shared" si="52"/>
        <v>2010_06_015.gif</v>
      </c>
      <c r="I782"/>
      <c r="J782"/>
      <c r="L782" s="1" t="b">
        <v>0</v>
      </c>
      <c r="M782" s="1">
        <v>0</v>
      </c>
      <c r="N782" s="1" t="s">
        <v>601</v>
      </c>
      <c r="O782" s="1">
        <v>781</v>
      </c>
      <c r="P782" s="12" t="str">
        <f t="shared" si="54"/>
        <v>Conservation of Energy</v>
      </c>
      <c r="Q782" s="1">
        <v>5348</v>
      </c>
      <c r="R782" s="1" t="str">
        <f t="shared" si="53"/>
        <v>2010_06</v>
      </c>
      <c r="T782" s="1"/>
      <c r="AX782" s="1">
        <v>1</v>
      </c>
    </row>
    <row r="783" spans="1:52" x14ac:dyDescent="0.2">
      <c r="A783" s="19" t="s">
        <v>704</v>
      </c>
      <c r="B783" s="1">
        <v>2010</v>
      </c>
      <c r="C783" s="1">
        <v>6</v>
      </c>
      <c r="D783" s="1">
        <v>16</v>
      </c>
      <c r="E783" t="s">
        <v>7</v>
      </c>
      <c r="G783" s="18">
        <v>3</v>
      </c>
      <c r="H783" s="11" t="str">
        <f t="shared" si="52"/>
        <v>2010_06_016.gif</v>
      </c>
      <c r="I783"/>
      <c r="J783"/>
      <c r="L783" s="1" t="b">
        <v>0</v>
      </c>
      <c r="M783" s="1">
        <v>0</v>
      </c>
      <c r="N783" s="1" t="s">
        <v>601</v>
      </c>
      <c r="O783" s="1">
        <v>782</v>
      </c>
      <c r="P783" s="12" t="str">
        <f t="shared" si="54"/>
        <v>Kinetic Energy</v>
      </c>
      <c r="Q783" s="1">
        <v>5349</v>
      </c>
      <c r="R783" s="1" t="str">
        <f t="shared" si="53"/>
        <v>2010_06</v>
      </c>
      <c r="T783" s="1"/>
      <c r="AZ783" s="1">
        <v>1</v>
      </c>
    </row>
    <row r="784" spans="1:52" x14ac:dyDescent="0.2">
      <c r="A784" s="19" t="s">
        <v>705</v>
      </c>
      <c r="B784" s="1">
        <v>2010</v>
      </c>
      <c r="C784" s="1">
        <v>6</v>
      </c>
      <c r="D784" s="1">
        <v>17</v>
      </c>
      <c r="E784" t="s">
        <v>7</v>
      </c>
      <c r="G784" s="18">
        <v>2</v>
      </c>
      <c r="H784" s="11" t="str">
        <f t="shared" si="52"/>
        <v>2010_06_017.gif</v>
      </c>
      <c r="I784"/>
      <c r="J784"/>
      <c r="L784" s="1" t="b">
        <v>0</v>
      </c>
      <c r="M784" s="1">
        <v>0</v>
      </c>
      <c r="N784" s="1" t="s">
        <v>601</v>
      </c>
      <c r="O784" s="1">
        <v>783</v>
      </c>
      <c r="P784" s="12" t="str">
        <f t="shared" si="54"/>
        <v>Gravitational PE</v>
      </c>
      <c r="Q784" s="1">
        <v>5350</v>
      </c>
      <c r="R784" s="1" t="str">
        <f t="shared" si="53"/>
        <v>2010_06</v>
      </c>
      <c r="T784" s="1"/>
      <c r="AY784" s="1">
        <v>1</v>
      </c>
    </row>
    <row r="785" spans="1:78" x14ac:dyDescent="0.2">
      <c r="A785" s="19" t="s">
        <v>706</v>
      </c>
      <c r="B785" s="1">
        <v>2010</v>
      </c>
      <c r="C785" s="1">
        <v>6</v>
      </c>
      <c r="D785" s="1">
        <v>18</v>
      </c>
      <c r="E785" t="s">
        <v>11</v>
      </c>
      <c r="G785" s="18">
        <v>2</v>
      </c>
      <c r="H785" s="11" t="str">
        <f t="shared" si="52"/>
        <v>2010_06_018.gif</v>
      </c>
      <c r="I785"/>
      <c r="J785"/>
      <c r="L785" s="1" t="b">
        <v>0</v>
      </c>
      <c r="M785" s="1">
        <v>0</v>
      </c>
      <c r="N785" s="1" t="s">
        <v>601</v>
      </c>
      <c r="O785" s="1">
        <v>784</v>
      </c>
      <c r="P785" s="12" t="str">
        <f t="shared" si="54"/>
        <v>Electrical Power</v>
      </c>
      <c r="Q785" s="1">
        <v>5351</v>
      </c>
      <c r="R785" s="1" t="str">
        <f t="shared" si="53"/>
        <v>2010_06</v>
      </c>
      <c r="T785" s="1"/>
      <c r="BP785" s="1">
        <v>1</v>
      </c>
    </row>
    <row r="786" spans="1:78" x14ac:dyDescent="0.2">
      <c r="A786" s="19" t="s">
        <v>707</v>
      </c>
      <c r="B786" s="1">
        <v>2010</v>
      </c>
      <c r="C786" s="1">
        <v>6</v>
      </c>
      <c r="D786" s="1">
        <v>19</v>
      </c>
      <c r="E786" t="s">
        <v>12</v>
      </c>
      <c r="G786" s="18">
        <v>1</v>
      </c>
      <c r="H786" s="11" t="str">
        <f t="shared" si="52"/>
        <v>2010_06_019.gif</v>
      </c>
      <c r="I786"/>
      <c r="J786"/>
      <c r="L786" s="1" t="b">
        <v>0</v>
      </c>
      <c r="M786" s="1">
        <v>0</v>
      </c>
      <c r="N786" s="1" t="s">
        <v>601</v>
      </c>
      <c r="O786" s="1">
        <v>785</v>
      </c>
      <c r="P786" s="12" t="str">
        <f t="shared" si="54"/>
        <v>Magnetism</v>
      </c>
      <c r="Q786" s="1">
        <v>5352</v>
      </c>
      <c r="R786" s="1" t="str">
        <f t="shared" si="53"/>
        <v>2010_06</v>
      </c>
      <c r="T786" s="1"/>
      <c r="BZ786" s="1">
        <v>1</v>
      </c>
    </row>
    <row r="787" spans="1:78" x14ac:dyDescent="0.2">
      <c r="A787" s="19" t="s">
        <v>708</v>
      </c>
      <c r="B787" s="1">
        <v>2010</v>
      </c>
      <c r="C787" s="1">
        <v>6</v>
      </c>
      <c r="D787" s="1">
        <v>20</v>
      </c>
      <c r="E787" t="s">
        <v>11</v>
      </c>
      <c r="G787" s="18">
        <v>2</v>
      </c>
      <c r="H787" s="11" t="str">
        <f t="shared" si="52"/>
        <v>2010_06_020.gif</v>
      </c>
      <c r="I787"/>
      <c r="J787"/>
      <c r="L787" s="1" t="b">
        <v>0</v>
      </c>
      <c r="M787" s="1">
        <v>0</v>
      </c>
      <c r="N787" s="1" t="s">
        <v>601</v>
      </c>
      <c r="O787" s="1">
        <v>786</v>
      </c>
      <c r="P787" s="12" t="str">
        <f t="shared" si="54"/>
        <v>Electrical Definitions</v>
      </c>
      <c r="Q787" s="1">
        <v>5353</v>
      </c>
      <c r="R787" s="1" t="str">
        <f t="shared" si="53"/>
        <v>2010_06</v>
      </c>
      <c r="T787" s="1"/>
      <c r="BO787" s="1">
        <v>1</v>
      </c>
    </row>
    <row r="788" spans="1:78" x14ac:dyDescent="0.2">
      <c r="A788" s="19" t="s">
        <v>709</v>
      </c>
      <c r="B788" s="1">
        <v>2010</v>
      </c>
      <c r="C788" s="1">
        <v>6</v>
      </c>
      <c r="D788" s="1">
        <v>21</v>
      </c>
      <c r="E788" t="s">
        <v>10</v>
      </c>
      <c r="G788" s="18">
        <v>3</v>
      </c>
      <c r="H788" s="11" t="str">
        <f t="shared" si="52"/>
        <v>2010_06_021.gif</v>
      </c>
      <c r="I788"/>
      <c r="J788"/>
      <c r="L788" s="1" t="b">
        <v>0</v>
      </c>
      <c r="M788" s="1">
        <v>0</v>
      </c>
      <c r="N788" s="1" t="s">
        <v>601</v>
      </c>
      <c r="O788" s="1">
        <v>787</v>
      </c>
      <c r="P788" s="12" t="str">
        <f t="shared" si="54"/>
        <v>Coulomb's Law</v>
      </c>
      <c r="Q788" s="1">
        <v>5354</v>
      </c>
      <c r="R788" s="1" t="str">
        <f t="shared" si="53"/>
        <v>2010_06</v>
      </c>
      <c r="T788" s="1"/>
      <c r="BL788" s="1">
        <v>1</v>
      </c>
    </row>
    <row r="789" spans="1:78" x14ac:dyDescent="0.2">
      <c r="A789" s="19" t="s">
        <v>710</v>
      </c>
      <c r="B789" s="1">
        <v>2010</v>
      </c>
      <c r="C789" s="1">
        <v>6</v>
      </c>
      <c r="D789" s="1">
        <v>22</v>
      </c>
      <c r="E789" t="s">
        <v>10</v>
      </c>
      <c r="G789" s="18">
        <v>2</v>
      </c>
      <c r="H789" s="11" t="str">
        <f t="shared" si="52"/>
        <v>2010_06_022.gif</v>
      </c>
      <c r="I789"/>
      <c r="J789"/>
      <c r="L789" s="1" t="b">
        <v>0</v>
      </c>
      <c r="M789" s="1">
        <v>0</v>
      </c>
      <c r="N789" s="1" t="s">
        <v>601</v>
      </c>
      <c r="O789" s="1">
        <v>788</v>
      </c>
      <c r="P789" s="12" t="str">
        <f t="shared" si="54"/>
        <v>Electric Fields and Potential</v>
      </c>
      <c r="Q789" s="1">
        <v>5355</v>
      </c>
      <c r="R789" s="1" t="str">
        <f t="shared" si="53"/>
        <v>2010_06</v>
      </c>
      <c r="T789" s="1"/>
      <c r="BN789" s="1">
        <v>1</v>
      </c>
    </row>
    <row r="790" spans="1:78" x14ac:dyDescent="0.2">
      <c r="A790" s="19" t="s">
        <v>711</v>
      </c>
      <c r="B790" s="1">
        <v>2010</v>
      </c>
      <c r="C790" s="1">
        <v>6</v>
      </c>
      <c r="D790" s="1">
        <v>23</v>
      </c>
      <c r="E790" t="s">
        <v>11</v>
      </c>
      <c r="G790" s="18">
        <v>3</v>
      </c>
      <c r="H790" s="11" t="str">
        <f t="shared" si="52"/>
        <v>2010_06_023.gif</v>
      </c>
      <c r="I790"/>
      <c r="J790"/>
      <c r="L790" s="1" t="b">
        <v>0</v>
      </c>
      <c r="M790" s="1">
        <v>0</v>
      </c>
      <c r="N790" s="1" t="s">
        <v>601</v>
      </c>
      <c r="O790" s="1">
        <v>789</v>
      </c>
      <c r="P790" s="12" t="str">
        <f t="shared" si="54"/>
        <v>Series and Parallel</v>
      </c>
      <c r="Q790" s="1">
        <v>5356</v>
      </c>
      <c r="R790" s="1" t="str">
        <f t="shared" si="53"/>
        <v>2010_06</v>
      </c>
      <c r="T790" s="1"/>
      <c r="BS790" s="1">
        <v>1</v>
      </c>
    </row>
    <row r="791" spans="1:78" x14ac:dyDescent="0.2">
      <c r="A791" s="19" t="s">
        <v>712</v>
      </c>
      <c r="B791" s="1">
        <v>2010</v>
      </c>
      <c r="C791" s="1">
        <v>6</v>
      </c>
      <c r="D791" s="1">
        <v>24</v>
      </c>
      <c r="E791" t="s">
        <v>8</v>
      </c>
      <c r="G791" s="18">
        <v>4</v>
      </c>
      <c r="H791" s="11" t="str">
        <f t="shared" si="52"/>
        <v>2010_06_024.gif</v>
      </c>
      <c r="I791"/>
      <c r="J791"/>
      <c r="L791" s="1" t="b">
        <v>0</v>
      </c>
      <c r="M791" s="1">
        <v>0</v>
      </c>
      <c r="N791" s="1" t="s">
        <v>601</v>
      </c>
      <c r="O791" s="1">
        <v>790</v>
      </c>
      <c r="P791" s="12" t="str">
        <f t="shared" si="54"/>
        <v>Wave Vocabulary</v>
      </c>
      <c r="Q791" s="1">
        <v>5357</v>
      </c>
      <c r="R791" s="1" t="str">
        <f t="shared" si="53"/>
        <v>2010_06</v>
      </c>
      <c r="T791" s="1"/>
      <c r="BF791" s="1">
        <v>1</v>
      </c>
    </row>
    <row r="792" spans="1:78" x14ac:dyDescent="0.2">
      <c r="A792" s="19" t="s">
        <v>713</v>
      </c>
      <c r="B792" s="1">
        <v>2010</v>
      </c>
      <c r="C792" s="1">
        <v>6</v>
      </c>
      <c r="D792" s="1">
        <v>25</v>
      </c>
      <c r="E792" t="s">
        <v>8</v>
      </c>
      <c r="G792" s="18">
        <v>2</v>
      </c>
      <c r="H792" s="11" t="str">
        <f t="shared" si="52"/>
        <v>2010_06_025.gif</v>
      </c>
      <c r="I792"/>
      <c r="J792"/>
      <c r="L792" s="1" t="b">
        <v>0</v>
      </c>
      <c r="M792" s="1">
        <v>0</v>
      </c>
      <c r="N792" s="1" t="s">
        <v>601</v>
      </c>
      <c r="O792" s="1">
        <v>791</v>
      </c>
      <c r="P792" s="12" t="str">
        <f t="shared" si="54"/>
        <v>Wave Vocabulary</v>
      </c>
      <c r="Q792" s="1">
        <v>5358</v>
      </c>
      <c r="R792" s="1" t="str">
        <f t="shared" si="53"/>
        <v>2010_06</v>
      </c>
      <c r="T792" s="1"/>
      <c r="BF792" s="1">
        <v>1</v>
      </c>
    </row>
    <row r="793" spans="1:78" x14ac:dyDescent="0.2">
      <c r="A793" s="19" t="s">
        <v>714</v>
      </c>
      <c r="B793" s="1">
        <v>2010</v>
      </c>
      <c r="C793" s="1">
        <v>6</v>
      </c>
      <c r="D793" s="1">
        <v>26</v>
      </c>
      <c r="E793" t="s">
        <v>8</v>
      </c>
      <c r="G793" s="18">
        <v>1</v>
      </c>
      <c r="H793" s="11" t="str">
        <f t="shared" si="52"/>
        <v>2010_06_026.gif</v>
      </c>
      <c r="I793"/>
      <c r="J793"/>
      <c r="L793" s="1" t="b">
        <v>0</v>
      </c>
      <c r="M793" s="1">
        <v>0</v>
      </c>
      <c r="N793" s="1" t="s">
        <v>601</v>
      </c>
      <c r="O793" s="1">
        <v>792</v>
      </c>
      <c r="P793" s="12" t="str">
        <f t="shared" si="54"/>
        <v>Wave Vocabulary</v>
      </c>
      <c r="Q793" s="1">
        <v>5359</v>
      </c>
      <c r="R793" s="1" t="str">
        <f t="shared" si="53"/>
        <v>2010_06</v>
      </c>
      <c r="T793" s="1"/>
      <c r="BF793" s="1">
        <v>1</v>
      </c>
    </row>
    <row r="794" spans="1:78" x14ac:dyDescent="0.2">
      <c r="A794" s="19" t="s">
        <v>715</v>
      </c>
      <c r="B794" s="1">
        <v>2010</v>
      </c>
      <c r="C794" s="1">
        <v>6</v>
      </c>
      <c r="D794" s="1">
        <v>27</v>
      </c>
      <c r="E794" t="s">
        <v>9</v>
      </c>
      <c r="G794" s="18">
        <v>4</v>
      </c>
      <c r="H794" s="11" t="str">
        <f t="shared" si="52"/>
        <v>2010_06_027.gif</v>
      </c>
      <c r="I794"/>
      <c r="J794"/>
      <c r="L794" s="1" t="b">
        <v>0</v>
      </c>
      <c r="M794" s="1">
        <v>0</v>
      </c>
      <c r="N794" s="1" t="s">
        <v>601</v>
      </c>
      <c r="O794" s="1">
        <v>793</v>
      </c>
      <c r="P794" s="12" t="str">
        <f t="shared" si="54"/>
        <v>Refraction and Snell's Law</v>
      </c>
      <c r="Q794" s="1">
        <v>5360</v>
      </c>
      <c r="R794" s="1" t="str">
        <f t="shared" si="53"/>
        <v>2010_06</v>
      </c>
      <c r="T794" s="1"/>
      <c r="BJ794" s="1">
        <v>1</v>
      </c>
    </row>
    <row r="795" spans="1:78" x14ac:dyDescent="0.2">
      <c r="A795" s="19" t="s">
        <v>716</v>
      </c>
      <c r="B795" s="1">
        <v>2010</v>
      </c>
      <c r="C795" s="1">
        <v>6</v>
      </c>
      <c r="D795" s="1">
        <v>28</v>
      </c>
      <c r="E795" t="s">
        <v>9</v>
      </c>
      <c r="G795" s="18">
        <v>3</v>
      </c>
      <c r="H795" s="11" t="str">
        <f t="shared" si="52"/>
        <v>2010_06_028.gif</v>
      </c>
      <c r="I795"/>
      <c r="J795"/>
      <c r="L795" s="1" t="b">
        <v>0</v>
      </c>
      <c r="M795" s="1">
        <v>0</v>
      </c>
      <c r="N795" s="1" t="s">
        <v>601</v>
      </c>
      <c r="O795" s="1">
        <v>794</v>
      </c>
      <c r="P795" s="12" t="str">
        <f t="shared" si="54"/>
        <v>Light and Sound,Refraction and Snell's Law</v>
      </c>
      <c r="Q795" s="1">
        <v>5361</v>
      </c>
      <c r="R795" s="1" t="str">
        <f t="shared" si="53"/>
        <v>2010_06</v>
      </c>
      <c r="T795" s="1"/>
      <c r="BI795" s="1">
        <v>1</v>
      </c>
      <c r="BJ795" s="1">
        <v>1</v>
      </c>
    </row>
    <row r="796" spans="1:78" x14ac:dyDescent="0.2">
      <c r="A796" s="19" t="s">
        <v>717</v>
      </c>
      <c r="B796" s="1">
        <v>2010</v>
      </c>
      <c r="C796" s="1">
        <v>6</v>
      </c>
      <c r="D796" s="1">
        <v>29</v>
      </c>
      <c r="E796" t="s">
        <v>8</v>
      </c>
      <c r="G796" s="18">
        <v>1</v>
      </c>
      <c r="H796" s="11" t="str">
        <f t="shared" si="52"/>
        <v>2010_06_029.gif</v>
      </c>
      <c r="I796"/>
      <c r="J796"/>
      <c r="L796" s="1" t="b">
        <v>0</v>
      </c>
      <c r="M796" s="1">
        <v>0</v>
      </c>
      <c r="N796" s="1" t="s">
        <v>601</v>
      </c>
      <c r="O796" s="1">
        <v>795</v>
      </c>
      <c r="P796" s="12" t="str">
        <f t="shared" si="54"/>
        <v>Resonance</v>
      </c>
      <c r="Q796" s="1">
        <v>5362</v>
      </c>
      <c r="R796" s="1" t="str">
        <f t="shared" si="53"/>
        <v>2010_06</v>
      </c>
      <c r="T796" s="1"/>
      <c r="BC796" s="1">
        <v>1</v>
      </c>
    </row>
    <row r="797" spans="1:78" x14ac:dyDescent="0.2">
      <c r="A797" s="19" t="s">
        <v>718</v>
      </c>
      <c r="B797" s="1">
        <v>2010</v>
      </c>
      <c r="C797" s="1">
        <v>6</v>
      </c>
      <c r="D797" s="1">
        <v>30</v>
      </c>
      <c r="E797" t="s">
        <v>9</v>
      </c>
      <c r="F797" t="s">
        <v>8</v>
      </c>
      <c r="G797" s="18">
        <v>1</v>
      </c>
      <c r="H797" s="11" t="str">
        <f t="shared" si="52"/>
        <v>2010_06_030.gif</v>
      </c>
      <c r="I797"/>
      <c r="J797"/>
      <c r="L797" s="1" t="b">
        <v>0</v>
      </c>
      <c r="M797" s="1">
        <v>0</v>
      </c>
      <c r="N797" s="1" t="s">
        <v>601</v>
      </c>
      <c r="O797" s="1">
        <v>796</v>
      </c>
      <c r="P797" s="12" t="str">
        <f t="shared" si="54"/>
        <v>Wave Vocabulary,Light and Sound</v>
      </c>
      <c r="Q797" s="1">
        <v>5363</v>
      </c>
      <c r="R797" s="1" t="str">
        <f t="shared" si="53"/>
        <v>2010_06</v>
      </c>
      <c r="T797" s="1"/>
      <c r="BF797" s="1">
        <v>1</v>
      </c>
      <c r="BI797" s="1">
        <v>1</v>
      </c>
    </row>
    <row r="798" spans="1:78" x14ac:dyDescent="0.2">
      <c r="A798" s="19" t="s">
        <v>719</v>
      </c>
      <c r="B798" s="1">
        <v>2010</v>
      </c>
      <c r="C798" s="1">
        <v>6</v>
      </c>
      <c r="D798" s="1">
        <v>31</v>
      </c>
      <c r="E798" t="s">
        <v>13</v>
      </c>
      <c r="G798" s="18">
        <v>3</v>
      </c>
      <c r="H798" s="11" t="str">
        <f t="shared" si="52"/>
        <v>2010_06_031.gif</v>
      </c>
      <c r="I798"/>
      <c r="J798"/>
      <c r="L798" s="1" t="b">
        <v>0</v>
      </c>
      <c r="M798" s="1">
        <v>0</v>
      </c>
      <c r="N798" s="1" t="s">
        <v>601</v>
      </c>
      <c r="O798" s="1">
        <v>797</v>
      </c>
      <c r="P798" s="12" t="str">
        <f t="shared" si="54"/>
        <v>Particle Physics</v>
      </c>
      <c r="Q798" s="1">
        <v>5364</v>
      </c>
      <c r="R798" s="1" t="str">
        <f t="shared" si="53"/>
        <v>2010_06</v>
      </c>
      <c r="T798" s="1"/>
      <c r="BW798" s="1">
        <v>1</v>
      </c>
    </row>
    <row r="799" spans="1:78" x14ac:dyDescent="0.2">
      <c r="A799" s="19" t="s">
        <v>720</v>
      </c>
      <c r="B799" s="1">
        <v>2010</v>
      </c>
      <c r="C799" s="1">
        <v>6</v>
      </c>
      <c r="D799" s="1">
        <v>32</v>
      </c>
      <c r="E799" t="s">
        <v>13</v>
      </c>
      <c r="G799" s="18">
        <v>4</v>
      </c>
      <c r="H799" s="11" t="str">
        <f t="shared" si="52"/>
        <v>2010_06_032.gif</v>
      </c>
      <c r="I799"/>
      <c r="J799"/>
      <c r="L799" s="1" t="b">
        <v>0</v>
      </c>
      <c r="M799" s="1">
        <v>0</v>
      </c>
      <c r="N799" s="1" t="s">
        <v>601</v>
      </c>
      <c r="O799" s="1">
        <v>798</v>
      </c>
      <c r="P799" s="12" t="str">
        <f t="shared" si="54"/>
        <v>Particle Physics</v>
      </c>
      <c r="Q799" s="1">
        <v>5365</v>
      </c>
      <c r="R799" s="1" t="str">
        <f t="shared" si="53"/>
        <v>2010_06</v>
      </c>
      <c r="T799" s="1"/>
      <c r="BW799" s="1">
        <v>1</v>
      </c>
    </row>
    <row r="800" spans="1:78" x14ac:dyDescent="0.2">
      <c r="A800" s="19" t="s">
        <v>721</v>
      </c>
      <c r="B800" s="1">
        <v>2010</v>
      </c>
      <c r="C800" s="1">
        <v>6</v>
      </c>
      <c r="D800" s="1">
        <v>33</v>
      </c>
      <c r="E800" t="s">
        <v>13</v>
      </c>
      <c r="G800" s="18">
        <v>1</v>
      </c>
      <c r="H800" s="11" t="str">
        <f t="shared" si="52"/>
        <v>2010_06_033.gif</v>
      </c>
      <c r="I800"/>
      <c r="J800"/>
      <c r="L800" s="1" t="b">
        <v>0</v>
      </c>
      <c r="M800" s="1">
        <v>0</v>
      </c>
      <c r="N800" s="1" t="s">
        <v>601</v>
      </c>
      <c r="O800" s="1">
        <v>799</v>
      </c>
      <c r="P800" s="12" t="str">
        <f t="shared" si="54"/>
        <v>Energy/Mass Equivalency</v>
      </c>
      <c r="Q800" s="1">
        <v>5366</v>
      </c>
      <c r="R800" s="1" t="str">
        <f t="shared" si="53"/>
        <v>2010_06</v>
      </c>
      <c r="T800" s="1"/>
      <c r="BV800" s="1">
        <v>1</v>
      </c>
    </row>
    <row r="801" spans="1:76" x14ac:dyDescent="0.2">
      <c r="A801" s="19" t="s">
        <v>722</v>
      </c>
      <c r="B801" s="1">
        <v>2010</v>
      </c>
      <c r="C801" s="1">
        <v>6</v>
      </c>
      <c r="D801" s="1">
        <v>34</v>
      </c>
      <c r="E801" t="s">
        <v>13</v>
      </c>
      <c r="G801" s="18">
        <v>3</v>
      </c>
      <c r="H801" s="11" t="str">
        <f t="shared" si="52"/>
        <v>2010_06_034.gif</v>
      </c>
      <c r="I801"/>
      <c r="J801"/>
      <c r="L801" s="1" t="b">
        <v>0</v>
      </c>
      <c r="M801" s="1">
        <v>0</v>
      </c>
      <c r="N801" s="1" t="s">
        <v>601</v>
      </c>
      <c r="O801" s="1">
        <v>800</v>
      </c>
      <c r="P801" s="12" t="str">
        <f t="shared" si="54"/>
        <v>Particle Physics</v>
      </c>
      <c r="Q801" s="1">
        <v>5367</v>
      </c>
      <c r="R801" s="1" t="str">
        <f t="shared" si="53"/>
        <v>2010_06</v>
      </c>
      <c r="T801" s="1"/>
      <c r="BW801" s="1">
        <v>1</v>
      </c>
    </row>
    <row r="802" spans="1:76" x14ac:dyDescent="0.2">
      <c r="A802" s="19" t="s">
        <v>723</v>
      </c>
      <c r="B802" s="1">
        <v>2010</v>
      </c>
      <c r="C802" s="1">
        <v>6</v>
      </c>
      <c r="D802" s="1">
        <v>35</v>
      </c>
      <c r="E802" t="s">
        <v>9</v>
      </c>
      <c r="G802" s="18">
        <v>2</v>
      </c>
      <c r="H802" s="11" t="str">
        <f t="shared" si="52"/>
        <v>2010_06_035.gif</v>
      </c>
      <c r="I802"/>
      <c r="J802"/>
      <c r="L802" s="1" t="b">
        <v>0</v>
      </c>
      <c r="M802" s="1">
        <v>0</v>
      </c>
      <c r="N802" s="1" t="s">
        <v>601</v>
      </c>
      <c r="O802" s="1">
        <v>801</v>
      </c>
      <c r="P802" s="12" t="str">
        <f t="shared" si="54"/>
        <v>Doppler Effect</v>
      </c>
      <c r="Q802" s="1">
        <v>5368</v>
      </c>
      <c r="R802" s="1" t="str">
        <f t="shared" si="53"/>
        <v>2010_06</v>
      </c>
      <c r="T802" s="1"/>
      <c r="BH802" s="1">
        <v>1</v>
      </c>
    </row>
    <row r="803" spans="1:76" x14ac:dyDescent="0.2">
      <c r="A803" s="19" t="s">
        <v>724</v>
      </c>
      <c r="B803" s="1">
        <v>2010</v>
      </c>
      <c r="C803" s="1">
        <v>6</v>
      </c>
      <c r="D803" s="1">
        <v>36</v>
      </c>
      <c r="E803" t="s">
        <v>1</v>
      </c>
      <c r="F803" t="s">
        <v>7</v>
      </c>
      <c r="G803" s="18">
        <v>2</v>
      </c>
      <c r="H803" s="11" t="str">
        <f t="shared" si="52"/>
        <v>2010_06_036.gif</v>
      </c>
      <c r="I803"/>
      <c r="J803"/>
      <c r="L803" s="1" t="b">
        <v>0</v>
      </c>
      <c r="M803" s="1">
        <v>0</v>
      </c>
      <c r="N803" s="1" t="s">
        <v>657</v>
      </c>
      <c r="O803" s="1">
        <v>802</v>
      </c>
      <c r="P803" s="12" t="str">
        <f t="shared" si="54"/>
        <v>Estimation,Gravitational PE</v>
      </c>
      <c r="Q803" s="1">
        <v>5369</v>
      </c>
      <c r="R803" s="1" t="str">
        <f t="shared" si="53"/>
        <v>2010_06</v>
      </c>
      <c r="T803" s="1"/>
      <c r="U803" s="1">
        <v>1</v>
      </c>
      <c r="AY803" s="1">
        <v>1</v>
      </c>
    </row>
    <row r="804" spans="1:76" x14ac:dyDescent="0.2">
      <c r="A804" s="19" t="s">
        <v>725</v>
      </c>
      <c r="B804" s="1">
        <v>2010</v>
      </c>
      <c r="C804" s="1">
        <v>6</v>
      </c>
      <c r="D804" s="1">
        <v>37</v>
      </c>
      <c r="E804" t="s">
        <v>1</v>
      </c>
      <c r="G804" s="18">
        <v>4</v>
      </c>
      <c r="H804" s="11" t="str">
        <f t="shared" si="52"/>
        <v>2010_06_037.gif</v>
      </c>
      <c r="I804"/>
      <c r="J804"/>
      <c r="L804" s="1" t="b">
        <v>0</v>
      </c>
      <c r="M804" s="1">
        <v>0</v>
      </c>
      <c r="N804" s="1" t="s">
        <v>657</v>
      </c>
      <c r="O804" s="1">
        <v>803</v>
      </c>
      <c r="P804" s="12" t="str">
        <f t="shared" si="54"/>
        <v>Units</v>
      </c>
      <c r="Q804" s="1">
        <v>5370</v>
      </c>
      <c r="R804" s="1" t="str">
        <f t="shared" si="53"/>
        <v>2010_06</v>
      </c>
      <c r="T804" s="1"/>
      <c r="V804" s="1">
        <v>1</v>
      </c>
    </row>
    <row r="805" spans="1:76" x14ac:dyDescent="0.2">
      <c r="A805" s="19" t="s">
        <v>726</v>
      </c>
      <c r="B805" s="1">
        <v>2010</v>
      </c>
      <c r="C805" s="1">
        <v>6</v>
      </c>
      <c r="D805" s="1">
        <v>38</v>
      </c>
      <c r="E805" t="s">
        <v>7</v>
      </c>
      <c r="G805" s="18">
        <v>2</v>
      </c>
      <c r="H805" s="11" t="str">
        <f t="shared" si="52"/>
        <v>2010_06_038.gif</v>
      </c>
      <c r="I805"/>
      <c r="J805"/>
      <c r="L805" s="1" t="b">
        <v>0</v>
      </c>
      <c r="M805" s="1">
        <v>0</v>
      </c>
      <c r="N805" s="1" t="s">
        <v>657</v>
      </c>
      <c r="O805" s="1">
        <v>804</v>
      </c>
      <c r="P805" s="12" t="str">
        <f t="shared" si="54"/>
        <v>Work/Power</v>
      </c>
      <c r="Q805" s="1">
        <v>5371</v>
      </c>
      <c r="R805" s="1" t="str">
        <f t="shared" si="53"/>
        <v>2010_06</v>
      </c>
      <c r="T805" s="1"/>
      <c r="BB805" s="1">
        <v>1</v>
      </c>
    </row>
    <row r="806" spans="1:76" x14ac:dyDescent="0.2">
      <c r="A806" s="19" t="s">
        <v>727</v>
      </c>
      <c r="B806" s="1">
        <v>2010</v>
      </c>
      <c r="C806" s="1">
        <v>6</v>
      </c>
      <c r="D806" s="1">
        <v>39</v>
      </c>
      <c r="E806" t="s">
        <v>548</v>
      </c>
      <c r="F806" t="s">
        <v>7</v>
      </c>
      <c r="G806" s="18">
        <v>4</v>
      </c>
      <c r="H806" s="11" t="str">
        <f t="shared" si="52"/>
        <v>2010_06_039.gif</v>
      </c>
      <c r="I806"/>
      <c r="J806"/>
      <c r="L806" s="1" t="b">
        <v>0</v>
      </c>
      <c r="M806" s="1">
        <v>0</v>
      </c>
      <c r="N806" s="1" t="s">
        <v>657</v>
      </c>
      <c r="O806" s="1">
        <v>805</v>
      </c>
      <c r="P806" s="12" t="str">
        <f t="shared" si="54"/>
        <v>Conservation of Energy,Graph Interpretation</v>
      </c>
      <c r="Q806" s="1">
        <v>5372</v>
      </c>
      <c r="R806" s="1" t="str">
        <f t="shared" si="53"/>
        <v>2010_06</v>
      </c>
      <c r="T806" s="1"/>
      <c r="AX806" s="1">
        <v>1</v>
      </c>
      <c r="BX806" s="1">
        <v>1</v>
      </c>
    </row>
    <row r="807" spans="1:76" x14ac:dyDescent="0.2">
      <c r="A807" s="19" t="s">
        <v>728</v>
      </c>
      <c r="B807" s="1">
        <v>2010</v>
      </c>
      <c r="C807" s="1">
        <v>6</v>
      </c>
      <c r="D807" s="1">
        <v>40</v>
      </c>
      <c r="E807" t="s">
        <v>7</v>
      </c>
      <c r="G807" s="18">
        <v>3</v>
      </c>
      <c r="H807" s="11" t="str">
        <f t="shared" si="52"/>
        <v>2010_06_040.gif</v>
      </c>
      <c r="I807"/>
      <c r="J807"/>
      <c r="L807" s="1" t="b">
        <v>0</v>
      </c>
      <c r="M807" s="1">
        <v>0</v>
      </c>
      <c r="N807" s="1" t="s">
        <v>657</v>
      </c>
      <c r="O807" s="1">
        <v>806</v>
      </c>
      <c r="P807" s="12" t="str">
        <f t="shared" si="54"/>
        <v>Conservation of Energy</v>
      </c>
      <c r="Q807" s="1">
        <v>5373</v>
      </c>
      <c r="R807" s="1" t="str">
        <f t="shared" si="53"/>
        <v>2010_06</v>
      </c>
      <c r="T807" s="1"/>
      <c r="AX807" s="1">
        <v>1</v>
      </c>
    </row>
    <row r="808" spans="1:76" x14ac:dyDescent="0.2">
      <c r="A808" s="19" t="s">
        <v>729</v>
      </c>
      <c r="B808" s="1">
        <v>2010</v>
      </c>
      <c r="C808" s="1">
        <v>6</v>
      </c>
      <c r="D808" s="1">
        <v>41</v>
      </c>
      <c r="E808" t="s">
        <v>548</v>
      </c>
      <c r="F808" t="s">
        <v>11</v>
      </c>
      <c r="G808" s="18">
        <v>2</v>
      </c>
      <c r="H808" s="11" t="str">
        <f t="shared" si="52"/>
        <v>2010_06_041.gif</v>
      </c>
      <c r="I808"/>
      <c r="J808"/>
      <c r="L808" s="1" t="b">
        <v>0</v>
      </c>
      <c r="M808" s="1">
        <v>0</v>
      </c>
      <c r="N808" s="1" t="s">
        <v>657</v>
      </c>
      <c r="O808" s="1">
        <v>807</v>
      </c>
      <c r="P808" s="12" t="str">
        <f t="shared" si="54"/>
        <v>Electrical Definitions,Graph Interpretation</v>
      </c>
      <c r="Q808" s="1">
        <v>5374</v>
      </c>
      <c r="R808" s="1" t="str">
        <f t="shared" si="53"/>
        <v>2010_06</v>
      </c>
      <c r="T808" s="1"/>
      <c r="BO808" s="1">
        <v>1</v>
      </c>
      <c r="BX808" s="1">
        <v>1</v>
      </c>
    </row>
    <row r="809" spans="1:76" x14ac:dyDescent="0.2">
      <c r="A809" s="19" t="s">
        <v>730</v>
      </c>
      <c r="B809" s="1">
        <v>2010</v>
      </c>
      <c r="C809" s="1">
        <v>6</v>
      </c>
      <c r="D809" s="1">
        <v>42</v>
      </c>
      <c r="E809" t="s">
        <v>2</v>
      </c>
      <c r="G809" s="18">
        <v>4</v>
      </c>
      <c r="H809" s="11" t="str">
        <f t="shared" si="52"/>
        <v>2010_06_042.gif</v>
      </c>
      <c r="I809"/>
      <c r="J809"/>
      <c r="L809" s="1" t="b">
        <v>0</v>
      </c>
      <c r="M809" s="1">
        <v>0</v>
      </c>
      <c r="N809" s="1" t="s">
        <v>657</v>
      </c>
      <c r="O809" s="1">
        <v>808</v>
      </c>
      <c r="P809" s="12" t="str">
        <f t="shared" si="54"/>
        <v>DT/VT Graphs</v>
      </c>
      <c r="Q809" s="1">
        <v>5375</v>
      </c>
      <c r="R809" s="1" t="str">
        <f t="shared" si="53"/>
        <v>2010_06</v>
      </c>
      <c r="T809" s="1"/>
      <c r="W809" s="1">
        <v>1</v>
      </c>
    </row>
    <row r="810" spans="1:76" x14ac:dyDescent="0.2">
      <c r="A810" s="19" t="s">
        <v>731</v>
      </c>
      <c r="B810" s="1">
        <v>2010</v>
      </c>
      <c r="C810" s="1">
        <v>6</v>
      </c>
      <c r="D810" s="1">
        <v>43</v>
      </c>
      <c r="E810" t="s">
        <v>2</v>
      </c>
      <c r="G810" s="18">
        <v>3</v>
      </c>
      <c r="H810" s="11" t="str">
        <f t="shared" si="52"/>
        <v>2010_06_043.gif</v>
      </c>
      <c r="I810"/>
      <c r="J810"/>
      <c r="L810" s="1" t="b">
        <v>0</v>
      </c>
      <c r="M810" s="1">
        <v>0</v>
      </c>
      <c r="N810" s="1" t="s">
        <v>657</v>
      </c>
      <c r="O810" s="1">
        <v>809</v>
      </c>
      <c r="P810" s="12" t="str">
        <f t="shared" si="54"/>
        <v>Basic Motion Concepts</v>
      </c>
      <c r="Q810" s="1">
        <v>5376</v>
      </c>
      <c r="R810" s="1" t="str">
        <f t="shared" si="53"/>
        <v>2010_06</v>
      </c>
      <c r="T810" s="1"/>
      <c r="Z810" s="1">
        <v>1</v>
      </c>
    </row>
    <row r="811" spans="1:76" x14ac:dyDescent="0.2">
      <c r="A811" s="19" t="s">
        <v>732</v>
      </c>
      <c r="B811" s="1">
        <v>2010</v>
      </c>
      <c r="C811" s="1">
        <v>6</v>
      </c>
      <c r="D811" s="1">
        <v>44</v>
      </c>
      <c r="E811" t="s">
        <v>7</v>
      </c>
      <c r="G811" s="18">
        <v>3</v>
      </c>
      <c r="H811" s="11" t="str">
        <f t="shared" si="52"/>
        <v>2010_06_044.gif</v>
      </c>
      <c r="I811"/>
      <c r="J811"/>
      <c r="L811" s="1" t="b">
        <v>0</v>
      </c>
      <c r="M811" s="1">
        <v>0</v>
      </c>
      <c r="N811" s="1" t="s">
        <v>657</v>
      </c>
      <c r="O811" s="1">
        <v>810</v>
      </c>
      <c r="P811" s="12" t="str">
        <f t="shared" si="54"/>
        <v>Conservation of Energy,Work/Power</v>
      </c>
      <c r="Q811" s="1">
        <v>5377</v>
      </c>
      <c r="R811" s="1" t="str">
        <f t="shared" si="53"/>
        <v>2010_06</v>
      </c>
      <c r="T811" s="1"/>
      <c r="AX811" s="1">
        <v>1</v>
      </c>
      <c r="BB811" s="1">
        <v>1</v>
      </c>
    </row>
    <row r="812" spans="1:76" x14ac:dyDescent="0.2">
      <c r="A812" s="19" t="s">
        <v>733</v>
      </c>
      <c r="B812" s="1">
        <v>2010</v>
      </c>
      <c r="C812" s="1">
        <v>6</v>
      </c>
      <c r="D812" s="1">
        <v>45</v>
      </c>
      <c r="E812" t="s">
        <v>11</v>
      </c>
      <c r="G812" s="18">
        <v>1</v>
      </c>
      <c r="H812" s="11" t="str">
        <f t="shared" si="52"/>
        <v>2010_06_045.gif</v>
      </c>
      <c r="I812"/>
      <c r="J812"/>
      <c r="L812" s="1" t="b">
        <v>0</v>
      </c>
      <c r="M812" s="1">
        <v>0</v>
      </c>
      <c r="N812" s="1" t="s">
        <v>657</v>
      </c>
      <c r="O812" s="1">
        <v>811</v>
      </c>
      <c r="P812" s="12" t="str">
        <f t="shared" si="54"/>
        <v>Series and Parallel</v>
      </c>
      <c r="Q812" s="1">
        <v>5378</v>
      </c>
      <c r="R812" s="1" t="str">
        <f t="shared" si="53"/>
        <v>2010_06</v>
      </c>
      <c r="T812" s="1"/>
      <c r="BS812" s="1">
        <v>1</v>
      </c>
    </row>
    <row r="813" spans="1:76" x14ac:dyDescent="0.2">
      <c r="A813" s="19" t="s">
        <v>734</v>
      </c>
      <c r="B813" s="1">
        <v>2010</v>
      </c>
      <c r="C813" s="1">
        <v>6</v>
      </c>
      <c r="D813" s="1">
        <v>46</v>
      </c>
      <c r="E813" t="s">
        <v>548</v>
      </c>
      <c r="F813" t="s">
        <v>11</v>
      </c>
      <c r="G813" s="18">
        <v>4</v>
      </c>
      <c r="H813" s="11" t="str">
        <f t="shared" si="52"/>
        <v>2010_06_046.gif</v>
      </c>
      <c r="I813"/>
      <c r="J813"/>
      <c r="L813" s="1" t="b">
        <v>0</v>
      </c>
      <c r="M813" s="1">
        <v>0</v>
      </c>
      <c r="N813" s="1" t="s">
        <v>657</v>
      </c>
      <c r="O813" s="1">
        <v>812</v>
      </c>
      <c r="P813" s="12" t="str">
        <f t="shared" si="54"/>
        <v>Electrical Definitions,Electrical Power,Graph Interpretation</v>
      </c>
      <c r="Q813" s="1">
        <v>5379</v>
      </c>
      <c r="R813" s="1" t="str">
        <f t="shared" si="53"/>
        <v>2010_06</v>
      </c>
      <c r="T813" s="1"/>
      <c r="BO813" s="1">
        <v>1</v>
      </c>
      <c r="BP813" s="1">
        <v>1</v>
      </c>
      <c r="BX813" s="1">
        <v>1</v>
      </c>
    </row>
    <row r="814" spans="1:76" x14ac:dyDescent="0.2">
      <c r="A814" s="19" t="s">
        <v>735</v>
      </c>
      <c r="B814" s="1">
        <v>2010</v>
      </c>
      <c r="C814" s="1">
        <v>6</v>
      </c>
      <c r="D814" s="1">
        <v>47</v>
      </c>
      <c r="E814" t="s">
        <v>548</v>
      </c>
      <c r="F814" t="s">
        <v>10</v>
      </c>
      <c r="G814" s="18">
        <v>1</v>
      </c>
      <c r="H814" s="11" t="str">
        <f t="shared" si="52"/>
        <v>2010_06_047.gif</v>
      </c>
      <c r="I814"/>
      <c r="J814"/>
      <c r="L814" s="1" t="b">
        <v>0</v>
      </c>
      <c r="M814" s="1">
        <v>0</v>
      </c>
      <c r="N814" s="1" t="s">
        <v>657</v>
      </c>
      <c r="O814" s="1">
        <v>813</v>
      </c>
      <c r="P814" s="12" t="str">
        <f t="shared" si="54"/>
        <v>Coulomb's Law,Graph Interpretation</v>
      </c>
      <c r="Q814" s="1">
        <v>5380</v>
      </c>
      <c r="R814" s="1" t="str">
        <f t="shared" si="53"/>
        <v>2010_06</v>
      </c>
      <c r="T814" s="1"/>
      <c r="BL814" s="1">
        <v>1</v>
      </c>
      <c r="BX814" s="1">
        <v>1</v>
      </c>
    </row>
    <row r="815" spans="1:76" x14ac:dyDescent="0.2">
      <c r="A815" s="19" t="s">
        <v>736</v>
      </c>
      <c r="B815" s="1">
        <v>2010</v>
      </c>
      <c r="C815" s="1">
        <v>6</v>
      </c>
      <c r="D815" s="1">
        <v>48</v>
      </c>
      <c r="E815" t="s">
        <v>8</v>
      </c>
      <c r="G815" s="18">
        <v>3</v>
      </c>
      <c r="H815" s="11" t="str">
        <f t="shared" si="52"/>
        <v>2010_06_048.gif</v>
      </c>
      <c r="I815"/>
      <c r="J815"/>
      <c r="L815" s="1" t="b">
        <v>0</v>
      </c>
      <c r="M815" s="1">
        <v>0</v>
      </c>
      <c r="N815" s="1" t="s">
        <v>657</v>
      </c>
      <c r="O815" s="1">
        <v>814</v>
      </c>
      <c r="P815" s="12" t="str">
        <f t="shared" si="54"/>
        <v>V=FxLamda</v>
      </c>
      <c r="Q815" s="1">
        <v>5381</v>
      </c>
      <c r="R815" s="1" t="str">
        <f t="shared" si="53"/>
        <v>2010_06</v>
      </c>
      <c r="T815" s="1"/>
      <c r="BE815" s="1">
        <v>1</v>
      </c>
    </row>
    <row r="816" spans="1:76" x14ac:dyDescent="0.2">
      <c r="A816" s="19" t="s">
        <v>737</v>
      </c>
      <c r="B816" s="1">
        <v>2010</v>
      </c>
      <c r="C816" s="1">
        <v>6</v>
      </c>
      <c r="D816" s="1">
        <v>49</v>
      </c>
      <c r="E816" t="s">
        <v>9</v>
      </c>
      <c r="G816" s="18">
        <v>1</v>
      </c>
      <c r="H816" s="11" t="str">
        <f t="shared" si="52"/>
        <v>2010_06_049.gif</v>
      </c>
      <c r="I816"/>
      <c r="J816"/>
      <c r="L816" s="1" t="b">
        <v>0</v>
      </c>
      <c r="M816" s="1">
        <v>0</v>
      </c>
      <c r="N816" s="1" t="s">
        <v>657</v>
      </c>
      <c r="O816" s="1">
        <v>815</v>
      </c>
      <c r="P816" s="12" t="str">
        <f t="shared" si="54"/>
        <v>Light and Sound</v>
      </c>
      <c r="Q816" s="1">
        <v>5382</v>
      </c>
      <c r="R816" s="1" t="str">
        <f t="shared" si="53"/>
        <v>2010_06</v>
      </c>
      <c r="T816" s="1"/>
      <c r="BI816" s="1">
        <v>1</v>
      </c>
    </row>
    <row r="817" spans="1:66" x14ac:dyDescent="0.2">
      <c r="A817" s="19" t="s">
        <v>738</v>
      </c>
      <c r="B817" s="1">
        <v>2010</v>
      </c>
      <c r="C817" s="1">
        <v>6</v>
      </c>
      <c r="D817" s="1">
        <v>50</v>
      </c>
      <c r="E817" t="s">
        <v>8</v>
      </c>
      <c r="G817" s="18">
        <v>3</v>
      </c>
      <c r="H817" s="11" t="str">
        <f t="shared" si="52"/>
        <v>2010_06_050.gif</v>
      </c>
      <c r="I817"/>
      <c r="J817"/>
      <c r="L817" s="1" t="b">
        <v>0</v>
      </c>
      <c r="M817" s="1">
        <v>0</v>
      </c>
      <c r="N817" s="1" t="s">
        <v>657</v>
      </c>
      <c r="O817" s="1">
        <v>816</v>
      </c>
      <c r="P817" s="12" t="str">
        <f t="shared" si="54"/>
        <v>Superposition and Standing Waves</v>
      </c>
      <c r="Q817" s="1">
        <v>5383</v>
      </c>
      <c r="R817" s="1" t="str">
        <f t="shared" si="53"/>
        <v>2010_06</v>
      </c>
      <c r="T817" s="1"/>
      <c r="BD817" s="1">
        <v>1</v>
      </c>
    </row>
    <row r="818" spans="1:66" x14ac:dyDescent="0.2">
      <c r="A818" t="str">
        <f>B818&amp;"_0"&amp;C818&amp;"_"&amp;TEXT(D818,"000")</f>
        <v>2011_06_001</v>
      </c>
      <c r="B818" s="1">
        <v>2011</v>
      </c>
      <c r="C818" s="1">
        <v>6</v>
      </c>
      <c r="D818" s="1">
        <v>1</v>
      </c>
      <c r="E818" t="s">
        <v>3</v>
      </c>
      <c r="G818" s="18">
        <v>1</v>
      </c>
      <c r="H818" s="11" t="str">
        <f t="shared" si="52"/>
        <v>2011_06_001.gif</v>
      </c>
      <c r="I818"/>
      <c r="L818" s="1" t="b">
        <v>0</v>
      </c>
      <c r="M818" s="1">
        <v>0</v>
      </c>
      <c r="N818" s="1" t="s">
        <v>601</v>
      </c>
      <c r="O818" s="1">
        <v>817</v>
      </c>
      <c r="P818" s="12" t="str">
        <f t="shared" si="54"/>
        <v>Vector vs. Scalar</v>
      </c>
      <c r="Q818" s="1">
        <v>5415</v>
      </c>
      <c r="R818" s="1" t="str">
        <f t="shared" si="53"/>
        <v>2011_06</v>
      </c>
      <c r="AF818" s="1">
        <v>1</v>
      </c>
    </row>
    <row r="819" spans="1:66" x14ac:dyDescent="0.2">
      <c r="A819" t="str">
        <f>B819&amp;"_0"&amp;C819&amp;"_"&amp;TEXT(D819,"000")</f>
        <v>2011_06_002</v>
      </c>
      <c r="B819" s="1">
        <v>2011</v>
      </c>
      <c r="C819" s="1">
        <v>6</v>
      </c>
      <c r="D819" s="1">
        <v>2</v>
      </c>
      <c r="E819" t="s">
        <v>2</v>
      </c>
      <c r="G819" s="18">
        <v>2</v>
      </c>
      <c r="H819" s="11" t="str">
        <f t="shared" si="52"/>
        <v>2011_06_002.gif</v>
      </c>
      <c r="I819"/>
      <c r="L819" s="1" t="b">
        <v>0</v>
      </c>
      <c r="M819" s="1">
        <v>0</v>
      </c>
      <c r="N819" s="1" t="s">
        <v>601</v>
      </c>
      <c r="O819" s="1">
        <v>818</v>
      </c>
      <c r="P819" s="12" t="str">
        <f t="shared" si="54"/>
        <v>Horizontal Constant Acceleration Problems</v>
      </c>
      <c r="Q819" s="1">
        <v>5416</v>
      </c>
      <c r="R819" s="1" t="str">
        <f t="shared" si="53"/>
        <v>2011_06</v>
      </c>
      <c r="AB819" s="1">
        <v>1</v>
      </c>
    </row>
    <row r="820" spans="1:66" x14ac:dyDescent="0.2">
      <c r="A820" t="str">
        <f t="shared" ref="A820:A865" si="55">B820&amp;"_0"&amp;C820&amp;"_"&amp;TEXT(D820,"000")</f>
        <v>2011_06_003</v>
      </c>
      <c r="B820" s="1">
        <v>2011</v>
      </c>
      <c r="C820" s="1">
        <v>6</v>
      </c>
      <c r="D820" s="1">
        <v>3</v>
      </c>
      <c r="E820" t="s">
        <v>2</v>
      </c>
      <c r="G820" s="18">
        <v>1</v>
      </c>
      <c r="H820" s="11" t="str">
        <f t="shared" si="52"/>
        <v>2011_06_003.gif</v>
      </c>
      <c r="I820"/>
      <c r="L820" s="1" t="b">
        <v>0</v>
      </c>
      <c r="M820" s="1">
        <v>0</v>
      </c>
      <c r="N820" s="1" t="s">
        <v>601</v>
      </c>
      <c r="O820" s="1">
        <v>819</v>
      </c>
      <c r="P820" s="12" t="str">
        <f t="shared" si="54"/>
        <v>Horizontal Constant Acceleration Problems</v>
      </c>
      <c r="Q820" s="1">
        <v>5417</v>
      </c>
      <c r="R820" s="1" t="str">
        <f t="shared" si="53"/>
        <v>2011_06</v>
      </c>
      <c r="AB820" s="1">
        <v>1</v>
      </c>
    </row>
    <row r="821" spans="1:66" x14ac:dyDescent="0.2">
      <c r="A821" t="str">
        <f t="shared" si="55"/>
        <v>2011_06_004</v>
      </c>
      <c r="B821" s="1">
        <v>2011</v>
      </c>
      <c r="C821" s="1">
        <v>6</v>
      </c>
      <c r="D821" s="1">
        <v>4</v>
      </c>
      <c r="E821" t="s">
        <v>2</v>
      </c>
      <c r="G821" s="18">
        <v>4</v>
      </c>
      <c r="H821" s="11" t="str">
        <f t="shared" si="52"/>
        <v>2011_06_004.gif</v>
      </c>
      <c r="I821"/>
      <c r="L821" s="1" t="b">
        <v>0</v>
      </c>
      <c r="M821" s="1">
        <v>0</v>
      </c>
      <c r="N821" s="1" t="s">
        <v>601</v>
      </c>
      <c r="O821" s="1">
        <v>820</v>
      </c>
      <c r="P821" s="12" t="str">
        <f t="shared" si="54"/>
        <v>Basic Motion Concepts,Vertical Constant Acceleration Problems</v>
      </c>
      <c r="Q821" s="1">
        <v>5418</v>
      </c>
      <c r="R821" s="1" t="str">
        <f t="shared" si="53"/>
        <v>2011_06</v>
      </c>
      <c r="Z821" s="1">
        <v>1</v>
      </c>
      <c r="AC821" s="1">
        <v>1</v>
      </c>
    </row>
    <row r="822" spans="1:66" x14ac:dyDescent="0.2">
      <c r="A822" t="str">
        <f t="shared" si="55"/>
        <v>2011_06_005</v>
      </c>
      <c r="B822" s="1">
        <v>2011</v>
      </c>
      <c r="C822" s="1">
        <v>6</v>
      </c>
      <c r="D822" s="1">
        <v>5</v>
      </c>
      <c r="E822" t="s">
        <v>4</v>
      </c>
      <c r="G822" s="18">
        <v>3</v>
      </c>
      <c r="H822" s="11" t="str">
        <f t="shared" si="52"/>
        <v>2011_06_005.gif</v>
      </c>
      <c r="I822"/>
      <c r="L822" s="1" t="b">
        <v>0</v>
      </c>
      <c r="M822" s="1">
        <v>0</v>
      </c>
      <c r="N822" s="1" t="s">
        <v>601</v>
      </c>
      <c r="O822" s="1">
        <v>821</v>
      </c>
      <c r="P822" s="12" t="str">
        <f t="shared" si="54"/>
        <v>Projectiles at an Angle</v>
      </c>
      <c r="Q822" s="1">
        <v>5419</v>
      </c>
      <c r="R822" s="1" t="str">
        <f t="shared" si="53"/>
        <v>2011_06</v>
      </c>
      <c r="AH822" s="1">
        <v>1</v>
      </c>
    </row>
    <row r="823" spans="1:66" x14ac:dyDescent="0.2">
      <c r="A823" t="str">
        <f t="shared" si="55"/>
        <v>2011_06_006</v>
      </c>
      <c r="B823" s="1">
        <v>2011</v>
      </c>
      <c r="C823" s="1">
        <v>6</v>
      </c>
      <c r="D823" s="1">
        <v>6</v>
      </c>
      <c r="E823" t="s">
        <v>6</v>
      </c>
      <c r="F823" t="s">
        <v>5</v>
      </c>
      <c r="G823" s="18">
        <v>1</v>
      </c>
      <c r="H823" s="11" t="str">
        <f t="shared" si="52"/>
        <v>2011_06_006.gif</v>
      </c>
      <c r="I823"/>
      <c r="L823" s="1" t="b">
        <v>0</v>
      </c>
      <c r="M823" s="1">
        <v>0</v>
      </c>
      <c r="N823" s="1" t="s">
        <v>601</v>
      </c>
      <c r="O823" s="1">
        <v>822</v>
      </c>
      <c r="P823" s="12" t="str">
        <f t="shared" si="54"/>
        <v>Newton's 2nd Law (F=MA)</v>
      </c>
      <c r="Q823" s="1">
        <v>5420</v>
      </c>
      <c r="R823" s="1" t="str">
        <f t="shared" si="53"/>
        <v>2011_06</v>
      </c>
      <c r="AS823" s="1">
        <v>1</v>
      </c>
    </row>
    <row r="824" spans="1:66" x14ac:dyDescent="0.2">
      <c r="A824" t="str">
        <f t="shared" si="55"/>
        <v>2011_06_007</v>
      </c>
      <c r="B824" s="1">
        <v>2011</v>
      </c>
      <c r="C824" s="1">
        <v>6</v>
      </c>
      <c r="D824" s="1">
        <v>7</v>
      </c>
      <c r="E824" t="s">
        <v>4</v>
      </c>
      <c r="G824" s="18">
        <v>1</v>
      </c>
      <c r="H824" s="11" t="str">
        <f t="shared" si="52"/>
        <v>2011_06_007.gif</v>
      </c>
      <c r="I824"/>
      <c r="L824" s="1" t="b">
        <v>0</v>
      </c>
      <c r="M824" s="1">
        <v>0</v>
      </c>
      <c r="N824" s="1" t="s">
        <v>601</v>
      </c>
      <c r="O824" s="1">
        <v>823</v>
      </c>
      <c r="P824" s="12" t="str">
        <f t="shared" si="54"/>
        <v>Centripetal Motion - Calculation</v>
      </c>
      <c r="Q824" s="1">
        <v>5421</v>
      </c>
      <c r="R824" s="1" t="str">
        <f t="shared" si="53"/>
        <v>2011_06</v>
      </c>
      <c r="AM824" s="1">
        <v>1</v>
      </c>
    </row>
    <row r="825" spans="1:66" x14ac:dyDescent="0.2">
      <c r="A825" t="str">
        <f t="shared" si="55"/>
        <v>2011_06_008</v>
      </c>
      <c r="B825" s="1">
        <v>2011</v>
      </c>
      <c r="C825" s="1">
        <v>6</v>
      </c>
      <c r="D825" s="1">
        <v>8</v>
      </c>
      <c r="E825" t="s">
        <v>4</v>
      </c>
      <c r="G825" s="18">
        <v>4</v>
      </c>
      <c r="H825" s="11" t="str">
        <f t="shared" si="52"/>
        <v>2011_06_008.gif</v>
      </c>
      <c r="I825"/>
      <c r="L825" s="1" t="b">
        <v>0</v>
      </c>
      <c r="M825" s="1">
        <v>0</v>
      </c>
      <c r="N825" s="1" t="s">
        <v>601</v>
      </c>
      <c r="O825" s="1">
        <v>824</v>
      </c>
      <c r="P825" s="12" t="str">
        <f t="shared" si="54"/>
        <v>Centripetal Motion - Calculation</v>
      </c>
      <c r="Q825" s="1">
        <v>5422</v>
      </c>
      <c r="R825" s="1" t="str">
        <f t="shared" si="53"/>
        <v>2011_06</v>
      </c>
      <c r="AM825" s="1">
        <v>1</v>
      </c>
    </row>
    <row r="826" spans="1:66" x14ac:dyDescent="0.2">
      <c r="A826" t="str">
        <f t="shared" si="55"/>
        <v>2011_06_009</v>
      </c>
      <c r="B826" s="1">
        <v>2011</v>
      </c>
      <c r="C826" s="1">
        <v>6</v>
      </c>
      <c r="D826" s="1">
        <v>9</v>
      </c>
      <c r="E826" t="s">
        <v>7</v>
      </c>
      <c r="G826" s="18">
        <v>3</v>
      </c>
      <c r="H826" s="11" t="str">
        <f t="shared" si="52"/>
        <v>2011_06_009.gif</v>
      </c>
      <c r="I826"/>
      <c r="L826" s="1" t="b">
        <v>0</v>
      </c>
      <c r="M826" s="1">
        <v>0</v>
      </c>
      <c r="N826" s="1" t="s">
        <v>601</v>
      </c>
      <c r="O826" s="1">
        <v>825</v>
      </c>
      <c r="P826" s="12" t="str">
        <f t="shared" si="54"/>
        <v>Conservation of Energy,Work/Power</v>
      </c>
      <c r="Q826" s="1">
        <v>5423</v>
      </c>
      <c r="R826" s="1" t="str">
        <f t="shared" si="53"/>
        <v>2011_06</v>
      </c>
      <c r="AX826" s="1">
        <v>1</v>
      </c>
      <c r="BB826" s="1">
        <v>1</v>
      </c>
    </row>
    <row r="827" spans="1:66" x14ac:dyDescent="0.2">
      <c r="A827" t="str">
        <f t="shared" si="55"/>
        <v>2011_06_010</v>
      </c>
      <c r="B827" s="1">
        <v>2011</v>
      </c>
      <c r="C827" s="1">
        <v>6</v>
      </c>
      <c r="D827" s="1">
        <v>10</v>
      </c>
      <c r="E827" t="s">
        <v>7</v>
      </c>
      <c r="G827" s="18">
        <v>4</v>
      </c>
      <c r="H827" s="11" t="str">
        <f t="shared" si="52"/>
        <v>2011_06_010.gif</v>
      </c>
      <c r="I827"/>
      <c r="L827" s="1" t="b">
        <v>0</v>
      </c>
      <c r="M827" s="1">
        <v>0</v>
      </c>
      <c r="N827" s="1" t="s">
        <v>601</v>
      </c>
      <c r="O827" s="1">
        <v>826</v>
      </c>
      <c r="P827" s="12" t="str">
        <f t="shared" si="54"/>
        <v>Gravitational PE,Work/Power</v>
      </c>
      <c r="Q827" s="1">
        <v>5424</v>
      </c>
      <c r="R827" s="1" t="str">
        <f t="shared" si="53"/>
        <v>2011_06</v>
      </c>
      <c r="AY827" s="1">
        <v>1</v>
      </c>
      <c r="BB827" s="1">
        <v>1</v>
      </c>
    </row>
    <row r="828" spans="1:66" x14ac:dyDescent="0.2">
      <c r="A828" t="str">
        <f t="shared" si="55"/>
        <v>2011_06_011</v>
      </c>
      <c r="B828" s="1">
        <v>2011</v>
      </c>
      <c r="C828" s="1">
        <v>6</v>
      </c>
      <c r="D828" s="1">
        <v>11</v>
      </c>
      <c r="E828" t="s">
        <v>4</v>
      </c>
      <c r="G828" s="18">
        <v>2</v>
      </c>
      <c r="H828" s="11" t="str">
        <f t="shared" si="52"/>
        <v>2011_06_011.gif</v>
      </c>
      <c r="I828"/>
      <c r="L828" s="1" t="b">
        <v>0</v>
      </c>
      <c r="M828" s="1">
        <v>0</v>
      </c>
      <c r="N828" s="1" t="s">
        <v>601</v>
      </c>
      <c r="O828" s="1">
        <v>827</v>
      </c>
      <c r="P828" s="12" t="str">
        <f t="shared" si="54"/>
        <v>Projectiles at an Angle</v>
      </c>
      <c r="Q828" s="1">
        <v>5425</v>
      </c>
      <c r="R828" s="1" t="str">
        <f t="shared" si="53"/>
        <v>2011_06</v>
      </c>
      <c r="AH828" s="1">
        <v>1</v>
      </c>
    </row>
    <row r="829" spans="1:66" x14ac:dyDescent="0.2">
      <c r="A829" t="str">
        <f t="shared" si="55"/>
        <v>2011_06_012</v>
      </c>
      <c r="B829" s="1">
        <v>2011</v>
      </c>
      <c r="C829" s="1">
        <v>6</v>
      </c>
      <c r="D829" s="1">
        <v>12</v>
      </c>
      <c r="E829" t="s">
        <v>5</v>
      </c>
      <c r="G829" s="18">
        <v>4</v>
      </c>
      <c r="H829" s="11" t="str">
        <f t="shared" si="52"/>
        <v>2011_06_012.gif</v>
      </c>
      <c r="I829"/>
      <c r="L829" s="1" t="b">
        <v>0</v>
      </c>
      <c r="M829" s="1">
        <v>0</v>
      </c>
      <c r="N829" s="1" t="s">
        <v>601</v>
      </c>
      <c r="O829" s="1">
        <v>828</v>
      </c>
      <c r="P829" s="12" t="str">
        <f t="shared" si="54"/>
        <v>Newton's 2nd Law (F=MA)</v>
      </c>
      <c r="Q829" s="1">
        <v>5426</v>
      </c>
      <c r="R829" s="1" t="str">
        <f t="shared" si="53"/>
        <v>2011_06</v>
      </c>
      <c r="AS829" s="1">
        <v>1</v>
      </c>
    </row>
    <row r="830" spans="1:66" x14ac:dyDescent="0.2">
      <c r="A830" t="str">
        <f t="shared" si="55"/>
        <v>2011_06_013</v>
      </c>
      <c r="B830" s="1">
        <v>2011</v>
      </c>
      <c r="C830" s="1">
        <v>6</v>
      </c>
      <c r="D830" s="1">
        <v>13</v>
      </c>
      <c r="E830" t="s">
        <v>5</v>
      </c>
      <c r="G830" s="18">
        <v>2</v>
      </c>
      <c r="H830" s="11" t="str">
        <f t="shared" si="52"/>
        <v>2011_06_013.gif</v>
      </c>
      <c r="I830"/>
      <c r="L830" s="1" t="b">
        <v>0</v>
      </c>
      <c r="M830" s="1">
        <v>0</v>
      </c>
      <c r="N830" s="1" t="s">
        <v>601</v>
      </c>
      <c r="O830" s="1">
        <v>829</v>
      </c>
      <c r="P830" s="12" t="str">
        <f t="shared" si="54"/>
        <v>Newton's 1st Law (Inertia)</v>
      </c>
      <c r="Q830" s="1">
        <v>5427</v>
      </c>
      <c r="R830" s="1" t="str">
        <f t="shared" si="53"/>
        <v>2011_06</v>
      </c>
      <c r="AR830" s="1">
        <v>1</v>
      </c>
    </row>
    <row r="831" spans="1:66" x14ac:dyDescent="0.2">
      <c r="A831" t="str">
        <f t="shared" si="55"/>
        <v>2011_06_014</v>
      </c>
      <c r="B831" s="1">
        <v>2011</v>
      </c>
      <c r="C831" s="1">
        <v>6</v>
      </c>
      <c r="D831" s="1">
        <v>14</v>
      </c>
      <c r="E831" t="s">
        <v>7</v>
      </c>
      <c r="G831" s="18">
        <v>3</v>
      </c>
      <c r="H831" s="11" t="str">
        <f t="shared" si="52"/>
        <v>2011_06_014.gif</v>
      </c>
      <c r="I831"/>
      <c r="L831" s="1" t="b">
        <v>0</v>
      </c>
      <c r="M831" s="1">
        <v>0</v>
      </c>
      <c r="N831" s="1" t="s">
        <v>601</v>
      </c>
      <c r="O831" s="1">
        <v>830</v>
      </c>
      <c r="P831" s="12" t="str">
        <f t="shared" si="54"/>
        <v>Conservation of Energy</v>
      </c>
      <c r="Q831" s="1">
        <v>5428</v>
      </c>
      <c r="R831" s="1" t="str">
        <f t="shared" si="53"/>
        <v>2011_06</v>
      </c>
      <c r="AX831" s="1">
        <v>1</v>
      </c>
    </row>
    <row r="832" spans="1:66" x14ac:dyDescent="0.2">
      <c r="A832" t="str">
        <f t="shared" si="55"/>
        <v>2011_06_015</v>
      </c>
      <c r="B832" s="1">
        <v>2011</v>
      </c>
      <c r="C832" s="1">
        <v>6</v>
      </c>
      <c r="D832" s="1">
        <v>15</v>
      </c>
      <c r="E832" t="s">
        <v>10</v>
      </c>
      <c r="G832" s="18">
        <v>2</v>
      </c>
      <c r="H832" s="11" t="str">
        <f t="shared" si="52"/>
        <v>2011_06_015.gif</v>
      </c>
      <c r="I832"/>
      <c r="L832" s="1" t="b">
        <v>0</v>
      </c>
      <c r="M832" s="1">
        <v>0</v>
      </c>
      <c r="N832" s="1" t="s">
        <v>601</v>
      </c>
      <c r="O832" s="1">
        <v>831</v>
      </c>
      <c r="P832" s="12" t="str">
        <f t="shared" si="54"/>
        <v>Electric Fields and Potential</v>
      </c>
      <c r="Q832" s="1">
        <v>5429</v>
      </c>
      <c r="R832" s="1" t="str">
        <f t="shared" si="53"/>
        <v>2011_06</v>
      </c>
      <c r="BN832" s="1">
        <v>1</v>
      </c>
    </row>
    <row r="833" spans="1:77" x14ac:dyDescent="0.2">
      <c r="A833" t="str">
        <f t="shared" si="55"/>
        <v>2011_06_016</v>
      </c>
      <c r="B833" s="1">
        <v>2011</v>
      </c>
      <c r="C833" s="1">
        <v>6</v>
      </c>
      <c r="D833" s="1">
        <v>16</v>
      </c>
      <c r="E833" t="s">
        <v>9</v>
      </c>
      <c r="G833" s="18">
        <v>3</v>
      </c>
      <c r="H833" s="11" t="str">
        <f t="shared" si="52"/>
        <v>2011_06_016.gif</v>
      </c>
      <c r="I833"/>
      <c r="L833" s="1" t="b">
        <v>0</v>
      </c>
      <c r="M833" s="1">
        <v>0</v>
      </c>
      <c r="N833" s="1" t="s">
        <v>601</v>
      </c>
      <c r="O833" s="1">
        <v>832</v>
      </c>
      <c r="P833" s="12" t="str">
        <f t="shared" si="54"/>
        <v>Light and Sound</v>
      </c>
      <c r="Q833" s="1">
        <v>5430</v>
      </c>
      <c r="R833" s="1" t="str">
        <f t="shared" si="53"/>
        <v>2011_06</v>
      </c>
      <c r="BI833" s="1">
        <v>1</v>
      </c>
    </row>
    <row r="834" spans="1:77" x14ac:dyDescent="0.2">
      <c r="A834" t="str">
        <f t="shared" si="55"/>
        <v>2011_06_017</v>
      </c>
      <c r="B834" s="1">
        <v>2011</v>
      </c>
      <c r="C834" s="1">
        <v>6</v>
      </c>
      <c r="D834" s="1">
        <v>17</v>
      </c>
      <c r="E834" t="s">
        <v>6</v>
      </c>
      <c r="G834" s="18">
        <v>1</v>
      </c>
      <c r="H834" s="11" t="str">
        <f t="shared" ref="H834:H897" si="56">HYPERLINK(A834&amp;".gif")</f>
        <v>2011_06_017.gif</v>
      </c>
      <c r="I834"/>
      <c r="L834" s="1" t="b">
        <v>0</v>
      </c>
      <c r="M834" s="1">
        <v>0</v>
      </c>
      <c r="N834" s="1" t="s">
        <v>601</v>
      </c>
      <c r="O834" s="1">
        <v>833</v>
      </c>
      <c r="P834" s="12" t="str">
        <f t="shared" si="54"/>
        <v>Newton's 3rd Law (Equal But Opposite)</v>
      </c>
      <c r="Q834" s="1">
        <v>5431</v>
      </c>
      <c r="R834" s="1" t="str">
        <f t="shared" si="53"/>
        <v>2011_06</v>
      </c>
      <c r="AW834" s="1">
        <v>1</v>
      </c>
    </row>
    <row r="835" spans="1:77" x14ac:dyDescent="0.2">
      <c r="A835" t="str">
        <f t="shared" si="55"/>
        <v>2011_06_018</v>
      </c>
      <c r="B835" s="1">
        <v>2011</v>
      </c>
      <c r="C835" s="1">
        <v>6</v>
      </c>
      <c r="D835" s="1">
        <v>18</v>
      </c>
      <c r="E835" t="s">
        <v>10</v>
      </c>
      <c r="G835" s="18">
        <v>4</v>
      </c>
      <c r="H835" s="11" t="str">
        <f t="shared" si="56"/>
        <v>2011_06_018.gif</v>
      </c>
      <c r="I835"/>
      <c r="L835" s="1" t="b">
        <v>0</v>
      </c>
      <c r="M835" s="1">
        <v>0</v>
      </c>
      <c r="N835" s="1" t="s">
        <v>601</v>
      </c>
      <c r="O835" s="1">
        <v>834</v>
      </c>
      <c r="P835" s="12" t="str">
        <f t="shared" si="54"/>
        <v>Electric Fields and Potential</v>
      </c>
      <c r="Q835" s="1">
        <v>5432</v>
      </c>
      <c r="R835" s="1" t="str">
        <f t="shared" ref="R835:R898" si="57">B835&amp;"_"&amp;TEXT(C835,"00")</f>
        <v>2011_06</v>
      </c>
      <c r="BN835" s="1">
        <v>1</v>
      </c>
    </row>
    <row r="836" spans="1:77" x14ac:dyDescent="0.2">
      <c r="A836" t="str">
        <f t="shared" si="55"/>
        <v>2011_06_019</v>
      </c>
      <c r="B836" s="1">
        <v>2011</v>
      </c>
      <c r="C836" s="1">
        <v>6</v>
      </c>
      <c r="D836" s="1">
        <v>19</v>
      </c>
      <c r="E836" t="s">
        <v>11</v>
      </c>
      <c r="F836" t="s">
        <v>10</v>
      </c>
      <c r="G836" s="18">
        <v>2</v>
      </c>
      <c r="H836" s="11" t="str">
        <f t="shared" si="56"/>
        <v>2011_06_019.gif</v>
      </c>
      <c r="I836"/>
      <c r="L836" s="1" t="b">
        <v>0</v>
      </c>
      <c r="M836" s="1">
        <v>0</v>
      </c>
      <c r="N836" s="1" t="s">
        <v>601</v>
      </c>
      <c r="O836" s="1">
        <v>835</v>
      </c>
      <c r="P836" s="12" t="str">
        <f t="shared" si="54"/>
        <v>Electric Fields and Potential,Electrical Definitions</v>
      </c>
      <c r="Q836" s="1">
        <v>5433</v>
      </c>
      <c r="R836" s="1" t="str">
        <f t="shared" si="57"/>
        <v>2011_06</v>
      </c>
      <c r="BN836" s="1">
        <v>1</v>
      </c>
      <c r="BO836" s="1">
        <v>1</v>
      </c>
    </row>
    <row r="837" spans="1:77" x14ac:dyDescent="0.2">
      <c r="A837" t="str">
        <f t="shared" si="55"/>
        <v>2011_06_020</v>
      </c>
      <c r="B837" s="1">
        <v>2011</v>
      </c>
      <c r="C837" s="1">
        <v>6</v>
      </c>
      <c r="D837" s="1">
        <v>20</v>
      </c>
      <c r="E837" t="s">
        <v>11</v>
      </c>
      <c r="G837" s="18">
        <v>2</v>
      </c>
      <c r="H837" s="11" t="str">
        <f t="shared" si="56"/>
        <v>2011_06_020.gif</v>
      </c>
      <c r="I837"/>
      <c r="L837" s="1" t="b">
        <v>0</v>
      </c>
      <c r="M837" s="1">
        <v>0</v>
      </c>
      <c r="N837" s="1" t="s">
        <v>601</v>
      </c>
      <c r="O837" s="1">
        <v>836</v>
      </c>
      <c r="P837" s="12" t="str">
        <f t="shared" si="54"/>
        <v>Electrical Definitions</v>
      </c>
      <c r="Q837" s="1">
        <v>5434</v>
      </c>
      <c r="R837" s="1" t="str">
        <f t="shared" si="57"/>
        <v>2011_06</v>
      </c>
      <c r="BO837" s="1">
        <v>1</v>
      </c>
    </row>
    <row r="838" spans="1:77" x14ac:dyDescent="0.2">
      <c r="A838" t="str">
        <f t="shared" si="55"/>
        <v>2011_06_021</v>
      </c>
      <c r="B838" s="1">
        <v>2011</v>
      </c>
      <c r="C838" s="1">
        <v>6</v>
      </c>
      <c r="D838" s="1">
        <v>21</v>
      </c>
      <c r="E838" t="s">
        <v>548</v>
      </c>
      <c r="F838" t="s">
        <v>11</v>
      </c>
      <c r="G838" s="18">
        <v>1</v>
      </c>
      <c r="H838" s="11" t="str">
        <f t="shared" si="56"/>
        <v>2011_06_021.gif</v>
      </c>
      <c r="I838"/>
      <c r="L838" s="1" t="b">
        <v>0</v>
      </c>
      <c r="M838" s="1">
        <v>0</v>
      </c>
      <c r="N838" s="1" t="s">
        <v>601</v>
      </c>
      <c r="O838" s="1">
        <v>837</v>
      </c>
      <c r="P838" s="12" t="str">
        <f t="shared" si="54"/>
        <v>Ohm's Law,Mathematical Relationships (Numberless Problems)</v>
      </c>
      <c r="Q838" s="1">
        <v>5435</v>
      </c>
      <c r="R838" s="1" t="str">
        <f t="shared" si="57"/>
        <v>2011_06</v>
      </c>
      <c r="BQ838" s="1">
        <v>1</v>
      </c>
      <c r="BY838" s="1">
        <v>1</v>
      </c>
    </row>
    <row r="839" spans="1:77" x14ac:dyDescent="0.2">
      <c r="A839" t="str">
        <f t="shared" si="55"/>
        <v>2011_06_022</v>
      </c>
      <c r="B839" s="1">
        <v>2011</v>
      </c>
      <c r="C839" s="1">
        <v>6</v>
      </c>
      <c r="D839" s="1">
        <v>22</v>
      </c>
      <c r="E839" t="s">
        <v>11</v>
      </c>
      <c r="G839" s="18">
        <v>3</v>
      </c>
      <c r="H839" s="11" t="str">
        <f t="shared" si="56"/>
        <v>2011_06_022.gif</v>
      </c>
      <c r="I839"/>
      <c r="L839" s="1" t="b">
        <v>0</v>
      </c>
      <c r="M839" s="1">
        <v>0</v>
      </c>
      <c r="N839" s="1" t="s">
        <v>601</v>
      </c>
      <c r="O839" s="1">
        <v>838</v>
      </c>
      <c r="P839" s="12" t="str">
        <f t="shared" si="54"/>
        <v>Series and Parallel</v>
      </c>
      <c r="Q839" s="1">
        <v>5436</v>
      </c>
      <c r="R839" s="1" t="str">
        <f t="shared" si="57"/>
        <v>2011_06</v>
      </c>
      <c r="BS839" s="1">
        <v>1</v>
      </c>
    </row>
    <row r="840" spans="1:77" x14ac:dyDescent="0.2">
      <c r="A840" t="str">
        <f t="shared" si="55"/>
        <v>2011_06_023</v>
      </c>
      <c r="B840" s="1">
        <v>2011</v>
      </c>
      <c r="C840" s="1">
        <v>6</v>
      </c>
      <c r="D840" s="1">
        <v>23</v>
      </c>
      <c r="E840" t="s">
        <v>11</v>
      </c>
      <c r="G840" s="18">
        <v>3</v>
      </c>
      <c r="H840" s="11" t="str">
        <f t="shared" si="56"/>
        <v>2011_06_023.gif</v>
      </c>
      <c r="I840"/>
      <c r="L840" s="1" t="b">
        <v>0</v>
      </c>
      <c r="M840" s="1">
        <v>0</v>
      </c>
      <c r="N840" s="1" t="s">
        <v>601</v>
      </c>
      <c r="O840" s="1">
        <v>839</v>
      </c>
      <c r="P840" s="12" t="str">
        <f t="shared" si="54"/>
        <v>Electrical Power</v>
      </c>
      <c r="Q840" s="1">
        <v>5437</v>
      </c>
      <c r="R840" s="1" t="str">
        <f t="shared" si="57"/>
        <v>2011_06</v>
      </c>
      <c r="BP840" s="1">
        <v>1</v>
      </c>
    </row>
    <row r="841" spans="1:77" x14ac:dyDescent="0.2">
      <c r="A841" t="str">
        <f t="shared" si="55"/>
        <v>2011_06_024</v>
      </c>
      <c r="B841" s="1">
        <v>2011</v>
      </c>
      <c r="C841" s="1">
        <v>6</v>
      </c>
      <c r="D841" s="1">
        <v>24</v>
      </c>
      <c r="E841" t="s">
        <v>11</v>
      </c>
      <c r="G841" s="18">
        <v>1</v>
      </c>
      <c r="H841" s="11" t="str">
        <f t="shared" si="56"/>
        <v>2011_06_024.gif</v>
      </c>
      <c r="I841"/>
      <c r="L841" s="1" t="b">
        <v>0</v>
      </c>
      <c r="M841" s="1">
        <v>0</v>
      </c>
      <c r="N841" s="1" t="s">
        <v>601</v>
      </c>
      <c r="O841" s="1">
        <v>840</v>
      </c>
      <c r="P841" s="12" t="str">
        <f t="shared" si="54"/>
        <v>Electrical Definitions</v>
      </c>
      <c r="Q841" s="1">
        <v>5438</v>
      </c>
      <c r="R841" s="1" t="str">
        <f t="shared" si="57"/>
        <v>2011_06</v>
      </c>
      <c r="BO841" s="1">
        <v>1</v>
      </c>
    </row>
    <row r="842" spans="1:77" x14ac:dyDescent="0.2">
      <c r="A842" t="str">
        <f t="shared" si="55"/>
        <v>2011_06_025</v>
      </c>
      <c r="B842" s="1">
        <v>2011</v>
      </c>
      <c r="C842" s="1">
        <v>6</v>
      </c>
      <c r="D842" s="1">
        <v>25</v>
      </c>
      <c r="E842" t="s">
        <v>8</v>
      </c>
      <c r="G842" s="18">
        <v>1</v>
      </c>
      <c r="H842" s="11" t="str">
        <f t="shared" si="56"/>
        <v>2011_06_025.gif</v>
      </c>
      <c r="I842"/>
      <c r="L842" s="1" t="b">
        <v>0</v>
      </c>
      <c r="M842" s="1">
        <v>0</v>
      </c>
      <c r="N842" s="1" t="s">
        <v>601</v>
      </c>
      <c r="O842" s="1">
        <v>841</v>
      </c>
      <c r="P842" s="12" t="str">
        <f t="shared" si="54"/>
        <v>Wave Vocabulary</v>
      </c>
      <c r="Q842" s="1">
        <v>5439</v>
      </c>
      <c r="R842" s="1" t="str">
        <f t="shared" si="57"/>
        <v>2011_06</v>
      </c>
      <c r="BF842" s="1">
        <v>1</v>
      </c>
    </row>
    <row r="843" spans="1:77" x14ac:dyDescent="0.2">
      <c r="A843" t="str">
        <f t="shared" si="55"/>
        <v>2011_06_026</v>
      </c>
      <c r="B843" s="1">
        <v>2011</v>
      </c>
      <c r="C843" s="1">
        <v>6</v>
      </c>
      <c r="D843" s="1">
        <v>26</v>
      </c>
      <c r="E843" t="s">
        <v>8</v>
      </c>
      <c r="G843" s="18">
        <v>4</v>
      </c>
      <c r="H843" s="11" t="str">
        <f t="shared" si="56"/>
        <v>2011_06_026.gif</v>
      </c>
      <c r="I843"/>
      <c r="L843" s="1" t="b">
        <v>0</v>
      </c>
      <c r="M843" s="1">
        <v>0</v>
      </c>
      <c r="N843" s="1" t="s">
        <v>601</v>
      </c>
      <c r="O843" s="1">
        <v>842</v>
      </c>
      <c r="P843" s="12" t="str">
        <f t="shared" ref="P843:P906" si="58">concatenateif(U843:DI843,1,$U$1:$DI$1)</f>
        <v>Wave Vocabulary</v>
      </c>
      <c r="Q843" s="1">
        <v>5440</v>
      </c>
      <c r="R843" s="1" t="str">
        <f t="shared" si="57"/>
        <v>2011_06</v>
      </c>
      <c r="BF843" s="1">
        <v>1</v>
      </c>
    </row>
    <row r="844" spans="1:77" x14ac:dyDescent="0.2">
      <c r="A844" t="str">
        <f t="shared" si="55"/>
        <v>2011_06_027</v>
      </c>
      <c r="B844" s="1">
        <v>2011</v>
      </c>
      <c r="C844" s="1">
        <v>6</v>
      </c>
      <c r="D844" s="1">
        <v>27</v>
      </c>
      <c r="E844" t="s">
        <v>8</v>
      </c>
      <c r="G844" s="18">
        <v>3</v>
      </c>
      <c r="H844" s="11" t="str">
        <f t="shared" si="56"/>
        <v>2011_06_027.gif</v>
      </c>
      <c r="I844"/>
      <c r="L844" s="1" t="b">
        <v>0</v>
      </c>
      <c r="M844" s="1">
        <v>0</v>
      </c>
      <c r="N844" s="1" t="s">
        <v>601</v>
      </c>
      <c r="O844" s="1">
        <v>843</v>
      </c>
      <c r="P844" s="12" t="str">
        <f t="shared" si="58"/>
        <v>Wave Vocabulary</v>
      </c>
      <c r="Q844" s="1">
        <v>5441</v>
      </c>
      <c r="R844" s="1" t="str">
        <f t="shared" si="57"/>
        <v>2011_06</v>
      </c>
      <c r="BF844" s="1">
        <v>1</v>
      </c>
    </row>
    <row r="845" spans="1:77" x14ac:dyDescent="0.2">
      <c r="A845" t="str">
        <f t="shared" si="55"/>
        <v>2011_06_028</v>
      </c>
      <c r="B845" s="1">
        <v>2011</v>
      </c>
      <c r="C845" s="1">
        <v>6</v>
      </c>
      <c r="D845" s="1">
        <v>28</v>
      </c>
      <c r="E845" t="s">
        <v>8</v>
      </c>
      <c r="G845" s="18">
        <v>2</v>
      </c>
      <c r="H845" s="11" t="str">
        <f t="shared" si="56"/>
        <v>2011_06_028.gif</v>
      </c>
      <c r="I845"/>
      <c r="L845" s="1" t="b">
        <v>0</v>
      </c>
      <c r="M845" s="1">
        <v>0</v>
      </c>
      <c r="N845" s="1" t="s">
        <v>601</v>
      </c>
      <c r="O845" s="1">
        <v>844</v>
      </c>
      <c r="P845" s="12" t="str">
        <f t="shared" si="58"/>
        <v>Wave Vocabulary</v>
      </c>
      <c r="Q845" s="1">
        <v>5442</v>
      </c>
      <c r="R845" s="1" t="str">
        <f t="shared" si="57"/>
        <v>2011_06</v>
      </c>
      <c r="BF845" s="1">
        <v>1</v>
      </c>
    </row>
    <row r="846" spans="1:77" x14ac:dyDescent="0.2">
      <c r="A846" t="str">
        <f t="shared" si="55"/>
        <v>2011_06_029</v>
      </c>
      <c r="B846" s="1">
        <v>2011</v>
      </c>
      <c r="C846" s="1">
        <v>6</v>
      </c>
      <c r="D846" s="1">
        <v>29</v>
      </c>
      <c r="E846" t="s">
        <v>8</v>
      </c>
      <c r="G846" s="18">
        <v>2</v>
      </c>
      <c r="H846" s="11" t="str">
        <f t="shared" si="56"/>
        <v>2011_06_029.gif</v>
      </c>
      <c r="I846"/>
      <c r="L846" s="1" t="b">
        <v>0</v>
      </c>
      <c r="M846" s="1">
        <v>0</v>
      </c>
      <c r="N846" s="1" t="s">
        <v>601</v>
      </c>
      <c r="O846" s="1">
        <v>845</v>
      </c>
      <c r="P846" s="12" t="str">
        <f t="shared" si="58"/>
        <v>V=FxLamda</v>
      </c>
      <c r="Q846" s="1">
        <v>5443</v>
      </c>
      <c r="R846" s="1" t="str">
        <f t="shared" si="57"/>
        <v>2011_06</v>
      </c>
      <c r="BE846" s="1">
        <v>1</v>
      </c>
    </row>
    <row r="847" spans="1:77" x14ac:dyDescent="0.2">
      <c r="A847" t="str">
        <f t="shared" si="55"/>
        <v>2011_06_030</v>
      </c>
      <c r="B847" s="1">
        <v>2011</v>
      </c>
      <c r="C847" s="1">
        <v>6</v>
      </c>
      <c r="D847" s="1">
        <v>30</v>
      </c>
      <c r="E847" t="s">
        <v>13</v>
      </c>
      <c r="G847" s="18">
        <v>1</v>
      </c>
      <c r="H847" s="11" t="str">
        <f t="shared" si="56"/>
        <v>2011_06_030.gif</v>
      </c>
      <c r="I847"/>
      <c r="L847" s="1" t="b">
        <v>0</v>
      </c>
      <c r="M847" s="1">
        <v>0</v>
      </c>
      <c r="N847" s="1" t="s">
        <v>601</v>
      </c>
      <c r="O847" s="1">
        <v>846</v>
      </c>
      <c r="P847" s="12" t="str">
        <f t="shared" si="58"/>
        <v>Energy/Mass Equivalency</v>
      </c>
      <c r="Q847" s="1">
        <v>5444</v>
      </c>
      <c r="R847" s="1" t="str">
        <f t="shared" si="57"/>
        <v>2011_06</v>
      </c>
      <c r="BV847" s="1">
        <v>1</v>
      </c>
    </row>
    <row r="848" spans="1:77" x14ac:dyDescent="0.2">
      <c r="A848" t="str">
        <f t="shared" si="55"/>
        <v>2011_06_031</v>
      </c>
      <c r="B848" s="1">
        <v>2011</v>
      </c>
      <c r="C848" s="1">
        <v>6</v>
      </c>
      <c r="D848" s="1">
        <v>31</v>
      </c>
      <c r="E848" t="s">
        <v>9</v>
      </c>
      <c r="G848" s="18">
        <v>3</v>
      </c>
      <c r="H848" s="11" t="str">
        <f t="shared" si="56"/>
        <v>2011_06_031.gif</v>
      </c>
      <c r="I848"/>
      <c r="L848" s="1" t="b">
        <v>0</v>
      </c>
      <c r="M848" s="1">
        <v>0</v>
      </c>
      <c r="N848" s="1" t="s">
        <v>601</v>
      </c>
      <c r="O848" s="1">
        <v>847</v>
      </c>
      <c r="P848" s="12" t="str">
        <f t="shared" si="58"/>
        <v>Light and Sound</v>
      </c>
      <c r="Q848" s="1">
        <v>5445</v>
      </c>
      <c r="R848" s="1" t="str">
        <f t="shared" si="57"/>
        <v>2011_06</v>
      </c>
      <c r="BI848" s="1">
        <v>1</v>
      </c>
    </row>
    <row r="849" spans="1:78" x14ac:dyDescent="0.2">
      <c r="A849" t="str">
        <f t="shared" si="55"/>
        <v>2011_06_032</v>
      </c>
      <c r="B849" s="1">
        <v>2011</v>
      </c>
      <c r="C849" s="1">
        <v>6</v>
      </c>
      <c r="D849" s="1">
        <v>32</v>
      </c>
      <c r="E849" t="s">
        <v>8</v>
      </c>
      <c r="G849" s="18">
        <v>2</v>
      </c>
      <c r="H849" s="11" t="str">
        <f t="shared" si="56"/>
        <v>2011_06_032.gif</v>
      </c>
      <c r="I849"/>
      <c r="L849" s="1" t="b">
        <v>0</v>
      </c>
      <c r="M849" s="1">
        <v>0</v>
      </c>
      <c r="N849" s="1" t="s">
        <v>601</v>
      </c>
      <c r="O849" s="1">
        <v>848</v>
      </c>
      <c r="P849" s="12" t="str">
        <f t="shared" si="58"/>
        <v>Resonance</v>
      </c>
      <c r="Q849" s="1">
        <v>5446</v>
      </c>
      <c r="R849" s="1" t="str">
        <f t="shared" si="57"/>
        <v>2011_06</v>
      </c>
      <c r="BC849" s="1">
        <v>1</v>
      </c>
    </row>
    <row r="850" spans="1:78" x14ac:dyDescent="0.2">
      <c r="A850" t="str">
        <f t="shared" si="55"/>
        <v>2011_06_033</v>
      </c>
      <c r="B850" s="1">
        <v>2011</v>
      </c>
      <c r="C850" s="1">
        <v>6</v>
      </c>
      <c r="D850" s="1">
        <v>33</v>
      </c>
      <c r="E850" t="s">
        <v>9</v>
      </c>
      <c r="G850" s="18">
        <v>3</v>
      </c>
      <c r="H850" s="11" t="str">
        <f t="shared" si="56"/>
        <v>2011_06_033.gif</v>
      </c>
      <c r="I850"/>
      <c r="L850" s="1" t="b">
        <v>0</v>
      </c>
      <c r="M850" s="1">
        <v>0</v>
      </c>
      <c r="N850" s="1" t="s">
        <v>601</v>
      </c>
      <c r="O850" s="1">
        <v>849</v>
      </c>
      <c r="P850" s="12" t="str">
        <f t="shared" si="58"/>
        <v>Doppler Effect</v>
      </c>
      <c r="Q850" s="1">
        <v>5447</v>
      </c>
      <c r="R850" s="1" t="str">
        <f t="shared" si="57"/>
        <v>2011_06</v>
      </c>
      <c r="BH850" s="1">
        <v>1</v>
      </c>
    </row>
    <row r="851" spans="1:78" x14ac:dyDescent="0.2">
      <c r="A851" t="str">
        <f t="shared" si="55"/>
        <v>2011_06_034</v>
      </c>
      <c r="B851" s="1">
        <v>2011</v>
      </c>
      <c r="C851" s="1">
        <v>6</v>
      </c>
      <c r="D851" s="1">
        <v>34</v>
      </c>
      <c r="E851" t="s">
        <v>13</v>
      </c>
      <c r="G851" s="18">
        <v>4</v>
      </c>
      <c r="H851" s="11" t="str">
        <f t="shared" si="56"/>
        <v>2011_06_034.gif</v>
      </c>
      <c r="I851"/>
      <c r="L851" s="1" t="b">
        <v>0</v>
      </c>
      <c r="M851" s="1">
        <v>0</v>
      </c>
      <c r="N851" s="1" t="s">
        <v>601</v>
      </c>
      <c r="O851" s="1">
        <v>850</v>
      </c>
      <c r="P851" s="12" t="str">
        <f t="shared" si="58"/>
        <v>Particle Physics</v>
      </c>
      <c r="Q851" s="1">
        <v>5448</v>
      </c>
      <c r="R851" s="1" t="str">
        <f t="shared" si="57"/>
        <v>2011_06</v>
      </c>
      <c r="BW851" s="1">
        <v>1</v>
      </c>
    </row>
    <row r="852" spans="1:78" x14ac:dyDescent="0.2">
      <c r="A852" t="str">
        <f t="shared" si="55"/>
        <v>2011_06_035</v>
      </c>
      <c r="B852" s="1">
        <v>2011</v>
      </c>
      <c r="C852" s="1">
        <v>6</v>
      </c>
      <c r="D852" s="1">
        <v>35</v>
      </c>
      <c r="E852" t="s">
        <v>13</v>
      </c>
      <c r="G852" s="18">
        <v>4</v>
      </c>
      <c r="H852" s="11" t="str">
        <f t="shared" si="56"/>
        <v>2011_06_035.gif</v>
      </c>
      <c r="I852"/>
      <c r="L852" s="1" t="b">
        <v>0</v>
      </c>
      <c r="M852" s="1">
        <v>0</v>
      </c>
      <c r="N852" s="1" t="s">
        <v>601</v>
      </c>
      <c r="O852" s="1">
        <v>851</v>
      </c>
      <c r="P852" s="12" t="str">
        <f t="shared" si="58"/>
        <v>Particle Physics</v>
      </c>
      <c r="Q852" s="1">
        <v>5449</v>
      </c>
      <c r="R852" s="1" t="str">
        <f t="shared" si="57"/>
        <v>2011_06</v>
      </c>
      <c r="BW852" s="1">
        <v>1</v>
      </c>
    </row>
    <row r="853" spans="1:78" x14ac:dyDescent="0.2">
      <c r="A853" t="str">
        <f t="shared" si="55"/>
        <v>2011_06_036</v>
      </c>
      <c r="B853" s="1">
        <v>2011</v>
      </c>
      <c r="C853" s="1">
        <v>6</v>
      </c>
      <c r="D853" s="1">
        <v>36</v>
      </c>
      <c r="E853" t="s">
        <v>1</v>
      </c>
      <c r="G853" s="18">
        <v>2</v>
      </c>
      <c r="H853" s="11" t="str">
        <f t="shared" si="56"/>
        <v>2011_06_036.gif</v>
      </c>
      <c r="I853"/>
      <c r="L853" s="1" t="b">
        <v>0</v>
      </c>
      <c r="M853" s="1">
        <v>0</v>
      </c>
      <c r="N853" s="1" t="s">
        <v>657</v>
      </c>
      <c r="O853" s="1">
        <v>852</v>
      </c>
      <c r="P853" s="12" t="str">
        <f t="shared" si="58"/>
        <v>Estimation</v>
      </c>
      <c r="Q853" s="1">
        <v>5450</v>
      </c>
      <c r="R853" s="1" t="str">
        <f t="shared" si="57"/>
        <v>2011_06</v>
      </c>
      <c r="U853" s="1">
        <v>1</v>
      </c>
    </row>
    <row r="854" spans="1:78" x14ac:dyDescent="0.2">
      <c r="A854" t="str">
        <f t="shared" si="55"/>
        <v>2011_06_037</v>
      </c>
      <c r="B854" s="1">
        <v>2011</v>
      </c>
      <c r="C854" s="1">
        <v>6</v>
      </c>
      <c r="D854" s="1">
        <v>37</v>
      </c>
      <c r="E854" t="s">
        <v>2</v>
      </c>
      <c r="G854" s="18">
        <v>1</v>
      </c>
      <c r="H854" s="11" t="str">
        <f t="shared" si="56"/>
        <v>2011_06_037.gif</v>
      </c>
      <c r="I854"/>
      <c r="L854" s="1" t="b">
        <v>0</v>
      </c>
      <c r="M854" s="1">
        <v>0</v>
      </c>
      <c r="N854" s="1" t="s">
        <v>657</v>
      </c>
      <c r="O854" s="1">
        <v>853</v>
      </c>
      <c r="P854" s="12" t="str">
        <f t="shared" si="58"/>
        <v>DT/VT Graphs</v>
      </c>
      <c r="Q854" s="1">
        <v>5451</v>
      </c>
      <c r="R854" s="1" t="str">
        <f t="shared" si="57"/>
        <v>2011_06</v>
      </c>
      <c r="W854" s="1">
        <v>1</v>
      </c>
    </row>
    <row r="855" spans="1:78" x14ac:dyDescent="0.2">
      <c r="A855" t="str">
        <f t="shared" si="55"/>
        <v>2011_06_038</v>
      </c>
      <c r="B855" s="1">
        <v>2011</v>
      </c>
      <c r="C855" s="1">
        <v>6</v>
      </c>
      <c r="D855" s="1">
        <v>38</v>
      </c>
      <c r="E855" t="s">
        <v>6</v>
      </c>
      <c r="G855" s="18">
        <v>3</v>
      </c>
      <c r="H855" s="11" t="str">
        <f t="shared" si="56"/>
        <v>2011_06_038.gif</v>
      </c>
      <c r="I855"/>
      <c r="L855" s="1" t="b">
        <v>0</v>
      </c>
      <c r="M855" s="1">
        <v>0</v>
      </c>
      <c r="N855" s="1" t="s">
        <v>657</v>
      </c>
      <c r="O855" s="1">
        <v>854</v>
      </c>
      <c r="P855" s="12" t="str">
        <f t="shared" si="58"/>
        <v>Impulse</v>
      </c>
      <c r="Q855" s="1">
        <v>5452</v>
      </c>
      <c r="R855" s="1" t="str">
        <f t="shared" si="57"/>
        <v>2011_06</v>
      </c>
      <c r="AV855" s="1">
        <v>1</v>
      </c>
    </row>
    <row r="856" spans="1:78" x14ac:dyDescent="0.2">
      <c r="A856" t="str">
        <f t="shared" si="55"/>
        <v>2011_06_039</v>
      </c>
      <c r="B856" s="1">
        <v>2011</v>
      </c>
      <c r="C856" s="1">
        <v>6</v>
      </c>
      <c r="D856" s="1">
        <v>39</v>
      </c>
      <c r="E856" t="s">
        <v>3</v>
      </c>
      <c r="F856" t="s">
        <v>5</v>
      </c>
      <c r="G856" s="18">
        <v>3</v>
      </c>
      <c r="H856" s="11" t="str">
        <f t="shared" si="56"/>
        <v>2011_06_039.gif</v>
      </c>
      <c r="I856"/>
      <c r="L856" s="1" t="b">
        <v>0</v>
      </c>
      <c r="M856" s="1">
        <v>0</v>
      </c>
      <c r="N856" s="1" t="s">
        <v>657</v>
      </c>
      <c r="O856" s="1">
        <v>855</v>
      </c>
      <c r="P856" s="12" t="str">
        <f t="shared" si="58"/>
        <v>Vector Components</v>
      </c>
      <c r="Q856" s="1">
        <v>5453</v>
      </c>
      <c r="R856" s="1" t="str">
        <f t="shared" si="57"/>
        <v>2011_06</v>
      </c>
      <c r="AE856" s="1">
        <v>1</v>
      </c>
    </row>
    <row r="857" spans="1:78" x14ac:dyDescent="0.2">
      <c r="A857" t="str">
        <f t="shared" si="55"/>
        <v>2011_06_040</v>
      </c>
      <c r="B857" s="1">
        <v>2011</v>
      </c>
      <c r="C857" s="1">
        <v>6</v>
      </c>
      <c r="D857" s="1">
        <v>40</v>
      </c>
      <c r="E857" t="s">
        <v>548</v>
      </c>
      <c r="F857" t="s">
        <v>10</v>
      </c>
      <c r="G857" s="18">
        <v>3</v>
      </c>
      <c r="H857" s="11" t="str">
        <f t="shared" si="56"/>
        <v>2011_06_040.gif</v>
      </c>
      <c r="I857"/>
      <c r="L857" s="1" t="b">
        <v>0</v>
      </c>
      <c r="M857" s="1">
        <v>0</v>
      </c>
      <c r="N857" s="1" t="s">
        <v>657</v>
      </c>
      <c r="O857" s="1">
        <v>856</v>
      </c>
      <c r="P857" s="12" t="str">
        <f t="shared" si="58"/>
        <v>Coulomb's Law,Mathematical Relationships (Numberless Problems)</v>
      </c>
      <c r="Q857" s="1">
        <v>5454</v>
      </c>
      <c r="R857" s="1" t="str">
        <f t="shared" si="57"/>
        <v>2011_06</v>
      </c>
      <c r="BL857" s="1">
        <v>1</v>
      </c>
      <c r="BY857" s="1">
        <v>1</v>
      </c>
    </row>
    <row r="858" spans="1:78" x14ac:dyDescent="0.2">
      <c r="A858" t="str">
        <f t="shared" si="55"/>
        <v>2011_06_041</v>
      </c>
      <c r="B858" s="1">
        <v>2011</v>
      </c>
      <c r="C858" s="1">
        <v>6</v>
      </c>
      <c r="D858" s="1">
        <v>41</v>
      </c>
      <c r="E858" t="s">
        <v>548</v>
      </c>
      <c r="F858" t="s">
        <v>5</v>
      </c>
      <c r="G858" s="18">
        <v>2</v>
      </c>
      <c r="H858" s="11" t="str">
        <f t="shared" si="56"/>
        <v>2011_06_041.gif</v>
      </c>
      <c r="I858"/>
      <c r="L858" s="1" t="b">
        <v>0</v>
      </c>
      <c r="M858" s="1">
        <v>0</v>
      </c>
      <c r="N858" s="1" t="s">
        <v>657</v>
      </c>
      <c r="O858" s="1">
        <v>857</v>
      </c>
      <c r="P858" s="12" t="str">
        <f t="shared" si="58"/>
        <v>Law of Gravity,Graph Interpretation,Mathematical Relationships (Numberless Problems)</v>
      </c>
      <c r="Q858" s="1">
        <v>5455</v>
      </c>
      <c r="R858" s="1" t="str">
        <f t="shared" si="57"/>
        <v>2011_06</v>
      </c>
      <c r="AQ858" s="1">
        <v>1</v>
      </c>
      <c r="BX858" s="1">
        <v>1</v>
      </c>
      <c r="BY858" s="1">
        <v>1</v>
      </c>
    </row>
    <row r="859" spans="1:78" x14ac:dyDescent="0.2">
      <c r="A859" t="str">
        <f t="shared" si="55"/>
        <v>2011_06_042</v>
      </c>
      <c r="B859" s="1">
        <v>2011</v>
      </c>
      <c r="C859" s="1">
        <v>6</v>
      </c>
      <c r="D859" s="1">
        <v>42</v>
      </c>
      <c r="E859" t="s">
        <v>7</v>
      </c>
      <c r="F859" t="s">
        <v>548</v>
      </c>
      <c r="G859" s="18">
        <v>2</v>
      </c>
      <c r="H859" s="11" t="str">
        <f t="shared" si="56"/>
        <v>2011_06_042.gif</v>
      </c>
      <c r="I859"/>
      <c r="L859" s="1" t="b">
        <v>0</v>
      </c>
      <c r="M859" s="1">
        <v>0</v>
      </c>
      <c r="N859" s="1" t="s">
        <v>657</v>
      </c>
      <c r="O859" s="1">
        <v>858</v>
      </c>
      <c r="P859" s="12" t="str">
        <f t="shared" si="58"/>
        <v>Gravitational PE,Graph Interpretation,Mathematical Relationships (Numberless Problems)</v>
      </c>
      <c r="Q859" s="1">
        <v>5456</v>
      </c>
      <c r="R859" s="1" t="str">
        <f t="shared" si="57"/>
        <v>2011_06</v>
      </c>
      <c r="AY859" s="1">
        <v>1</v>
      </c>
      <c r="BX859" s="1">
        <v>1</v>
      </c>
      <c r="BY859" s="1">
        <v>1</v>
      </c>
    </row>
    <row r="860" spans="1:78" x14ac:dyDescent="0.2">
      <c r="A860" t="str">
        <f t="shared" si="55"/>
        <v>2011_06_043</v>
      </c>
      <c r="B860" s="1">
        <v>2011</v>
      </c>
      <c r="C860" s="1">
        <v>6</v>
      </c>
      <c r="D860" s="1">
        <v>43</v>
      </c>
      <c r="E860" t="s">
        <v>548</v>
      </c>
      <c r="F860" t="s">
        <v>10</v>
      </c>
      <c r="G860" s="18">
        <v>4</v>
      </c>
      <c r="H860" s="11" t="str">
        <f t="shared" si="56"/>
        <v>2011_06_043.gif</v>
      </c>
      <c r="I860"/>
      <c r="L860" s="1" t="b">
        <v>0</v>
      </c>
      <c r="M860" s="1">
        <v>0</v>
      </c>
      <c r="N860" s="1" t="s">
        <v>657</v>
      </c>
      <c r="O860" s="1">
        <v>859</v>
      </c>
      <c r="P860" s="12" t="str">
        <f t="shared" si="58"/>
        <v>Electric Fields and Potential,Graph Interpretation,Mathematical Relationships (Numberless Problems)</v>
      </c>
      <c r="Q860" s="1">
        <v>5457</v>
      </c>
      <c r="R860" s="1" t="str">
        <f t="shared" si="57"/>
        <v>2011_06</v>
      </c>
      <c r="BN860" s="1">
        <v>1</v>
      </c>
      <c r="BX860" s="1">
        <v>1</v>
      </c>
      <c r="BY860" s="1">
        <v>1</v>
      </c>
    </row>
    <row r="861" spans="1:78" x14ac:dyDescent="0.2">
      <c r="A861" t="str">
        <f t="shared" si="55"/>
        <v>2011_06_044</v>
      </c>
      <c r="B861" s="1">
        <v>2011</v>
      </c>
      <c r="C861" s="1">
        <v>6</v>
      </c>
      <c r="D861" s="1">
        <v>44</v>
      </c>
      <c r="E861" t="s">
        <v>11</v>
      </c>
      <c r="G861" s="18">
        <v>4</v>
      </c>
      <c r="H861" s="11" t="str">
        <f t="shared" si="56"/>
        <v>2011_06_044.gif</v>
      </c>
      <c r="I861"/>
      <c r="L861" s="1" t="b">
        <v>0</v>
      </c>
      <c r="M861" s="1">
        <v>0</v>
      </c>
      <c r="N861" s="1" t="s">
        <v>657</v>
      </c>
      <c r="O861" s="1">
        <v>860</v>
      </c>
      <c r="P861" s="12" t="str">
        <f t="shared" si="58"/>
        <v>Series and Parallel</v>
      </c>
      <c r="Q861" s="1">
        <v>5458</v>
      </c>
      <c r="R861" s="1" t="str">
        <f t="shared" si="57"/>
        <v>2011_06</v>
      </c>
      <c r="BS861" s="1">
        <v>1</v>
      </c>
    </row>
    <row r="862" spans="1:78" x14ac:dyDescent="0.2">
      <c r="A862" t="str">
        <f t="shared" si="55"/>
        <v>2011_06_045</v>
      </c>
      <c r="B862" s="1">
        <v>2011</v>
      </c>
      <c r="C862" s="1">
        <v>6</v>
      </c>
      <c r="D862" s="1">
        <v>45</v>
      </c>
      <c r="E862" t="s">
        <v>12</v>
      </c>
      <c r="G862" s="18">
        <v>1</v>
      </c>
      <c r="H862" s="11" t="str">
        <f t="shared" si="56"/>
        <v>2011_06_045.gif</v>
      </c>
      <c r="I862"/>
      <c r="L862" s="1" t="b">
        <v>0</v>
      </c>
      <c r="M862" s="1">
        <v>0</v>
      </c>
      <c r="N862" s="1" t="s">
        <v>657</v>
      </c>
      <c r="O862" s="1">
        <v>861</v>
      </c>
      <c r="P862" s="12" t="str">
        <f t="shared" si="58"/>
        <v>Magnetism</v>
      </c>
      <c r="Q862" s="1">
        <v>5459</v>
      </c>
      <c r="R862" s="1" t="str">
        <f t="shared" si="57"/>
        <v>2011_06</v>
      </c>
      <c r="BZ862" s="1">
        <v>1</v>
      </c>
    </row>
    <row r="863" spans="1:78" x14ac:dyDescent="0.2">
      <c r="A863" t="str">
        <f t="shared" si="55"/>
        <v>2011_06_046</v>
      </c>
      <c r="B863" s="1">
        <v>2011</v>
      </c>
      <c r="C863" s="1">
        <v>6</v>
      </c>
      <c r="D863" s="1">
        <v>46</v>
      </c>
      <c r="E863" t="s">
        <v>8</v>
      </c>
      <c r="G863" s="18">
        <v>2</v>
      </c>
      <c r="H863" s="11" t="str">
        <f t="shared" si="56"/>
        <v>2011_06_046.gif</v>
      </c>
      <c r="I863"/>
      <c r="L863" s="1" t="b">
        <v>0</v>
      </c>
      <c r="M863" s="1">
        <v>0</v>
      </c>
      <c r="N863" s="1" t="s">
        <v>657</v>
      </c>
      <c r="O863" s="1">
        <v>862</v>
      </c>
      <c r="P863" s="12" t="str">
        <f t="shared" si="58"/>
        <v>Superposition and Standing Waves</v>
      </c>
      <c r="Q863" s="1">
        <v>5460</v>
      </c>
      <c r="R863" s="1" t="str">
        <f t="shared" si="57"/>
        <v>2011_06</v>
      </c>
      <c r="BD863" s="1">
        <v>1</v>
      </c>
    </row>
    <row r="864" spans="1:78" x14ac:dyDescent="0.2">
      <c r="A864" t="str">
        <f t="shared" si="55"/>
        <v>2011_06_047</v>
      </c>
      <c r="B864" s="1">
        <v>2011</v>
      </c>
      <c r="C864" s="1">
        <v>6</v>
      </c>
      <c r="D864" s="1">
        <v>47</v>
      </c>
      <c r="E864" t="s">
        <v>9</v>
      </c>
      <c r="G864" s="18">
        <v>4</v>
      </c>
      <c r="H864" s="11" t="str">
        <f t="shared" si="56"/>
        <v>2011_06_047.gif</v>
      </c>
      <c r="I864"/>
      <c r="L864" s="1" t="b">
        <v>0</v>
      </c>
      <c r="M864" s="1">
        <v>0</v>
      </c>
      <c r="N864" s="1" t="s">
        <v>657</v>
      </c>
      <c r="O864" s="1">
        <v>863</v>
      </c>
      <c r="P864" s="12" t="str">
        <f t="shared" si="58"/>
        <v>Diffraction</v>
      </c>
      <c r="Q864" s="1">
        <v>5461</v>
      </c>
      <c r="R864" s="1" t="str">
        <f t="shared" si="57"/>
        <v>2011_06</v>
      </c>
      <c r="BG864" s="1">
        <v>1</v>
      </c>
    </row>
    <row r="865" spans="1:75" x14ac:dyDescent="0.2">
      <c r="A865" t="str">
        <f t="shared" si="55"/>
        <v>2011_06_048</v>
      </c>
      <c r="B865" s="1">
        <v>2011</v>
      </c>
      <c r="C865" s="1">
        <v>6</v>
      </c>
      <c r="D865" s="1">
        <v>48</v>
      </c>
      <c r="E865" t="s">
        <v>8</v>
      </c>
      <c r="G865" s="18">
        <v>3</v>
      </c>
      <c r="H865" s="11" t="str">
        <f t="shared" si="56"/>
        <v>2011_06_048.gif</v>
      </c>
      <c r="I865"/>
      <c r="L865" s="1" t="b">
        <v>0</v>
      </c>
      <c r="M865" s="1">
        <v>0</v>
      </c>
      <c r="N865" s="1" t="s">
        <v>657</v>
      </c>
      <c r="O865" s="1">
        <v>864</v>
      </c>
      <c r="P865" s="12" t="str">
        <f t="shared" si="58"/>
        <v>Superposition and Standing Waves,Wave Vocabulary</v>
      </c>
      <c r="Q865" s="1">
        <v>5462</v>
      </c>
      <c r="R865" s="1" t="str">
        <f t="shared" si="57"/>
        <v>2011_06</v>
      </c>
      <c r="BD865" s="1">
        <v>1</v>
      </c>
      <c r="BF865" s="1">
        <v>1</v>
      </c>
    </row>
    <row r="866" spans="1:75" x14ac:dyDescent="0.2">
      <c r="A866" t="str">
        <f>B866&amp;"_0"&amp;C866&amp;"_"&amp;TEXT(D866,"000")</f>
        <v>2011_06_049</v>
      </c>
      <c r="B866" s="1">
        <v>2011</v>
      </c>
      <c r="C866" s="1">
        <v>6</v>
      </c>
      <c r="D866" s="1">
        <v>49</v>
      </c>
      <c r="E866" t="s">
        <v>13</v>
      </c>
      <c r="G866" s="18">
        <v>3</v>
      </c>
      <c r="H866" s="11" t="str">
        <f t="shared" si="56"/>
        <v>2011_06_049.gif</v>
      </c>
      <c r="I866"/>
      <c r="L866" s="1" t="b">
        <v>0</v>
      </c>
      <c r="M866" s="1">
        <v>0</v>
      </c>
      <c r="N866" s="1" t="s">
        <v>657</v>
      </c>
      <c r="O866" s="1">
        <v>865</v>
      </c>
      <c r="P866" s="12" t="str">
        <f t="shared" si="58"/>
        <v>Particle Physics</v>
      </c>
      <c r="Q866" s="1">
        <v>5463</v>
      </c>
      <c r="R866" s="1" t="str">
        <f t="shared" si="57"/>
        <v>2011_06</v>
      </c>
      <c r="BW866" s="1">
        <v>1</v>
      </c>
    </row>
    <row r="867" spans="1:75" x14ac:dyDescent="0.2">
      <c r="A867" t="str">
        <f>B867&amp;"_0"&amp;C867&amp;"_"&amp;TEXT(D867,"000")</f>
        <v>2011_06_050</v>
      </c>
      <c r="B867" s="1">
        <v>2011</v>
      </c>
      <c r="C867" s="1">
        <v>6</v>
      </c>
      <c r="D867" s="1">
        <v>50</v>
      </c>
      <c r="E867" t="s">
        <v>8</v>
      </c>
      <c r="G867" s="18">
        <v>1</v>
      </c>
      <c r="H867" s="11" t="str">
        <f t="shared" si="56"/>
        <v>2011_06_050.gif</v>
      </c>
      <c r="I867"/>
      <c r="L867" s="1" t="b">
        <v>0</v>
      </c>
      <c r="M867" s="1">
        <v>0</v>
      </c>
      <c r="N867" s="1" t="s">
        <v>657</v>
      </c>
      <c r="O867" s="1">
        <v>866</v>
      </c>
      <c r="P867" s="12" t="str">
        <f t="shared" si="58"/>
        <v>Superposition and Standing Waves</v>
      </c>
      <c r="Q867" s="1">
        <v>5464</v>
      </c>
      <c r="R867" s="1" t="str">
        <f t="shared" si="57"/>
        <v>2011_06</v>
      </c>
      <c r="BD867" s="1">
        <v>1</v>
      </c>
    </row>
    <row r="868" spans="1:75" x14ac:dyDescent="0.2">
      <c r="A868" t="str">
        <f t="shared" ref="A868:A931" si="59">B868&amp;"_0"&amp;C868&amp;"_"&amp;TEXT(D868,"000")</f>
        <v>2012_06_001</v>
      </c>
      <c r="B868" s="1">
        <v>2012</v>
      </c>
      <c r="C868" s="1">
        <v>6</v>
      </c>
      <c r="D868" s="1">
        <v>1</v>
      </c>
      <c r="E868" t="s">
        <v>2</v>
      </c>
      <c r="G868" s="18">
        <v>1</v>
      </c>
      <c r="H868" s="11" t="str">
        <f t="shared" si="56"/>
        <v>2012_06_001.gif</v>
      </c>
      <c r="I868"/>
      <c r="L868" s="1" t="b">
        <v>0</v>
      </c>
      <c r="M868" s="1">
        <v>0</v>
      </c>
      <c r="N868" s="1" t="s">
        <v>601</v>
      </c>
      <c r="O868" s="1">
        <v>867</v>
      </c>
      <c r="P868" s="12" t="str">
        <f t="shared" si="58"/>
        <v>Basic Motion Concepts</v>
      </c>
      <c r="Q868" s="1">
        <v>5497</v>
      </c>
      <c r="R868" s="1" t="str">
        <f t="shared" si="57"/>
        <v>2012_06</v>
      </c>
      <c r="Z868" s="1">
        <v>1</v>
      </c>
    </row>
    <row r="869" spans="1:75" x14ac:dyDescent="0.2">
      <c r="A869" t="str">
        <f t="shared" si="59"/>
        <v>2012_06_002</v>
      </c>
      <c r="B869" s="1">
        <v>2012</v>
      </c>
      <c r="C869" s="1">
        <v>6</v>
      </c>
      <c r="D869" s="1">
        <v>2</v>
      </c>
      <c r="E869" t="s">
        <v>2</v>
      </c>
      <c r="G869" s="18">
        <v>3</v>
      </c>
      <c r="H869" s="11" t="str">
        <f t="shared" si="56"/>
        <v>2012_06_002.gif</v>
      </c>
      <c r="I869"/>
      <c r="L869" s="1" t="b">
        <v>0</v>
      </c>
      <c r="M869" s="1">
        <v>0</v>
      </c>
      <c r="N869" s="1" t="s">
        <v>601</v>
      </c>
      <c r="O869" s="1">
        <v>868</v>
      </c>
      <c r="P869" s="12" t="str">
        <f t="shared" si="58"/>
        <v>Basic Motion Concepts</v>
      </c>
      <c r="Q869" s="1">
        <v>5498</v>
      </c>
      <c r="R869" s="1" t="str">
        <f t="shared" si="57"/>
        <v>2012_06</v>
      </c>
      <c r="Z869" s="1">
        <v>1</v>
      </c>
    </row>
    <row r="870" spans="1:75" x14ac:dyDescent="0.2">
      <c r="A870" t="str">
        <f t="shared" si="59"/>
        <v>2012_06_003</v>
      </c>
      <c r="B870" s="1">
        <v>2012</v>
      </c>
      <c r="C870" s="1">
        <v>6</v>
      </c>
      <c r="D870" s="1">
        <v>3</v>
      </c>
      <c r="E870" t="s">
        <v>4</v>
      </c>
      <c r="F870" t="s">
        <v>3</v>
      </c>
      <c r="G870" s="18">
        <v>3</v>
      </c>
      <c r="H870" s="11" t="str">
        <f t="shared" si="56"/>
        <v>2012_06_003.gif</v>
      </c>
      <c r="I870"/>
      <c r="L870" s="1" t="b">
        <v>0</v>
      </c>
      <c r="M870" s="1">
        <v>0</v>
      </c>
      <c r="N870" s="1" t="s">
        <v>601</v>
      </c>
      <c r="O870" s="1">
        <v>869</v>
      </c>
      <c r="P870" s="12" t="str">
        <f t="shared" si="58"/>
        <v>Vector Components,Projectiles at an Angle</v>
      </c>
      <c r="Q870" s="1">
        <v>5499</v>
      </c>
      <c r="R870" s="1" t="str">
        <f t="shared" si="57"/>
        <v>2012_06</v>
      </c>
      <c r="AE870" s="1">
        <v>1</v>
      </c>
      <c r="AH870" s="1">
        <v>1</v>
      </c>
    </row>
    <row r="871" spans="1:75" x14ac:dyDescent="0.2">
      <c r="A871" t="str">
        <f t="shared" si="59"/>
        <v>2012_06_004</v>
      </c>
      <c r="B871" s="1">
        <v>2012</v>
      </c>
      <c r="C871" s="1">
        <v>6</v>
      </c>
      <c r="D871" s="1">
        <v>4</v>
      </c>
      <c r="E871" t="s">
        <v>10</v>
      </c>
      <c r="G871" s="18">
        <v>3</v>
      </c>
      <c r="H871" s="11" t="str">
        <f t="shared" si="56"/>
        <v>2012_06_004.gif</v>
      </c>
      <c r="I871"/>
      <c r="L871" s="1" t="b">
        <v>0</v>
      </c>
      <c r="M871" s="1">
        <v>0</v>
      </c>
      <c r="N871" s="1" t="s">
        <v>601</v>
      </c>
      <c r="O871" s="1">
        <v>870</v>
      </c>
      <c r="P871" s="12" t="str">
        <f t="shared" si="58"/>
        <v>Conservation of Charge</v>
      </c>
      <c r="Q871" s="1">
        <v>5500</v>
      </c>
      <c r="R871" s="1" t="str">
        <f t="shared" si="57"/>
        <v>2012_06</v>
      </c>
      <c r="BK871" s="1">
        <v>1</v>
      </c>
    </row>
    <row r="872" spans="1:75" x14ac:dyDescent="0.2">
      <c r="A872" t="str">
        <f t="shared" si="59"/>
        <v>2012_06_005</v>
      </c>
      <c r="B872" s="1">
        <v>2012</v>
      </c>
      <c r="C872" s="1">
        <v>6</v>
      </c>
      <c r="D872" s="1">
        <v>5</v>
      </c>
      <c r="E872" t="s">
        <v>5</v>
      </c>
      <c r="G872" s="18">
        <v>1</v>
      </c>
      <c r="H872" s="11" t="str">
        <f t="shared" si="56"/>
        <v>2012_06_005.gif</v>
      </c>
      <c r="I872"/>
      <c r="L872" s="1" t="b">
        <v>0</v>
      </c>
      <c r="M872" s="1">
        <v>0</v>
      </c>
      <c r="N872" s="1" t="s">
        <v>601</v>
      </c>
      <c r="O872" s="1">
        <v>871</v>
      </c>
      <c r="P872" s="12" t="str">
        <f t="shared" si="58"/>
        <v>Newton's 1st Law (Inertia)</v>
      </c>
      <c r="Q872" s="1">
        <v>5501</v>
      </c>
      <c r="R872" s="1" t="str">
        <f t="shared" si="57"/>
        <v>2012_06</v>
      </c>
      <c r="AR872" s="1">
        <v>1</v>
      </c>
    </row>
    <row r="873" spans="1:75" x14ac:dyDescent="0.2">
      <c r="A873" t="str">
        <f t="shared" si="59"/>
        <v>2012_06_006</v>
      </c>
      <c r="B873" s="1">
        <v>2012</v>
      </c>
      <c r="C873" s="1">
        <v>6</v>
      </c>
      <c r="D873" s="1">
        <v>6</v>
      </c>
      <c r="E873" t="s">
        <v>2</v>
      </c>
      <c r="G873" s="18">
        <v>4</v>
      </c>
      <c r="H873" s="11" t="str">
        <f t="shared" si="56"/>
        <v>2012_06_006.gif</v>
      </c>
      <c r="I873"/>
      <c r="L873" s="1" t="b">
        <v>0</v>
      </c>
      <c r="M873" s="1">
        <v>0</v>
      </c>
      <c r="N873" s="1" t="s">
        <v>601</v>
      </c>
      <c r="O873" s="1">
        <v>872</v>
      </c>
      <c r="P873" s="12" t="str">
        <f t="shared" si="58"/>
        <v>Horizontal Constant Acceleration Problems</v>
      </c>
      <c r="Q873" s="1">
        <v>5502</v>
      </c>
      <c r="R873" s="1" t="str">
        <f t="shared" si="57"/>
        <v>2012_06</v>
      </c>
      <c r="AB873" s="1">
        <v>1</v>
      </c>
    </row>
    <row r="874" spans="1:75" x14ac:dyDescent="0.2">
      <c r="A874" t="str">
        <f t="shared" si="59"/>
        <v>2012_06_007</v>
      </c>
      <c r="B874" s="1">
        <v>2012</v>
      </c>
      <c r="C874" s="1">
        <v>6</v>
      </c>
      <c r="D874" s="1">
        <v>7</v>
      </c>
      <c r="E874" t="s">
        <v>5</v>
      </c>
      <c r="G874" s="18">
        <v>3</v>
      </c>
      <c r="H874" s="11" t="str">
        <f t="shared" si="56"/>
        <v>2012_06_007.gif</v>
      </c>
      <c r="I874"/>
      <c r="L874" s="1" t="b">
        <v>0</v>
      </c>
      <c r="M874" s="1">
        <v>0</v>
      </c>
      <c r="N874" s="1" t="s">
        <v>601</v>
      </c>
      <c r="O874" s="1">
        <v>873</v>
      </c>
      <c r="P874" s="12" t="str">
        <f t="shared" si="58"/>
        <v>Newton's 2nd Law (F=MA)</v>
      </c>
      <c r="Q874" s="1">
        <v>5503</v>
      </c>
      <c r="R874" s="1" t="str">
        <f t="shared" si="57"/>
        <v>2012_06</v>
      </c>
      <c r="AS874" s="1">
        <v>1</v>
      </c>
    </row>
    <row r="875" spans="1:75" x14ac:dyDescent="0.2">
      <c r="A875" t="str">
        <f t="shared" si="59"/>
        <v>2012_06_008</v>
      </c>
      <c r="B875" s="1">
        <v>2012</v>
      </c>
      <c r="C875" s="1">
        <v>6</v>
      </c>
      <c r="D875" s="1">
        <v>8</v>
      </c>
      <c r="E875" t="s">
        <v>4</v>
      </c>
      <c r="F875" t="s">
        <v>2</v>
      </c>
      <c r="G875" s="18">
        <v>3</v>
      </c>
      <c r="H875" s="11" t="str">
        <f t="shared" si="56"/>
        <v>2012_06_008.gif</v>
      </c>
      <c r="I875"/>
      <c r="L875" s="1" t="b">
        <v>0</v>
      </c>
      <c r="M875" s="1">
        <v>0</v>
      </c>
      <c r="N875" s="1" t="s">
        <v>601</v>
      </c>
      <c r="O875" s="1">
        <v>874</v>
      </c>
      <c r="P875" s="12" t="str">
        <f t="shared" si="58"/>
        <v>Horizontal Constant Acceleration Problems</v>
      </c>
      <c r="Q875" s="1">
        <v>5504</v>
      </c>
      <c r="R875" s="1" t="str">
        <f t="shared" si="57"/>
        <v>2012_06</v>
      </c>
      <c r="AB875" s="1">
        <v>1</v>
      </c>
    </row>
    <row r="876" spans="1:75" x14ac:dyDescent="0.2">
      <c r="A876" t="str">
        <f t="shared" si="59"/>
        <v>2012_06_009</v>
      </c>
      <c r="B876" s="1">
        <v>2012</v>
      </c>
      <c r="C876" s="1">
        <v>6</v>
      </c>
      <c r="D876" s="1">
        <v>9</v>
      </c>
      <c r="E876" t="s">
        <v>4</v>
      </c>
      <c r="G876" s="18">
        <v>4</v>
      </c>
      <c r="H876" s="11" t="str">
        <f t="shared" si="56"/>
        <v>2012_06_009.gif</v>
      </c>
      <c r="I876"/>
      <c r="L876" s="1" t="b">
        <v>0</v>
      </c>
      <c r="M876" s="1">
        <v>0</v>
      </c>
      <c r="N876" s="1" t="s">
        <v>601</v>
      </c>
      <c r="O876" s="1">
        <v>875</v>
      </c>
      <c r="P876" s="12" t="str">
        <f t="shared" si="58"/>
        <v>Centripetal Motion - Calculation</v>
      </c>
      <c r="Q876" s="1">
        <v>5505</v>
      </c>
      <c r="R876" s="1" t="str">
        <f t="shared" si="57"/>
        <v>2012_06</v>
      </c>
      <c r="AM876" s="1">
        <v>1</v>
      </c>
    </row>
    <row r="877" spans="1:75" x14ac:dyDescent="0.2">
      <c r="A877" t="str">
        <f t="shared" si="59"/>
        <v>2012_06_010</v>
      </c>
      <c r="B877" s="1">
        <v>2012</v>
      </c>
      <c r="C877" s="1">
        <v>6</v>
      </c>
      <c r="D877" s="1">
        <v>10</v>
      </c>
      <c r="E877" t="s">
        <v>6</v>
      </c>
      <c r="G877" s="18">
        <v>2</v>
      </c>
      <c r="H877" s="11" t="str">
        <f t="shared" si="56"/>
        <v>2012_06_010.gif</v>
      </c>
      <c r="I877"/>
      <c r="L877" s="1" t="b">
        <v>0</v>
      </c>
      <c r="M877" s="1">
        <v>0</v>
      </c>
      <c r="N877" s="1" t="s">
        <v>601</v>
      </c>
      <c r="O877" s="1">
        <v>876</v>
      </c>
      <c r="P877" s="12" t="str">
        <f t="shared" si="58"/>
        <v>Conservation of Momentum</v>
      </c>
      <c r="Q877" s="1">
        <v>5506</v>
      </c>
      <c r="R877" s="1" t="str">
        <f t="shared" si="57"/>
        <v>2012_06</v>
      </c>
      <c r="AU877" s="1">
        <v>1</v>
      </c>
    </row>
    <row r="878" spans="1:75" x14ac:dyDescent="0.2">
      <c r="A878" t="str">
        <f t="shared" si="59"/>
        <v>2012_06_011</v>
      </c>
      <c r="B878" s="1">
        <v>2012</v>
      </c>
      <c r="C878" s="1">
        <v>6</v>
      </c>
      <c r="D878" s="1">
        <v>11</v>
      </c>
      <c r="E878" t="s">
        <v>5</v>
      </c>
      <c r="G878" s="18">
        <v>1</v>
      </c>
      <c r="H878" s="11" t="str">
        <f t="shared" si="56"/>
        <v>2012_06_011.gif</v>
      </c>
      <c r="I878"/>
      <c r="L878" s="1" t="b">
        <v>0</v>
      </c>
      <c r="M878" s="1">
        <v>0</v>
      </c>
      <c r="N878" s="1" t="s">
        <v>601</v>
      </c>
      <c r="O878" s="1">
        <v>877</v>
      </c>
      <c r="P878" s="12" t="str">
        <f t="shared" si="58"/>
        <v>Friction</v>
      </c>
      <c r="Q878" s="1">
        <v>5507</v>
      </c>
      <c r="R878" s="1" t="str">
        <f t="shared" si="57"/>
        <v>2012_06</v>
      </c>
      <c r="AN878" s="1">
        <v>1</v>
      </c>
    </row>
    <row r="879" spans="1:75" x14ac:dyDescent="0.2">
      <c r="A879" t="str">
        <f t="shared" si="59"/>
        <v>2012_06_012</v>
      </c>
      <c r="B879" s="1">
        <v>2012</v>
      </c>
      <c r="C879" s="1">
        <v>6</v>
      </c>
      <c r="D879" s="1">
        <v>12</v>
      </c>
      <c r="E879" t="s">
        <v>5</v>
      </c>
      <c r="F879" t="s">
        <v>3</v>
      </c>
      <c r="G879" s="18">
        <v>1</v>
      </c>
      <c r="H879" s="11" t="str">
        <f t="shared" si="56"/>
        <v>2012_06_012.gif</v>
      </c>
      <c r="I879"/>
      <c r="L879" s="1" t="b">
        <v>0</v>
      </c>
      <c r="M879" s="1">
        <v>0</v>
      </c>
      <c r="N879" s="1" t="s">
        <v>601</v>
      </c>
      <c r="O879" s="1">
        <v>878</v>
      </c>
      <c r="P879" s="12" t="str">
        <f t="shared" si="58"/>
        <v>Adding Vectors,Newton's 2nd Law (F=MA)</v>
      </c>
      <c r="Q879" s="1">
        <v>5508</v>
      </c>
      <c r="R879" s="1" t="str">
        <f t="shared" si="57"/>
        <v>2012_06</v>
      </c>
      <c r="AD879" s="1">
        <v>1</v>
      </c>
      <c r="AS879" s="1">
        <v>1</v>
      </c>
    </row>
    <row r="880" spans="1:75" x14ac:dyDescent="0.2">
      <c r="A880" t="str">
        <f t="shared" si="59"/>
        <v>2012_06_013</v>
      </c>
      <c r="B880" s="1">
        <v>2012</v>
      </c>
      <c r="C880" s="1">
        <v>6</v>
      </c>
      <c r="D880" s="1">
        <v>13</v>
      </c>
      <c r="E880" t="s">
        <v>5</v>
      </c>
      <c r="F880" t="s">
        <v>7</v>
      </c>
      <c r="G880" s="18">
        <v>2</v>
      </c>
      <c r="H880" s="11" t="str">
        <f t="shared" si="56"/>
        <v>2012_06_013.gif</v>
      </c>
      <c r="I880"/>
      <c r="L880" s="1" t="b">
        <v>0</v>
      </c>
      <c r="M880" s="1">
        <v>0</v>
      </c>
      <c r="N880" s="1" t="s">
        <v>601</v>
      </c>
      <c r="O880" s="1">
        <v>879</v>
      </c>
      <c r="P880" s="12" t="str">
        <f t="shared" si="58"/>
        <v>Gravitational PE</v>
      </c>
      <c r="Q880" s="1">
        <v>5509</v>
      </c>
      <c r="R880" s="1" t="str">
        <f t="shared" si="57"/>
        <v>2012_06</v>
      </c>
      <c r="AY880" s="1">
        <v>1</v>
      </c>
    </row>
    <row r="881" spans="1:77" x14ac:dyDescent="0.2">
      <c r="A881" t="str">
        <f t="shared" si="59"/>
        <v>2012_06_014</v>
      </c>
      <c r="B881" s="1">
        <v>2012</v>
      </c>
      <c r="C881" s="1">
        <v>6</v>
      </c>
      <c r="D881" s="1">
        <v>14</v>
      </c>
      <c r="E881" t="s">
        <v>7</v>
      </c>
      <c r="G881" s="18">
        <v>4</v>
      </c>
      <c r="H881" s="11" t="str">
        <f t="shared" si="56"/>
        <v>2012_06_014.gif</v>
      </c>
      <c r="I881"/>
      <c r="L881" s="1" t="b">
        <v>0</v>
      </c>
      <c r="M881" s="1">
        <v>0</v>
      </c>
      <c r="N881" s="1" t="s">
        <v>601</v>
      </c>
      <c r="O881" s="1">
        <v>880</v>
      </c>
      <c r="P881" s="12" t="str">
        <f t="shared" si="58"/>
        <v>Conservation of Energy</v>
      </c>
      <c r="Q881" s="1">
        <v>5510</v>
      </c>
      <c r="R881" s="1" t="str">
        <f t="shared" si="57"/>
        <v>2012_06</v>
      </c>
      <c r="AX881" s="1">
        <v>1</v>
      </c>
    </row>
    <row r="882" spans="1:77" x14ac:dyDescent="0.2">
      <c r="A882" t="str">
        <f t="shared" si="59"/>
        <v>2012_06_015</v>
      </c>
      <c r="B882" s="1">
        <v>2012</v>
      </c>
      <c r="C882" s="1">
        <v>6</v>
      </c>
      <c r="D882" s="1">
        <v>15</v>
      </c>
      <c r="E882" t="s">
        <v>11</v>
      </c>
      <c r="G882" s="18">
        <v>3</v>
      </c>
      <c r="H882" s="11" t="str">
        <f t="shared" si="56"/>
        <v>2012_06_015.gif</v>
      </c>
      <c r="I882"/>
      <c r="L882" s="1" t="b">
        <v>0</v>
      </c>
      <c r="M882" s="1">
        <v>0</v>
      </c>
      <c r="N882" s="1" t="s">
        <v>601</v>
      </c>
      <c r="O882" s="1">
        <v>881</v>
      </c>
      <c r="P882" s="12" t="str">
        <f t="shared" si="58"/>
        <v>Resistance of Wire</v>
      </c>
      <c r="Q882" s="1">
        <v>5511</v>
      </c>
      <c r="R882" s="1" t="str">
        <f t="shared" si="57"/>
        <v>2012_06</v>
      </c>
      <c r="BR882" s="1">
        <v>1</v>
      </c>
    </row>
    <row r="883" spans="1:77" x14ac:dyDescent="0.2">
      <c r="A883" t="str">
        <f t="shared" si="59"/>
        <v>2012_06_016</v>
      </c>
      <c r="B883" s="1">
        <v>2012</v>
      </c>
      <c r="C883" s="1">
        <v>6</v>
      </c>
      <c r="D883" s="1">
        <v>16</v>
      </c>
      <c r="E883" t="s">
        <v>4</v>
      </c>
      <c r="G883" s="18">
        <v>4</v>
      </c>
      <c r="H883" s="11" t="str">
        <f t="shared" si="56"/>
        <v>2012_06_016.gif</v>
      </c>
      <c r="I883"/>
      <c r="L883" s="1" t="b">
        <v>0</v>
      </c>
      <c r="M883" s="1">
        <v>0</v>
      </c>
      <c r="N883" s="1" t="s">
        <v>601</v>
      </c>
      <c r="O883" s="1">
        <v>882</v>
      </c>
      <c r="P883" s="12" t="str">
        <f t="shared" si="58"/>
        <v>Centripetal Motion - Direction F,A,V</v>
      </c>
      <c r="Q883" s="1">
        <v>5512</v>
      </c>
      <c r="R883" s="1" t="str">
        <f t="shared" si="57"/>
        <v>2012_06</v>
      </c>
      <c r="AL883" s="1">
        <v>1</v>
      </c>
    </row>
    <row r="884" spans="1:77" x14ac:dyDescent="0.2">
      <c r="A884" t="str">
        <f t="shared" si="59"/>
        <v>2012_06_017</v>
      </c>
      <c r="B884" s="1">
        <v>2012</v>
      </c>
      <c r="C884" s="1">
        <v>6</v>
      </c>
      <c r="D884" s="1">
        <v>17</v>
      </c>
      <c r="E884" t="s">
        <v>7</v>
      </c>
      <c r="G884" s="18">
        <v>3</v>
      </c>
      <c r="H884" s="11" t="str">
        <f t="shared" si="56"/>
        <v>2012_06_017.gif</v>
      </c>
      <c r="I884"/>
      <c r="L884" s="1" t="b">
        <v>0</v>
      </c>
      <c r="M884" s="1">
        <v>0</v>
      </c>
      <c r="N884" s="1" t="s">
        <v>601</v>
      </c>
      <c r="O884" s="1">
        <v>883</v>
      </c>
      <c r="P884" s="12" t="str">
        <f t="shared" si="58"/>
        <v>Gravitational PE,Work/Power</v>
      </c>
      <c r="Q884" s="1">
        <v>5513</v>
      </c>
      <c r="R884" s="1" t="str">
        <f t="shared" si="57"/>
        <v>2012_06</v>
      </c>
      <c r="AY884" s="1">
        <v>1</v>
      </c>
      <c r="BB884" s="1">
        <v>1</v>
      </c>
    </row>
    <row r="885" spans="1:77" x14ac:dyDescent="0.2">
      <c r="A885" t="str">
        <f t="shared" si="59"/>
        <v>2012_06_018</v>
      </c>
      <c r="B885" s="1">
        <v>2012</v>
      </c>
      <c r="C885" s="1">
        <v>6</v>
      </c>
      <c r="D885" s="1">
        <v>18</v>
      </c>
      <c r="E885" t="s">
        <v>6</v>
      </c>
      <c r="F885" t="s">
        <v>10</v>
      </c>
      <c r="G885" s="18">
        <v>1</v>
      </c>
      <c r="H885" s="11" t="str">
        <f t="shared" si="56"/>
        <v>2012_06_018.gif</v>
      </c>
      <c r="I885"/>
      <c r="L885" s="1" t="b">
        <v>0</v>
      </c>
      <c r="M885" s="1">
        <v>0</v>
      </c>
      <c r="N885" s="1" t="s">
        <v>601</v>
      </c>
      <c r="O885" s="1">
        <v>884</v>
      </c>
      <c r="P885" s="12" t="str">
        <f t="shared" si="58"/>
        <v>Newton's 3rd Law (Equal But Opposite),Coulomb's Law</v>
      </c>
      <c r="Q885" s="1">
        <v>5514</v>
      </c>
      <c r="R885" s="1" t="str">
        <f t="shared" si="57"/>
        <v>2012_06</v>
      </c>
      <c r="AW885" s="1">
        <v>1</v>
      </c>
      <c r="BL885" s="1">
        <v>1</v>
      </c>
    </row>
    <row r="886" spans="1:77" x14ac:dyDescent="0.2">
      <c r="A886" t="str">
        <f t="shared" si="59"/>
        <v>2012_06_019</v>
      </c>
      <c r="B886" s="1">
        <v>2012</v>
      </c>
      <c r="C886" s="1">
        <v>6</v>
      </c>
      <c r="D886" s="1">
        <v>19</v>
      </c>
      <c r="E886" t="s">
        <v>10</v>
      </c>
      <c r="F886" t="s">
        <v>11</v>
      </c>
      <c r="G886" s="18">
        <v>4</v>
      </c>
      <c r="H886" s="11" t="str">
        <f t="shared" si="56"/>
        <v>2012_06_019.gif</v>
      </c>
      <c r="I886"/>
      <c r="L886" s="1" t="b">
        <v>0</v>
      </c>
      <c r="M886" s="1">
        <v>0</v>
      </c>
      <c r="N886" s="1" t="s">
        <v>601</v>
      </c>
      <c r="O886" s="1">
        <v>885</v>
      </c>
      <c r="P886" s="12" t="str">
        <f t="shared" si="58"/>
        <v>Electric Fields and Potential,Electrical Definitions</v>
      </c>
      <c r="Q886" s="1">
        <v>5515</v>
      </c>
      <c r="R886" s="1" t="str">
        <f t="shared" si="57"/>
        <v>2012_06</v>
      </c>
      <c r="BN886" s="1">
        <v>1</v>
      </c>
      <c r="BO886" s="1">
        <v>1</v>
      </c>
    </row>
    <row r="887" spans="1:77" x14ac:dyDescent="0.2">
      <c r="A887" t="str">
        <f t="shared" si="59"/>
        <v>2012_06_020</v>
      </c>
      <c r="B887" s="1">
        <v>2012</v>
      </c>
      <c r="C887" s="1">
        <v>6</v>
      </c>
      <c r="D887" s="1">
        <v>20</v>
      </c>
      <c r="E887" t="s">
        <v>11</v>
      </c>
      <c r="F887" t="s">
        <v>548</v>
      </c>
      <c r="G887" s="18">
        <v>4</v>
      </c>
      <c r="H887" s="11" t="str">
        <f t="shared" si="56"/>
        <v>2012_06_020.gif</v>
      </c>
      <c r="I887"/>
      <c r="L887" s="1" t="b">
        <v>0</v>
      </c>
      <c r="M887" s="1">
        <v>0</v>
      </c>
      <c r="N887" s="1" t="s">
        <v>601</v>
      </c>
      <c r="O887" s="1">
        <v>886</v>
      </c>
      <c r="P887" s="12" t="str">
        <f t="shared" si="58"/>
        <v>Ohm's Law,Graph Interpretation,Mathematical Relationships (Numberless Problems)</v>
      </c>
      <c r="Q887" s="1">
        <v>5516</v>
      </c>
      <c r="R887" s="1" t="str">
        <f t="shared" si="57"/>
        <v>2012_06</v>
      </c>
      <c r="BQ887" s="1">
        <v>1</v>
      </c>
      <c r="BX887" s="1">
        <v>1</v>
      </c>
      <c r="BY887" s="1">
        <v>1</v>
      </c>
    </row>
    <row r="888" spans="1:77" x14ac:dyDescent="0.2">
      <c r="A888" t="str">
        <f t="shared" si="59"/>
        <v>2012_06_021</v>
      </c>
      <c r="B888" s="1">
        <v>2012</v>
      </c>
      <c r="C888" s="1">
        <v>6</v>
      </c>
      <c r="D888" s="1">
        <v>21</v>
      </c>
      <c r="E888" t="s">
        <v>8</v>
      </c>
      <c r="F888" t="s">
        <v>9</v>
      </c>
      <c r="G888" s="18">
        <v>2</v>
      </c>
      <c r="H888" s="11" t="str">
        <f t="shared" si="56"/>
        <v>2012_06_021.gif</v>
      </c>
      <c r="I888"/>
      <c r="L888" s="1" t="b">
        <v>0</v>
      </c>
      <c r="M888" s="1">
        <v>0</v>
      </c>
      <c r="N888" s="1" t="s">
        <v>601</v>
      </c>
      <c r="O888" s="1">
        <v>887</v>
      </c>
      <c r="P888" s="12" t="str">
        <f t="shared" si="58"/>
        <v>V=FxLamda,Wave Vocabulary</v>
      </c>
      <c r="Q888" s="1">
        <v>5517</v>
      </c>
      <c r="R888" s="1" t="str">
        <f t="shared" si="57"/>
        <v>2012_06</v>
      </c>
      <c r="BE888" s="1">
        <v>1</v>
      </c>
      <c r="BF888" s="1">
        <v>1</v>
      </c>
    </row>
    <row r="889" spans="1:77" x14ac:dyDescent="0.2">
      <c r="A889" t="str">
        <f t="shared" si="59"/>
        <v>2012_06_022</v>
      </c>
      <c r="B889" s="1">
        <v>2012</v>
      </c>
      <c r="C889" s="1">
        <v>6</v>
      </c>
      <c r="D889" s="1">
        <v>22</v>
      </c>
      <c r="E889" t="s">
        <v>1</v>
      </c>
      <c r="F889" t="s">
        <v>11</v>
      </c>
      <c r="G889" s="18">
        <v>2</v>
      </c>
      <c r="H889" s="11" t="str">
        <f t="shared" si="56"/>
        <v>2012_06_022.gif</v>
      </c>
      <c r="I889"/>
      <c r="L889" s="1" t="b">
        <v>0</v>
      </c>
      <c r="M889" s="1">
        <v>0</v>
      </c>
      <c r="N889" s="1" t="s">
        <v>601</v>
      </c>
      <c r="O889" s="1">
        <v>888</v>
      </c>
      <c r="P889" s="12" t="str">
        <f t="shared" si="58"/>
        <v>Units,Electrical Definitions</v>
      </c>
      <c r="Q889" s="1">
        <v>5518</v>
      </c>
      <c r="R889" s="1" t="str">
        <f t="shared" si="57"/>
        <v>2012_06</v>
      </c>
      <c r="V889" s="1">
        <v>1</v>
      </c>
      <c r="BO889" s="1">
        <v>1</v>
      </c>
    </row>
    <row r="890" spans="1:77" x14ac:dyDescent="0.2">
      <c r="A890" t="str">
        <f t="shared" si="59"/>
        <v>2012_06_023</v>
      </c>
      <c r="B890" s="1">
        <v>2012</v>
      </c>
      <c r="C890" s="1">
        <v>6</v>
      </c>
      <c r="D890" s="1">
        <v>23</v>
      </c>
      <c r="E890" t="s">
        <v>3</v>
      </c>
      <c r="G890" s="18">
        <v>2</v>
      </c>
      <c r="H890" s="11" t="str">
        <f t="shared" si="56"/>
        <v>2012_06_023.gif</v>
      </c>
      <c r="I890"/>
      <c r="L890" s="1" t="b">
        <v>0</v>
      </c>
      <c r="M890" s="1">
        <v>0</v>
      </c>
      <c r="N890" s="1" t="s">
        <v>601</v>
      </c>
      <c r="O890" s="1">
        <v>889</v>
      </c>
      <c r="P890" s="12" t="str">
        <f t="shared" si="58"/>
        <v>Vector vs. Scalar</v>
      </c>
      <c r="Q890" s="1">
        <v>5519</v>
      </c>
      <c r="R890" s="1" t="str">
        <f t="shared" si="57"/>
        <v>2012_06</v>
      </c>
      <c r="AF890" s="1">
        <v>1</v>
      </c>
    </row>
    <row r="891" spans="1:77" x14ac:dyDescent="0.2">
      <c r="A891" t="str">
        <f t="shared" si="59"/>
        <v>2012_06_024</v>
      </c>
      <c r="B891" s="1">
        <v>2012</v>
      </c>
      <c r="C891" s="1">
        <v>6</v>
      </c>
      <c r="D891" s="1">
        <v>24</v>
      </c>
      <c r="E891" t="s">
        <v>9</v>
      </c>
      <c r="G891" s="18">
        <v>1</v>
      </c>
      <c r="H891" s="11" t="str">
        <f t="shared" si="56"/>
        <v>2012_06_024.gif</v>
      </c>
      <c r="I891"/>
      <c r="L891" s="1" t="b">
        <v>0</v>
      </c>
      <c r="M891" s="1">
        <v>0</v>
      </c>
      <c r="N891" s="1" t="s">
        <v>601</v>
      </c>
      <c r="O891" s="1">
        <v>890</v>
      </c>
      <c r="P891" s="12" t="str">
        <f t="shared" si="58"/>
        <v>Light and Sound</v>
      </c>
      <c r="Q891" s="1">
        <v>5520</v>
      </c>
      <c r="R891" s="1" t="str">
        <f t="shared" si="57"/>
        <v>2012_06</v>
      </c>
      <c r="BI891" s="1">
        <v>1</v>
      </c>
    </row>
    <row r="892" spans="1:77" x14ac:dyDescent="0.2">
      <c r="A892" t="str">
        <f t="shared" si="59"/>
        <v>2012_06_025</v>
      </c>
      <c r="B892" s="1">
        <v>2012</v>
      </c>
      <c r="C892" s="1">
        <v>6</v>
      </c>
      <c r="D892" s="1">
        <v>25</v>
      </c>
      <c r="E892" t="s">
        <v>11</v>
      </c>
      <c r="G892" s="18">
        <v>1</v>
      </c>
      <c r="H892" s="11" t="str">
        <f t="shared" si="56"/>
        <v>2012_06_025.gif</v>
      </c>
      <c r="I892"/>
      <c r="L892" s="1" t="b">
        <v>0</v>
      </c>
      <c r="M892" s="1">
        <v>0</v>
      </c>
      <c r="N892" s="1" t="s">
        <v>601</v>
      </c>
      <c r="O892" s="1">
        <v>891</v>
      </c>
      <c r="P892" s="12" t="str">
        <f t="shared" si="58"/>
        <v>Series and Parallel</v>
      </c>
      <c r="Q892" s="1">
        <v>5521</v>
      </c>
      <c r="R892" s="1" t="str">
        <f t="shared" si="57"/>
        <v>2012_06</v>
      </c>
      <c r="BS892" s="1">
        <v>1</v>
      </c>
    </row>
    <row r="893" spans="1:77" x14ac:dyDescent="0.2">
      <c r="A893" t="str">
        <f t="shared" si="59"/>
        <v>2012_06_026</v>
      </c>
      <c r="B893" s="1">
        <v>2012</v>
      </c>
      <c r="C893" s="1">
        <v>6</v>
      </c>
      <c r="D893" s="1">
        <v>26</v>
      </c>
      <c r="E893" t="s">
        <v>11</v>
      </c>
      <c r="G893" s="18">
        <v>1</v>
      </c>
      <c r="H893" s="11" t="str">
        <f t="shared" si="56"/>
        <v>2012_06_026.gif</v>
      </c>
      <c r="I893"/>
      <c r="L893" s="1" t="b">
        <v>0</v>
      </c>
      <c r="M893" s="1">
        <v>0</v>
      </c>
      <c r="N893" s="1" t="s">
        <v>601</v>
      </c>
      <c r="O893" s="1">
        <v>892</v>
      </c>
      <c r="P893" s="12" t="str">
        <f t="shared" si="58"/>
        <v>Electrical Power</v>
      </c>
      <c r="Q893" s="1">
        <v>5522</v>
      </c>
      <c r="R893" s="1" t="str">
        <f t="shared" si="57"/>
        <v>2012_06</v>
      </c>
      <c r="BP893" s="1">
        <v>1</v>
      </c>
    </row>
    <row r="894" spans="1:77" x14ac:dyDescent="0.2">
      <c r="A894" t="str">
        <f t="shared" si="59"/>
        <v>2012_06_027</v>
      </c>
      <c r="B894" s="1">
        <v>2012</v>
      </c>
      <c r="C894" s="1">
        <v>6</v>
      </c>
      <c r="D894" s="1">
        <v>27</v>
      </c>
      <c r="E894" t="s">
        <v>13</v>
      </c>
      <c r="G894" s="18">
        <v>3</v>
      </c>
      <c r="H894" s="11" t="str">
        <f t="shared" si="56"/>
        <v>2012_06_027.gif</v>
      </c>
      <c r="I894"/>
      <c r="L894" s="1" t="b">
        <v>0</v>
      </c>
      <c r="M894" s="1">
        <v>0</v>
      </c>
      <c r="N894" s="1" t="s">
        <v>601</v>
      </c>
      <c r="O894" s="1">
        <v>893</v>
      </c>
      <c r="P894" s="12" t="str">
        <f t="shared" si="58"/>
        <v>Energy/Frequency of Photon</v>
      </c>
      <c r="Q894" s="1">
        <v>5523</v>
      </c>
      <c r="R894" s="1" t="str">
        <f t="shared" si="57"/>
        <v>2012_06</v>
      </c>
      <c r="BU894" s="1">
        <v>1</v>
      </c>
    </row>
    <row r="895" spans="1:77" x14ac:dyDescent="0.2">
      <c r="A895" t="str">
        <f t="shared" si="59"/>
        <v>2012_06_028</v>
      </c>
      <c r="B895" s="1">
        <v>2012</v>
      </c>
      <c r="C895" s="1">
        <v>6</v>
      </c>
      <c r="D895" s="1">
        <v>28</v>
      </c>
      <c r="E895" t="s">
        <v>10</v>
      </c>
      <c r="G895" s="18">
        <v>2</v>
      </c>
      <c r="H895" s="11" t="str">
        <f t="shared" si="56"/>
        <v>2012_06_028.gif</v>
      </c>
      <c r="I895"/>
      <c r="L895" s="1" t="b">
        <v>0</v>
      </c>
      <c r="M895" s="1">
        <v>0</v>
      </c>
      <c r="N895" s="1" t="s">
        <v>601</v>
      </c>
      <c r="O895" s="1">
        <v>894</v>
      </c>
      <c r="P895" s="12" t="str">
        <f t="shared" si="58"/>
        <v>Electric Fields and Potential</v>
      </c>
      <c r="Q895" s="1">
        <v>5524</v>
      </c>
      <c r="R895" s="1" t="str">
        <f t="shared" si="57"/>
        <v>2012_06</v>
      </c>
      <c r="BN895" s="1">
        <v>1</v>
      </c>
    </row>
    <row r="896" spans="1:77" x14ac:dyDescent="0.2">
      <c r="A896" t="str">
        <f t="shared" si="59"/>
        <v>2012_06_029</v>
      </c>
      <c r="B896" s="1">
        <v>2012</v>
      </c>
      <c r="C896" s="1">
        <v>6</v>
      </c>
      <c r="D896" s="1">
        <v>29</v>
      </c>
      <c r="E896" t="s">
        <v>9</v>
      </c>
      <c r="F896" t="s">
        <v>8</v>
      </c>
      <c r="G896" s="18">
        <v>2</v>
      </c>
      <c r="H896" s="11" t="str">
        <f t="shared" si="56"/>
        <v>2012_06_029.gif</v>
      </c>
      <c r="I896"/>
      <c r="L896" s="1" t="b">
        <v>0</v>
      </c>
      <c r="M896" s="1">
        <v>0</v>
      </c>
      <c r="N896" s="1" t="s">
        <v>601</v>
      </c>
      <c r="O896" s="1">
        <v>895</v>
      </c>
      <c r="P896" s="12" t="str">
        <f t="shared" si="58"/>
        <v>Wave Vocabulary,Light and Sound</v>
      </c>
      <c r="Q896" s="1">
        <v>5525</v>
      </c>
      <c r="R896" s="1" t="str">
        <f t="shared" si="57"/>
        <v>2012_06</v>
      </c>
      <c r="BF896" s="1">
        <v>1</v>
      </c>
      <c r="BI896" s="1">
        <v>1</v>
      </c>
    </row>
    <row r="897" spans="1:78" x14ac:dyDescent="0.2">
      <c r="A897" t="str">
        <f t="shared" si="59"/>
        <v>2012_06_030</v>
      </c>
      <c r="B897" s="1">
        <v>2012</v>
      </c>
      <c r="C897" s="1">
        <v>6</v>
      </c>
      <c r="D897" s="1">
        <v>30</v>
      </c>
      <c r="E897" t="s">
        <v>12</v>
      </c>
      <c r="G897" s="18">
        <v>2</v>
      </c>
      <c r="H897" s="11" t="str">
        <f t="shared" si="56"/>
        <v>2012_06_030.gif</v>
      </c>
      <c r="I897"/>
      <c r="L897" s="1" t="b">
        <v>0</v>
      </c>
      <c r="M897" s="1">
        <v>0</v>
      </c>
      <c r="N897" s="1" t="s">
        <v>601</v>
      </c>
      <c r="O897" s="1">
        <v>896</v>
      </c>
      <c r="P897" s="12" t="str">
        <f t="shared" si="58"/>
        <v>Magnetism</v>
      </c>
      <c r="Q897" s="1">
        <v>5526</v>
      </c>
      <c r="R897" s="1" t="str">
        <f t="shared" si="57"/>
        <v>2012_06</v>
      </c>
      <c r="BZ897" s="1">
        <v>1</v>
      </c>
    </row>
    <row r="898" spans="1:78" x14ac:dyDescent="0.2">
      <c r="A898" t="str">
        <f t="shared" si="59"/>
        <v>2012_06_031</v>
      </c>
      <c r="B898" s="1">
        <v>2012</v>
      </c>
      <c r="C898" s="1">
        <v>6</v>
      </c>
      <c r="D898" s="1">
        <v>31</v>
      </c>
      <c r="E898" t="s">
        <v>8</v>
      </c>
      <c r="G898" s="18">
        <v>1</v>
      </c>
      <c r="H898" s="11" t="str">
        <f t="shared" ref="H898:H961" si="60">HYPERLINK(A898&amp;".gif")</f>
        <v>2012_06_031.gif</v>
      </c>
      <c r="I898"/>
      <c r="L898" s="1" t="b">
        <v>0</v>
      </c>
      <c r="M898" s="1">
        <v>0</v>
      </c>
      <c r="N898" s="1" t="s">
        <v>601</v>
      </c>
      <c r="O898" s="1">
        <v>897</v>
      </c>
      <c r="P898" s="12" t="str">
        <f t="shared" si="58"/>
        <v>V=FxLamda</v>
      </c>
      <c r="Q898" s="1">
        <v>5527</v>
      </c>
      <c r="R898" s="1" t="str">
        <f t="shared" si="57"/>
        <v>2012_06</v>
      </c>
      <c r="BE898" s="1">
        <v>1</v>
      </c>
    </row>
    <row r="899" spans="1:78" x14ac:dyDescent="0.2">
      <c r="A899" t="str">
        <f t="shared" si="59"/>
        <v>2012_06_032</v>
      </c>
      <c r="B899" s="1">
        <v>2012</v>
      </c>
      <c r="C899" s="1">
        <v>6</v>
      </c>
      <c r="D899" s="1">
        <v>32</v>
      </c>
      <c r="E899" t="s">
        <v>8</v>
      </c>
      <c r="G899" s="18">
        <v>4</v>
      </c>
      <c r="H899" s="11" t="str">
        <f t="shared" si="60"/>
        <v>2012_06_032.gif</v>
      </c>
      <c r="I899"/>
      <c r="L899" s="1" t="b">
        <v>0</v>
      </c>
      <c r="M899" s="1">
        <v>0</v>
      </c>
      <c r="N899" s="1" t="s">
        <v>601</v>
      </c>
      <c r="O899" s="1">
        <v>898</v>
      </c>
      <c r="P899" s="12" t="str">
        <f t="shared" si="58"/>
        <v>Resonance</v>
      </c>
      <c r="Q899" s="1">
        <v>5528</v>
      </c>
      <c r="R899" s="1" t="str">
        <f t="shared" ref="R899:R962" si="61">B899&amp;"_"&amp;TEXT(C899,"00")</f>
        <v>2012_06</v>
      </c>
      <c r="BC899" s="1">
        <v>1</v>
      </c>
    </row>
    <row r="900" spans="1:78" x14ac:dyDescent="0.2">
      <c r="A900" t="str">
        <f t="shared" si="59"/>
        <v>2012_06_033</v>
      </c>
      <c r="B900" s="1">
        <v>2012</v>
      </c>
      <c r="C900" s="1">
        <v>6</v>
      </c>
      <c r="D900" s="1">
        <v>33</v>
      </c>
      <c r="E900" t="s">
        <v>9</v>
      </c>
      <c r="G900" s="18">
        <v>4</v>
      </c>
      <c r="H900" s="11" t="str">
        <f t="shared" si="60"/>
        <v>2012_06_033.gif</v>
      </c>
      <c r="I900"/>
      <c r="L900" s="1" t="b">
        <v>0</v>
      </c>
      <c r="M900" s="1">
        <v>0</v>
      </c>
      <c r="N900" s="1" t="s">
        <v>601</v>
      </c>
      <c r="O900" s="1">
        <v>899</v>
      </c>
      <c r="P900" s="12" t="str">
        <f t="shared" si="58"/>
        <v>Doppler Effect</v>
      </c>
      <c r="Q900" s="1">
        <v>5529</v>
      </c>
      <c r="R900" s="1" t="str">
        <f t="shared" si="61"/>
        <v>2012_06</v>
      </c>
      <c r="BH900" s="1">
        <v>1</v>
      </c>
    </row>
    <row r="901" spans="1:78" x14ac:dyDescent="0.2">
      <c r="A901" t="str">
        <f t="shared" si="59"/>
        <v>2012_06_034</v>
      </c>
      <c r="B901" s="1">
        <v>2012</v>
      </c>
      <c r="C901" s="1">
        <v>6</v>
      </c>
      <c r="D901" s="1">
        <v>34</v>
      </c>
      <c r="E901" t="s">
        <v>8</v>
      </c>
      <c r="G901" s="18">
        <v>2</v>
      </c>
      <c r="H901" s="11" t="str">
        <f t="shared" si="60"/>
        <v>2012_06_034.gif</v>
      </c>
      <c r="I901"/>
      <c r="L901" s="1" t="b">
        <v>0</v>
      </c>
      <c r="M901" s="1">
        <v>0</v>
      </c>
      <c r="N901" s="1" t="s">
        <v>601</v>
      </c>
      <c r="O901" s="1">
        <v>900</v>
      </c>
      <c r="P901" s="12" t="str">
        <f t="shared" si="58"/>
        <v>Wave Vocabulary</v>
      </c>
      <c r="Q901" s="1">
        <v>5530</v>
      </c>
      <c r="R901" s="1" t="str">
        <f t="shared" si="61"/>
        <v>2012_06</v>
      </c>
      <c r="BF901" s="1">
        <v>1</v>
      </c>
    </row>
    <row r="902" spans="1:78" x14ac:dyDescent="0.2">
      <c r="A902" t="str">
        <f t="shared" si="59"/>
        <v>2012_06_035</v>
      </c>
      <c r="B902" s="1">
        <v>2012</v>
      </c>
      <c r="C902" s="1">
        <v>6</v>
      </c>
      <c r="D902" s="1">
        <v>35</v>
      </c>
      <c r="E902" t="s">
        <v>9</v>
      </c>
      <c r="G902" s="18">
        <v>2</v>
      </c>
      <c r="H902" s="11" t="str">
        <f t="shared" si="60"/>
        <v>2012_06_035.gif</v>
      </c>
      <c r="I902"/>
      <c r="L902" s="1" t="b">
        <v>0</v>
      </c>
      <c r="M902" s="1">
        <v>0</v>
      </c>
      <c r="N902" s="1" t="s">
        <v>601</v>
      </c>
      <c r="O902" s="1">
        <v>901</v>
      </c>
      <c r="P902" s="12" t="str">
        <f t="shared" si="58"/>
        <v>Diffraction</v>
      </c>
      <c r="Q902" s="1">
        <v>5531</v>
      </c>
      <c r="R902" s="1" t="str">
        <f t="shared" si="61"/>
        <v>2012_06</v>
      </c>
      <c r="BG902" s="1">
        <v>1</v>
      </c>
    </row>
    <row r="903" spans="1:78" x14ac:dyDescent="0.2">
      <c r="A903" t="str">
        <f t="shared" si="59"/>
        <v>2012_06_036</v>
      </c>
      <c r="B903" s="1">
        <v>2012</v>
      </c>
      <c r="C903" s="1">
        <v>6</v>
      </c>
      <c r="D903" s="1">
        <v>36</v>
      </c>
      <c r="E903" t="s">
        <v>1</v>
      </c>
      <c r="G903" s="18">
        <v>2</v>
      </c>
      <c r="H903" s="11" t="str">
        <f t="shared" si="60"/>
        <v>2012_06_036.gif</v>
      </c>
      <c r="I903"/>
      <c r="L903" s="1" t="b">
        <v>0</v>
      </c>
      <c r="M903" s="1">
        <v>0</v>
      </c>
      <c r="N903" s="1" t="s">
        <v>657</v>
      </c>
      <c r="O903" s="1">
        <v>902</v>
      </c>
      <c r="P903" s="12" t="str">
        <f t="shared" si="58"/>
        <v>Estimation</v>
      </c>
      <c r="Q903" s="1">
        <v>5532</v>
      </c>
      <c r="R903" s="1" t="str">
        <f t="shared" si="61"/>
        <v>2012_06</v>
      </c>
      <c r="U903" s="1">
        <v>1</v>
      </c>
    </row>
    <row r="904" spans="1:78" x14ac:dyDescent="0.2">
      <c r="A904" t="str">
        <f t="shared" si="59"/>
        <v>2012_06_037</v>
      </c>
      <c r="B904" s="1">
        <v>2012</v>
      </c>
      <c r="C904" s="1">
        <v>6</v>
      </c>
      <c r="D904" s="1">
        <v>37</v>
      </c>
      <c r="E904" t="s">
        <v>4</v>
      </c>
      <c r="G904" s="18">
        <v>3</v>
      </c>
      <c r="H904" s="11" t="str">
        <f t="shared" si="60"/>
        <v>2012_06_037.gif</v>
      </c>
      <c r="I904"/>
      <c r="L904" s="1" t="b">
        <v>0</v>
      </c>
      <c r="M904" s="1">
        <v>0</v>
      </c>
      <c r="N904" s="1" t="s">
        <v>657</v>
      </c>
      <c r="O904" s="1">
        <v>903</v>
      </c>
      <c r="P904" s="12" t="str">
        <f t="shared" si="58"/>
        <v>Centripetal Motion - Calculation</v>
      </c>
      <c r="Q904" s="1">
        <v>5533</v>
      </c>
      <c r="R904" s="1" t="str">
        <f t="shared" si="61"/>
        <v>2012_06</v>
      </c>
      <c r="AM904" s="1">
        <v>1</v>
      </c>
    </row>
    <row r="905" spans="1:78" x14ac:dyDescent="0.2">
      <c r="A905" t="str">
        <f t="shared" si="59"/>
        <v>2012_06_038</v>
      </c>
      <c r="B905" s="1">
        <v>2012</v>
      </c>
      <c r="C905" s="1">
        <v>6</v>
      </c>
      <c r="D905" s="1">
        <v>38</v>
      </c>
      <c r="E905" t="s">
        <v>6</v>
      </c>
      <c r="G905" s="18">
        <v>3</v>
      </c>
      <c r="H905" s="11" t="str">
        <f t="shared" si="60"/>
        <v>2012_06_038.gif</v>
      </c>
      <c r="I905"/>
      <c r="L905" s="1" t="b">
        <v>0</v>
      </c>
      <c r="M905" s="1">
        <v>0</v>
      </c>
      <c r="N905" s="1" t="s">
        <v>657</v>
      </c>
      <c r="O905" s="1">
        <v>904</v>
      </c>
      <c r="P905" s="12" t="str">
        <f t="shared" si="58"/>
        <v>Conservation of Momentum</v>
      </c>
      <c r="Q905" s="1">
        <v>5534</v>
      </c>
      <c r="R905" s="1" t="str">
        <f t="shared" si="61"/>
        <v>2012_06</v>
      </c>
      <c r="AU905" s="1">
        <v>1</v>
      </c>
    </row>
    <row r="906" spans="1:78" x14ac:dyDescent="0.2">
      <c r="A906" t="str">
        <f t="shared" si="59"/>
        <v>2012_06_039</v>
      </c>
      <c r="B906" s="1">
        <v>2012</v>
      </c>
      <c r="C906" s="1">
        <v>6</v>
      </c>
      <c r="D906" s="1">
        <v>39</v>
      </c>
      <c r="E906" t="s">
        <v>7</v>
      </c>
      <c r="G906" s="18">
        <v>4</v>
      </c>
      <c r="H906" s="11" t="str">
        <f t="shared" si="60"/>
        <v>2012_06_039.gif</v>
      </c>
      <c r="I906"/>
      <c r="L906" s="1" t="b">
        <v>0</v>
      </c>
      <c r="M906" s="1">
        <v>0</v>
      </c>
      <c r="N906" s="1" t="s">
        <v>657</v>
      </c>
      <c r="O906" s="1">
        <v>905</v>
      </c>
      <c r="P906" s="12" t="str">
        <f t="shared" si="58"/>
        <v>Work/Power</v>
      </c>
      <c r="Q906" s="1">
        <v>5535</v>
      </c>
      <c r="R906" s="1" t="str">
        <f t="shared" si="61"/>
        <v>2012_06</v>
      </c>
      <c r="BB906" s="1">
        <v>1</v>
      </c>
    </row>
    <row r="907" spans="1:78" x14ac:dyDescent="0.2">
      <c r="A907" t="str">
        <f t="shared" si="59"/>
        <v>2012_06_040</v>
      </c>
      <c r="B907" s="1">
        <v>2012</v>
      </c>
      <c r="C907" s="1">
        <v>6</v>
      </c>
      <c r="D907" s="1">
        <v>40</v>
      </c>
      <c r="E907" t="s">
        <v>7</v>
      </c>
      <c r="G907" s="18">
        <v>3</v>
      </c>
      <c r="H907" s="11" t="str">
        <f t="shared" si="60"/>
        <v>2012_06_040.gif</v>
      </c>
      <c r="I907"/>
      <c r="L907" s="1" t="b">
        <v>0</v>
      </c>
      <c r="M907" s="1">
        <v>0</v>
      </c>
      <c r="N907" s="1" t="s">
        <v>657</v>
      </c>
      <c r="O907" s="1">
        <v>906</v>
      </c>
      <c r="P907" s="12" t="str">
        <f t="shared" ref="P907:P970" si="62">concatenateif(U907:DI907,1,$U$1:$DI$1)</f>
        <v>Gravitational PE,Work/Power</v>
      </c>
      <c r="Q907" s="1">
        <v>5536</v>
      </c>
      <c r="R907" s="1" t="str">
        <f t="shared" si="61"/>
        <v>2012_06</v>
      </c>
      <c r="AY907" s="1">
        <v>1</v>
      </c>
      <c r="BB907" s="1">
        <v>1</v>
      </c>
    </row>
    <row r="908" spans="1:78" x14ac:dyDescent="0.2">
      <c r="A908" t="str">
        <f t="shared" si="59"/>
        <v>2012_06_041</v>
      </c>
      <c r="B908" s="1">
        <v>2012</v>
      </c>
      <c r="C908" s="1">
        <v>6</v>
      </c>
      <c r="D908" s="1">
        <v>41</v>
      </c>
      <c r="E908" t="s">
        <v>11</v>
      </c>
      <c r="G908" s="18">
        <v>3</v>
      </c>
      <c r="H908" s="11" t="str">
        <f t="shared" si="60"/>
        <v>2012_06_041.gif</v>
      </c>
      <c r="I908"/>
      <c r="L908" s="1" t="b">
        <v>0</v>
      </c>
      <c r="M908" s="1">
        <v>0</v>
      </c>
      <c r="N908" s="1" t="s">
        <v>657</v>
      </c>
      <c r="O908" s="1">
        <v>907</v>
      </c>
      <c r="P908" s="12" t="str">
        <f t="shared" si="62"/>
        <v>Electrical Definitions</v>
      </c>
      <c r="Q908" s="1">
        <v>5537</v>
      </c>
      <c r="R908" s="1" t="str">
        <f t="shared" si="61"/>
        <v>2012_06</v>
      </c>
      <c r="BO908" s="1">
        <v>1</v>
      </c>
    </row>
    <row r="909" spans="1:78" x14ac:dyDescent="0.2">
      <c r="A909" t="str">
        <f t="shared" si="59"/>
        <v>2012_06_042</v>
      </c>
      <c r="B909" s="1">
        <v>2012</v>
      </c>
      <c r="C909" s="1">
        <v>6</v>
      </c>
      <c r="D909" s="1">
        <v>42</v>
      </c>
      <c r="E909" t="s">
        <v>7</v>
      </c>
      <c r="F909" t="s">
        <v>548</v>
      </c>
      <c r="G909" s="18">
        <v>4</v>
      </c>
      <c r="H909" s="11" t="str">
        <f t="shared" si="60"/>
        <v>2012_06_042.gif</v>
      </c>
      <c r="I909"/>
      <c r="L909" s="1" t="b">
        <v>0</v>
      </c>
      <c r="M909" s="1">
        <v>0</v>
      </c>
      <c r="N909" s="1" t="s">
        <v>657</v>
      </c>
      <c r="O909" s="1">
        <v>908</v>
      </c>
      <c r="P909" s="12" t="str">
        <f t="shared" si="62"/>
        <v>Gravitational PE,Graph Interpretation,Mathematical Relationships (Numberless Problems)</v>
      </c>
      <c r="Q909" s="1">
        <v>5538</v>
      </c>
      <c r="R909" s="1" t="str">
        <f t="shared" si="61"/>
        <v>2012_06</v>
      </c>
      <c r="AY909" s="1">
        <v>1</v>
      </c>
      <c r="BX909" s="1">
        <v>1</v>
      </c>
      <c r="BY909" s="1">
        <v>1</v>
      </c>
    </row>
    <row r="910" spans="1:78" x14ac:dyDescent="0.2">
      <c r="A910" t="str">
        <f t="shared" si="59"/>
        <v>2012_06_043</v>
      </c>
      <c r="B910" s="1">
        <v>2012</v>
      </c>
      <c r="C910" s="1">
        <v>6</v>
      </c>
      <c r="D910" s="1">
        <v>43</v>
      </c>
      <c r="E910" t="s">
        <v>11</v>
      </c>
      <c r="G910" s="18">
        <v>1</v>
      </c>
      <c r="H910" s="11" t="str">
        <f t="shared" si="60"/>
        <v>2012_06_043.gif</v>
      </c>
      <c r="I910"/>
      <c r="L910" s="1" t="b">
        <v>0</v>
      </c>
      <c r="M910" s="1">
        <v>0</v>
      </c>
      <c r="N910" s="1" t="s">
        <v>657</v>
      </c>
      <c r="O910" s="1">
        <v>909</v>
      </c>
      <c r="P910" s="12" t="str">
        <f t="shared" si="62"/>
        <v>Electrical Definitions,Electrical Power</v>
      </c>
      <c r="Q910" s="1">
        <v>5539</v>
      </c>
      <c r="R910" s="1" t="str">
        <f t="shared" si="61"/>
        <v>2012_06</v>
      </c>
      <c r="BO910" s="1">
        <v>1</v>
      </c>
      <c r="BP910" s="1">
        <v>1</v>
      </c>
    </row>
    <row r="911" spans="1:78" x14ac:dyDescent="0.2">
      <c r="A911" t="str">
        <f t="shared" si="59"/>
        <v>2012_06_044</v>
      </c>
      <c r="B911" s="1">
        <v>2012</v>
      </c>
      <c r="C911" s="1">
        <v>6</v>
      </c>
      <c r="D911" s="1">
        <v>44</v>
      </c>
      <c r="E911" t="s">
        <v>13</v>
      </c>
      <c r="G911" s="18">
        <v>3</v>
      </c>
      <c r="H911" s="11" t="str">
        <f t="shared" si="60"/>
        <v>2012_06_044.gif</v>
      </c>
      <c r="I911"/>
      <c r="L911" s="1" t="b">
        <v>0</v>
      </c>
      <c r="M911" s="1">
        <v>0</v>
      </c>
      <c r="N911" s="1" t="s">
        <v>657</v>
      </c>
      <c r="O911" s="1">
        <v>910</v>
      </c>
      <c r="P911" s="12" t="str">
        <f t="shared" si="62"/>
        <v>Energy/Frequency of Photon</v>
      </c>
      <c r="Q911" s="1">
        <v>5540</v>
      </c>
      <c r="R911" s="1" t="str">
        <f t="shared" si="61"/>
        <v>2012_06</v>
      </c>
      <c r="BU911" s="1">
        <v>1</v>
      </c>
    </row>
    <row r="912" spans="1:78" x14ac:dyDescent="0.2">
      <c r="A912" t="str">
        <f t="shared" si="59"/>
        <v>2012_06_045</v>
      </c>
      <c r="B912" s="1">
        <v>2012</v>
      </c>
      <c r="C912" s="1">
        <v>6</v>
      </c>
      <c r="D912" s="1">
        <v>45</v>
      </c>
      <c r="E912" t="s">
        <v>4</v>
      </c>
      <c r="G912" s="18">
        <v>2</v>
      </c>
      <c r="H912" s="11" t="str">
        <f t="shared" si="60"/>
        <v>2012_06_045.gif</v>
      </c>
      <c r="I912"/>
      <c r="L912" s="1" t="b">
        <v>0</v>
      </c>
      <c r="M912" s="1">
        <v>0</v>
      </c>
      <c r="N912" s="1" t="s">
        <v>657</v>
      </c>
      <c r="O912" s="1">
        <v>911</v>
      </c>
      <c r="P912" s="12" t="str">
        <f t="shared" si="62"/>
        <v>Horizontal Projectile Time of Flight</v>
      </c>
      <c r="Q912" s="1">
        <v>5541</v>
      </c>
      <c r="R912" s="1" t="str">
        <f t="shared" si="61"/>
        <v>2012_06</v>
      </c>
      <c r="AJ912" s="1">
        <v>1</v>
      </c>
    </row>
    <row r="913" spans="1:77" x14ac:dyDescent="0.2">
      <c r="A913" t="str">
        <f t="shared" si="59"/>
        <v>2012_06_046</v>
      </c>
      <c r="B913" s="1">
        <v>2012</v>
      </c>
      <c r="C913" s="1">
        <v>6</v>
      </c>
      <c r="D913" s="1">
        <v>46</v>
      </c>
      <c r="E913" t="s">
        <v>8</v>
      </c>
      <c r="G913" s="18">
        <v>2</v>
      </c>
      <c r="H913" s="11" t="str">
        <f t="shared" si="60"/>
        <v>2012_06_046.gif</v>
      </c>
      <c r="I913"/>
      <c r="L913" s="1" t="b">
        <v>0</v>
      </c>
      <c r="M913" s="1">
        <v>0</v>
      </c>
      <c r="N913" s="1" t="s">
        <v>657</v>
      </c>
      <c r="O913" s="1">
        <v>912</v>
      </c>
      <c r="P913" s="12" t="str">
        <f t="shared" si="62"/>
        <v>Superposition and Standing Waves</v>
      </c>
      <c r="Q913" s="1">
        <v>5542</v>
      </c>
      <c r="R913" s="1" t="str">
        <f t="shared" si="61"/>
        <v>2012_06</v>
      </c>
      <c r="BD913" s="1">
        <v>1</v>
      </c>
    </row>
    <row r="914" spans="1:77" x14ac:dyDescent="0.2">
      <c r="A914" t="str">
        <f t="shared" si="59"/>
        <v>2012_06_047</v>
      </c>
      <c r="B914" s="1">
        <v>2012</v>
      </c>
      <c r="C914" s="1">
        <v>6</v>
      </c>
      <c r="D914" s="1">
        <v>47</v>
      </c>
      <c r="E914" t="s">
        <v>548</v>
      </c>
      <c r="F914" t="s">
        <v>6</v>
      </c>
      <c r="G914" s="18">
        <v>1</v>
      </c>
      <c r="H914" s="11" t="str">
        <f t="shared" si="60"/>
        <v>2012_06_047.gif</v>
      </c>
      <c r="I914"/>
      <c r="L914" s="1" t="b">
        <v>0</v>
      </c>
      <c r="M914" s="1">
        <v>0</v>
      </c>
      <c r="N914" s="1" t="s">
        <v>657</v>
      </c>
      <c r="O914" s="1">
        <v>913</v>
      </c>
      <c r="P914" s="12" t="str">
        <f t="shared" si="62"/>
        <v>Newton's 3rd Law (Equal But Opposite),Graph Interpretation</v>
      </c>
      <c r="Q914" s="1">
        <v>5543</v>
      </c>
      <c r="R914" s="1" t="str">
        <f t="shared" si="61"/>
        <v>2012_06</v>
      </c>
      <c r="AW914" s="1">
        <v>1</v>
      </c>
      <c r="BX914" s="1">
        <v>1</v>
      </c>
    </row>
    <row r="915" spans="1:77" x14ac:dyDescent="0.2">
      <c r="A915" t="str">
        <f t="shared" si="59"/>
        <v>2012_06_048</v>
      </c>
      <c r="B915" s="1">
        <v>2012</v>
      </c>
      <c r="C915" s="1">
        <v>6</v>
      </c>
      <c r="D915" s="1">
        <v>48</v>
      </c>
      <c r="E915" t="s">
        <v>5</v>
      </c>
      <c r="G915" s="18">
        <v>1</v>
      </c>
      <c r="H915" s="11" t="str">
        <f t="shared" si="60"/>
        <v>2012_06_048.gif</v>
      </c>
      <c r="I915"/>
      <c r="L915" s="1" t="b">
        <v>0</v>
      </c>
      <c r="M915" s="1">
        <v>0</v>
      </c>
      <c r="N915" s="1" t="s">
        <v>657</v>
      </c>
      <c r="O915" s="1">
        <v>914</v>
      </c>
      <c r="P915" s="12" t="str">
        <f t="shared" si="62"/>
        <v>Law of Gravity</v>
      </c>
      <c r="Q915" s="1">
        <v>5544</v>
      </c>
      <c r="R915" s="1" t="str">
        <f t="shared" si="61"/>
        <v>2012_06</v>
      </c>
      <c r="AQ915" s="1">
        <v>1</v>
      </c>
    </row>
    <row r="916" spans="1:77" x14ac:dyDescent="0.2">
      <c r="A916" t="str">
        <f t="shared" si="59"/>
        <v>2012_06_049</v>
      </c>
      <c r="B916" s="1">
        <v>2012</v>
      </c>
      <c r="C916" s="1">
        <v>6</v>
      </c>
      <c r="D916" s="1">
        <v>49</v>
      </c>
      <c r="E916" t="s">
        <v>548</v>
      </c>
      <c r="F916" t="s">
        <v>9</v>
      </c>
      <c r="G916" s="18">
        <v>4</v>
      </c>
      <c r="H916" s="11" t="str">
        <f t="shared" si="60"/>
        <v>2012_06_049.gif</v>
      </c>
      <c r="I916"/>
      <c r="L916" s="1" t="b">
        <v>0</v>
      </c>
      <c r="M916" s="1">
        <v>0</v>
      </c>
      <c r="N916" s="1" t="s">
        <v>657</v>
      </c>
      <c r="O916" s="1">
        <v>915</v>
      </c>
      <c r="P916" s="12" t="str">
        <f t="shared" si="62"/>
        <v>Refraction and Snell's Law,Graph Interpretation,Mathematical Relationships (Numberless Problems)</v>
      </c>
      <c r="Q916" s="1">
        <v>5545</v>
      </c>
      <c r="R916" s="1" t="str">
        <f t="shared" si="61"/>
        <v>2012_06</v>
      </c>
      <c r="BJ916" s="1">
        <v>1</v>
      </c>
      <c r="BX916" s="1">
        <v>1</v>
      </c>
      <c r="BY916" s="1">
        <v>1</v>
      </c>
    </row>
    <row r="917" spans="1:77" x14ac:dyDescent="0.2">
      <c r="A917" t="str">
        <f t="shared" si="59"/>
        <v>2012_06_050</v>
      </c>
      <c r="B917" s="1">
        <v>2012</v>
      </c>
      <c r="C917" s="1">
        <v>6</v>
      </c>
      <c r="D917" s="1">
        <v>50</v>
      </c>
      <c r="E917" t="s">
        <v>7</v>
      </c>
      <c r="G917" s="18">
        <v>3</v>
      </c>
      <c r="H917" s="11" t="str">
        <f t="shared" si="60"/>
        <v>2012_06_050.gif</v>
      </c>
      <c r="I917"/>
      <c r="L917" s="1" t="b">
        <v>0</v>
      </c>
      <c r="M917" s="1">
        <v>0</v>
      </c>
      <c r="N917" s="1" t="s">
        <v>657</v>
      </c>
      <c r="O917" s="1">
        <v>916</v>
      </c>
      <c r="P917" s="12" t="str">
        <f t="shared" si="62"/>
        <v>Conservation of Energy</v>
      </c>
      <c r="Q917" s="1">
        <v>5546</v>
      </c>
      <c r="R917" s="1" t="str">
        <f t="shared" si="61"/>
        <v>2012_06</v>
      </c>
      <c r="AX917" s="1">
        <v>1</v>
      </c>
    </row>
    <row r="918" spans="1:77" x14ac:dyDescent="0.2">
      <c r="A918" t="str">
        <f t="shared" si="59"/>
        <v>2013_06_001</v>
      </c>
      <c r="B918" s="1">
        <v>2013</v>
      </c>
      <c r="C918" s="1">
        <v>6</v>
      </c>
      <c r="D918" s="1">
        <v>1</v>
      </c>
      <c r="E918" t="s">
        <v>3</v>
      </c>
      <c r="G918" s="18">
        <v>4</v>
      </c>
      <c r="H918" s="11" t="str">
        <f t="shared" si="60"/>
        <v>2013_06_001.gif</v>
      </c>
      <c r="I918"/>
      <c r="L918" s="1" t="b">
        <v>0</v>
      </c>
      <c r="M918" s="1">
        <v>0</v>
      </c>
      <c r="N918" s="26" t="s">
        <v>601</v>
      </c>
      <c r="O918" s="1">
        <v>917</v>
      </c>
      <c r="P918" s="12" t="str">
        <f t="shared" si="62"/>
        <v>Vector vs. Scalar</v>
      </c>
      <c r="Q918" s="1">
        <v>5572</v>
      </c>
      <c r="R918" s="1" t="str">
        <f t="shared" si="61"/>
        <v>2013_06</v>
      </c>
      <c r="AF918" s="1">
        <v>1</v>
      </c>
    </row>
    <row r="919" spans="1:77" x14ac:dyDescent="0.2">
      <c r="A919" t="str">
        <f t="shared" si="59"/>
        <v>2013_06_002</v>
      </c>
      <c r="B919" s="1">
        <v>2013</v>
      </c>
      <c r="C919" s="1">
        <v>6</v>
      </c>
      <c r="D919" s="1">
        <v>2</v>
      </c>
      <c r="E919" t="s">
        <v>3</v>
      </c>
      <c r="G919" s="18">
        <v>1</v>
      </c>
      <c r="H919" s="11" t="str">
        <f t="shared" si="60"/>
        <v>2013_06_002.gif</v>
      </c>
      <c r="I919"/>
      <c r="L919" s="1" t="b">
        <v>0</v>
      </c>
      <c r="M919" s="1">
        <v>0</v>
      </c>
      <c r="N919" s="26" t="s">
        <v>601</v>
      </c>
      <c r="O919" s="1">
        <v>918</v>
      </c>
      <c r="P919" s="12" t="str">
        <f t="shared" si="62"/>
        <v>Adding Vectors</v>
      </c>
      <c r="Q919" s="1">
        <v>5573</v>
      </c>
      <c r="R919" s="1" t="str">
        <f t="shared" si="61"/>
        <v>2013_06</v>
      </c>
      <c r="AD919" s="1">
        <v>1</v>
      </c>
    </row>
    <row r="920" spans="1:77" x14ac:dyDescent="0.2">
      <c r="A920" t="str">
        <f t="shared" si="59"/>
        <v>2013_06_003</v>
      </c>
      <c r="B920" s="1">
        <v>2013</v>
      </c>
      <c r="C920" s="1">
        <v>6</v>
      </c>
      <c r="D920" s="1">
        <v>3</v>
      </c>
      <c r="E920" t="s">
        <v>2</v>
      </c>
      <c r="G920" s="18">
        <v>1</v>
      </c>
      <c r="H920" s="11" t="str">
        <f t="shared" si="60"/>
        <v>2013_06_003.gif</v>
      </c>
      <c r="L920" s="1" t="b">
        <v>0</v>
      </c>
      <c r="M920" s="1">
        <v>0</v>
      </c>
      <c r="N920" s="26" t="s">
        <v>601</v>
      </c>
      <c r="O920" s="1">
        <v>919</v>
      </c>
      <c r="P920" s="12" t="str">
        <f t="shared" si="62"/>
        <v>Basic Motion Concepts,Horizontal Constant Acceleration Problems</v>
      </c>
      <c r="Q920" s="1">
        <v>5574</v>
      </c>
      <c r="R920" s="1" t="str">
        <f t="shared" si="61"/>
        <v>2013_06</v>
      </c>
      <c r="Z920" s="1">
        <v>1</v>
      </c>
      <c r="AB920" s="1">
        <v>1</v>
      </c>
    </row>
    <row r="921" spans="1:77" x14ac:dyDescent="0.2">
      <c r="A921" t="str">
        <f t="shared" si="59"/>
        <v>2013_06_004</v>
      </c>
      <c r="B921" s="1">
        <v>2013</v>
      </c>
      <c r="C921" s="1">
        <v>6</v>
      </c>
      <c r="D921" s="1">
        <v>4</v>
      </c>
      <c r="E921" t="s">
        <v>2</v>
      </c>
      <c r="G921" s="18">
        <v>2</v>
      </c>
      <c r="H921" s="11" t="str">
        <f t="shared" si="60"/>
        <v>2013_06_004.gif</v>
      </c>
      <c r="L921" s="1" t="b">
        <v>0</v>
      </c>
      <c r="M921" s="1">
        <v>0</v>
      </c>
      <c r="N921" s="26" t="s">
        <v>601</v>
      </c>
      <c r="O921" s="1">
        <v>920</v>
      </c>
      <c r="P921" s="12" t="str">
        <f t="shared" si="62"/>
        <v>Basic Motion Concepts,Horizontal Constant Acceleration Problems</v>
      </c>
      <c r="Q921" s="1">
        <v>5575</v>
      </c>
      <c r="R921" s="1" t="str">
        <f t="shared" si="61"/>
        <v>2013_06</v>
      </c>
      <c r="Z921" s="1">
        <v>1</v>
      </c>
      <c r="AB921" s="1">
        <v>1</v>
      </c>
    </row>
    <row r="922" spans="1:77" x14ac:dyDescent="0.2">
      <c r="A922" t="str">
        <f t="shared" si="59"/>
        <v>2013_06_005</v>
      </c>
      <c r="B922" s="1">
        <v>2013</v>
      </c>
      <c r="C922" s="1">
        <v>6</v>
      </c>
      <c r="D922" s="1">
        <v>5</v>
      </c>
      <c r="E922" t="s">
        <v>4</v>
      </c>
      <c r="G922" s="18">
        <v>1</v>
      </c>
      <c r="H922" s="11" t="str">
        <f t="shared" si="60"/>
        <v>2013_06_005.gif</v>
      </c>
      <c r="L922" s="1" t="b">
        <v>0</v>
      </c>
      <c r="M922" s="1">
        <v>0</v>
      </c>
      <c r="N922" s="26" t="s">
        <v>601</v>
      </c>
      <c r="O922" s="1">
        <v>921</v>
      </c>
      <c r="P922" s="12" t="str">
        <f t="shared" si="62"/>
        <v>Projectiles at an Angle</v>
      </c>
      <c r="Q922" s="1">
        <v>5576</v>
      </c>
      <c r="R922" s="1" t="str">
        <f t="shared" si="61"/>
        <v>2013_06</v>
      </c>
      <c r="AH922" s="1">
        <v>1</v>
      </c>
    </row>
    <row r="923" spans="1:77" x14ac:dyDescent="0.2">
      <c r="A923" t="str">
        <f t="shared" si="59"/>
        <v>2013_06_006</v>
      </c>
      <c r="B923" s="1">
        <v>2013</v>
      </c>
      <c r="C923" s="1">
        <v>6</v>
      </c>
      <c r="D923" s="1">
        <v>6</v>
      </c>
      <c r="E923" t="s">
        <v>4</v>
      </c>
      <c r="G923" s="18">
        <v>4</v>
      </c>
      <c r="H923" s="11" t="str">
        <f t="shared" si="60"/>
        <v>2013_06_006.gif</v>
      </c>
      <c r="L923" s="1" t="b">
        <v>0</v>
      </c>
      <c r="M923" s="1">
        <v>0</v>
      </c>
      <c r="N923" s="26" t="s">
        <v>601</v>
      </c>
      <c r="O923" s="1">
        <v>922</v>
      </c>
      <c r="P923" s="12" t="str">
        <f t="shared" si="62"/>
        <v>Max Height of Projectile</v>
      </c>
      <c r="Q923" s="1">
        <v>5577</v>
      </c>
      <c r="R923" s="1" t="str">
        <f t="shared" si="61"/>
        <v>2013_06</v>
      </c>
      <c r="AK923" s="1">
        <v>1</v>
      </c>
    </row>
    <row r="924" spans="1:77" x14ac:dyDescent="0.2">
      <c r="A924" t="str">
        <f t="shared" si="59"/>
        <v>2013_06_007</v>
      </c>
      <c r="B924" s="1">
        <v>2013</v>
      </c>
      <c r="C924" s="1">
        <v>6</v>
      </c>
      <c r="D924" s="1">
        <v>7</v>
      </c>
      <c r="E924" t="s">
        <v>5</v>
      </c>
      <c r="G924" s="18">
        <v>4</v>
      </c>
      <c r="H924" s="11" t="str">
        <f t="shared" si="60"/>
        <v>2013_06_007.gif</v>
      </c>
      <c r="L924" s="1" t="b">
        <v>0</v>
      </c>
      <c r="M924" s="1">
        <v>0</v>
      </c>
      <c r="N924" s="26" t="s">
        <v>601</v>
      </c>
      <c r="O924" s="1">
        <v>923</v>
      </c>
      <c r="P924" s="12" t="str">
        <f t="shared" si="62"/>
        <v>Newton's 1st Law (Inertia)</v>
      </c>
      <c r="Q924" s="1">
        <v>5578</v>
      </c>
      <c r="R924" s="1" t="str">
        <f t="shared" si="61"/>
        <v>2013_06</v>
      </c>
      <c r="AR924" s="1">
        <v>1</v>
      </c>
    </row>
    <row r="925" spans="1:77" x14ac:dyDescent="0.2">
      <c r="A925" t="str">
        <f t="shared" si="59"/>
        <v>2013_06_008</v>
      </c>
      <c r="B925" s="1">
        <v>2013</v>
      </c>
      <c r="C925" s="1">
        <v>6</v>
      </c>
      <c r="D925" s="1">
        <v>8</v>
      </c>
      <c r="E925" t="s">
        <v>5</v>
      </c>
      <c r="G925" s="18">
        <v>1</v>
      </c>
      <c r="H925" s="11" t="str">
        <f t="shared" si="60"/>
        <v>2013_06_008.gif</v>
      </c>
      <c r="L925" s="1" t="b">
        <v>0</v>
      </c>
      <c r="M925" s="1">
        <v>0</v>
      </c>
      <c r="N925" s="26" t="s">
        <v>601</v>
      </c>
      <c r="O925" s="1">
        <v>924</v>
      </c>
      <c r="P925" s="12" t="str">
        <f t="shared" si="62"/>
        <v>Friction,Newton's 2nd Law (F=MA)</v>
      </c>
      <c r="Q925" s="1">
        <v>5579</v>
      </c>
      <c r="R925" s="1" t="str">
        <f t="shared" si="61"/>
        <v>2013_06</v>
      </c>
      <c r="AN925" s="1">
        <v>1</v>
      </c>
      <c r="AS925" s="1">
        <v>1</v>
      </c>
    </row>
    <row r="926" spans="1:77" x14ac:dyDescent="0.2">
      <c r="A926" t="str">
        <f t="shared" si="59"/>
        <v>2013_06_009</v>
      </c>
      <c r="B926" s="1">
        <v>2013</v>
      </c>
      <c r="C926" s="1">
        <v>6</v>
      </c>
      <c r="D926" s="1">
        <v>9</v>
      </c>
      <c r="E926" t="s">
        <v>5</v>
      </c>
      <c r="G926" s="18">
        <v>3</v>
      </c>
      <c r="H926" s="11" t="str">
        <f t="shared" si="60"/>
        <v>2013_06_009.gif</v>
      </c>
      <c r="L926" s="1" t="b">
        <v>0</v>
      </c>
      <c r="M926" s="1">
        <v>0</v>
      </c>
      <c r="N926" s="26" t="s">
        <v>601</v>
      </c>
      <c r="O926" s="1">
        <v>925</v>
      </c>
      <c r="P926" s="12" t="str">
        <f t="shared" si="62"/>
        <v>Newton's 2nd Law (F=MA)</v>
      </c>
      <c r="Q926" s="1">
        <v>5580</v>
      </c>
      <c r="R926" s="1" t="str">
        <f t="shared" si="61"/>
        <v>2013_06</v>
      </c>
      <c r="AS926" s="1">
        <v>1</v>
      </c>
    </row>
    <row r="927" spans="1:77" x14ac:dyDescent="0.2">
      <c r="A927" t="str">
        <f t="shared" si="59"/>
        <v>2013_06_010</v>
      </c>
      <c r="B927" s="1">
        <v>2013</v>
      </c>
      <c r="C927" s="1">
        <v>6</v>
      </c>
      <c r="D927" s="1">
        <v>10</v>
      </c>
      <c r="E927" t="s">
        <v>5</v>
      </c>
      <c r="G927" s="18">
        <v>3</v>
      </c>
      <c r="H927" s="11" t="str">
        <f t="shared" si="60"/>
        <v>2013_06_010.gif</v>
      </c>
      <c r="L927" s="1" t="b">
        <v>0</v>
      </c>
      <c r="M927" s="1">
        <v>0</v>
      </c>
      <c r="N927" s="26" t="s">
        <v>601</v>
      </c>
      <c r="O927" s="1">
        <v>926</v>
      </c>
      <c r="P927" s="12" t="str">
        <f t="shared" si="62"/>
        <v>Newton's 2nd Law (F=MA)</v>
      </c>
      <c r="Q927" s="1">
        <v>5581</v>
      </c>
      <c r="R927" s="1" t="str">
        <f t="shared" si="61"/>
        <v>2013_06</v>
      </c>
      <c r="AS927" s="1">
        <v>1</v>
      </c>
    </row>
    <row r="928" spans="1:77" x14ac:dyDescent="0.2">
      <c r="A928" t="str">
        <f t="shared" si="59"/>
        <v>2013_06_011</v>
      </c>
      <c r="B928" s="1">
        <v>2013</v>
      </c>
      <c r="C928" s="1">
        <v>6</v>
      </c>
      <c r="D928" s="1">
        <v>11</v>
      </c>
      <c r="E928" t="s">
        <v>6</v>
      </c>
      <c r="G928" s="18">
        <v>1</v>
      </c>
      <c r="H928" s="11" t="str">
        <f t="shared" si="60"/>
        <v>2013_06_011.gif</v>
      </c>
      <c r="L928" s="1" t="b">
        <v>0</v>
      </c>
      <c r="M928" s="1">
        <v>0</v>
      </c>
      <c r="N928" s="26" t="s">
        <v>601</v>
      </c>
      <c r="O928" s="1">
        <v>927</v>
      </c>
      <c r="P928" s="12" t="str">
        <f t="shared" si="62"/>
        <v>Newton's 3rd Law (Equal But Opposite)</v>
      </c>
      <c r="Q928" s="1">
        <v>5582</v>
      </c>
      <c r="R928" s="1" t="str">
        <f t="shared" si="61"/>
        <v>2013_06</v>
      </c>
      <c r="AW928" s="1">
        <v>1</v>
      </c>
    </row>
    <row r="929" spans="1:68" x14ac:dyDescent="0.2">
      <c r="A929" t="str">
        <f t="shared" si="59"/>
        <v>2013_06_012</v>
      </c>
      <c r="B929" s="1">
        <v>2013</v>
      </c>
      <c r="C929" s="1">
        <v>6</v>
      </c>
      <c r="D929" s="1">
        <v>12</v>
      </c>
      <c r="E929" t="s">
        <v>5</v>
      </c>
      <c r="G929" s="18">
        <v>2</v>
      </c>
      <c r="H929" s="11" t="str">
        <f t="shared" si="60"/>
        <v>2013_06_012.gif</v>
      </c>
      <c r="L929" s="1" t="b">
        <v>0</v>
      </c>
      <c r="M929" s="1">
        <v>0</v>
      </c>
      <c r="N929" s="26" t="s">
        <v>601</v>
      </c>
      <c r="O929" s="1">
        <v>928</v>
      </c>
      <c r="P929" s="12" t="str">
        <f t="shared" si="62"/>
        <v>Inclined Plane</v>
      </c>
      <c r="Q929" s="1">
        <v>5583</v>
      </c>
      <c r="R929" s="1" t="str">
        <f t="shared" si="61"/>
        <v>2013_06</v>
      </c>
      <c r="AO929" s="1">
        <v>1</v>
      </c>
    </row>
    <row r="930" spans="1:68" x14ac:dyDescent="0.2">
      <c r="A930" t="str">
        <f t="shared" si="59"/>
        <v>2013_06_013</v>
      </c>
      <c r="B930" s="1">
        <v>2013</v>
      </c>
      <c r="C930" s="1">
        <v>6</v>
      </c>
      <c r="D930" s="1">
        <v>13</v>
      </c>
      <c r="E930" t="s">
        <v>5</v>
      </c>
      <c r="G930" s="18">
        <v>2</v>
      </c>
      <c r="H930" s="11" t="str">
        <f t="shared" si="60"/>
        <v>2013_06_013.gif</v>
      </c>
      <c r="L930" s="1" t="b">
        <v>0</v>
      </c>
      <c r="M930" s="1">
        <v>0</v>
      </c>
      <c r="N930" s="26" t="s">
        <v>601</v>
      </c>
      <c r="O930" s="1">
        <v>929</v>
      </c>
      <c r="P930" s="12" t="str">
        <f t="shared" si="62"/>
        <v>Weight and Mass</v>
      </c>
      <c r="Q930" s="1">
        <v>5584</v>
      </c>
      <c r="R930" s="1" t="str">
        <f t="shared" si="61"/>
        <v>2013_06</v>
      </c>
      <c r="AT930" s="1">
        <v>1</v>
      </c>
    </row>
    <row r="931" spans="1:68" x14ac:dyDescent="0.2">
      <c r="A931" t="str">
        <f t="shared" si="59"/>
        <v>2013_06_014</v>
      </c>
      <c r="B931" s="1">
        <v>2013</v>
      </c>
      <c r="C931" s="1">
        <v>6</v>
      </c>
      <c r="D931" s="1">
        <v>14</v>
      </c>
      <c r="E931" t="s">
        <v>7</v>
      </c>
      <c r="G931" s="18">
        <v>4</v>
      </c>
      <c r="H931" s="11" t="str">
        <f t="shared" si="60"/>
        <v>2013_06_014.gif</v>
      </c>
      <c r="L931" s="1" t="b">
        <v>0</v>
      </c>
      <c r="M931" s="1">
        <v>0</v>
      </c>
      <c r="N931" s="26" t="s">
        <v>601</v>
      </c>
      <c r="O931" s="1">
        <v>930</v>
      </c>
      <c r="P931" s="12" t="str">
        <f t="shared" si="62"/>
        <v>PE of Spring</v>
      </c>
      <c r="Q931" s="1">
        <v>5585</v>
      </c>
      <c r="R931" s="1" t="str">
        <f t="shared" si="61"/>
        <v>2013_06</v>
      </c>
      <c r="BA931" s="1">
        <v>1</v>
      </c>
    </row>
    <row r="932" spans="1:68" x14ac:dyDescent="0.2">
      <c r="A932" t="str">
        <f t="shared" ref="A932:A995" si="63">B932&amp;"_0"&amp;C932&amp;"_"&amp;TEXT(D932,"000")</f>
        <v>2013_06_015</v>
      </c>
      <c r="B932" s="1">
        <v>2013</v>
      </c>
      <c r="C932" s="1">
        <v>6</v>
      </c>
      <c r="D932" s="1">
        <v>15</v>
      </c>
      <c r="E932" t="s">
        <v>7</v>
      </c>
      <c r="G932" s="18">
        <v>3</v>
      </c>
      <c r="H932" s="11" t="str">
        <f t="shared" si="60"/>
        <v>2013_06_015.gif</v>
      </c>
      <c r="L932" s="1" t="b">
        <v>0</v>
      </c>
      <c r="M932" s="1">
        <v>0</v>
      </c>
      <c r="N932" s="26" t="s">
        <v>601</v>
      </c>
      <c r="O932" s="1">
        <v>931</v>
      </c>
      <c r="P932" s="12" t="str">
        <f t="shared" si="62"/>
        <v>Conservation of Energy</v>
      </c>
      <c r="Q932" s="1">
        <v>5586</v>
      </c>
      <c r="R932" s="1" t="str">
        <f t="shared" si="61"/>
        <v>2013_06</v>
      </c>
      <c r="AX932" s="1">
        <v>1</v>
      </c>
    </row>
    <row r="933" spans="1:68" x14ac:dyDescent="0.2">
      <c r="A933" t="str">
        <f t="shared" si="63"/>
        <v>2013_06_016</v>
      </c>
      <c r="B933" s="1">
        <v>2013</v>
      </c>
      <c r="C933" s="1">
        <v>6</v>
      </c>
      <c r="D933" s="1">
        <v>16</v>
      </c>
      <c r="E933" t="s">
        <v>8</v>
      </c>
      <c r="F933" t="s">
        <v>9</v>
      </c>
      <c r="G933" s="18">
        <v>4</v>
      </c>
      <c r="H933" s="11" t="str">
        <f t="shared" si="60"/>
        <v>2013_06_016.gif</v>
      </c>
      <c r="L933" s="1" t="b">
        <v>0</v>
      </c>
      <c r="M933" s="1">
        <v>0</v>
      </c>
      <c r="N933" s="26" t="s">
        <v>601</v>
      </c>
      <c r="O933" s="1">
        <v>932</v>
      </c>
      <c r="P933" s="12" t="str">
        <f t="shared" si="62"/>
        <v>Wave Vocabulary,Light and Sound</v>
      </c>
      <c r="Q933" s="1">
        <v>5587</v>
      </c>
      <c r="R933" s="1" t="str">
        <f t="shared" si="61"/>
        <v>2013_06</v>
      </c>
      <c r="BF933" s="1">
        <v>1</v>
      </c>
      <c r="BI933" s="1">
        <v>1</v>
      </c>
    </row>
    <row r="934" spans="1:68" x14ac:dyDescent="0.2">
      <c r="A934" t="str">
        <f t="shared" si="63"/>
        <v>2013_06_017</v>
      </c>
      <c r="B934" s="1">
        <v>2013</v>
      </c>
      <c r="C934" s="1">
        <v>6</v>
      </c>
      <c r="D934" s="1">
        <v>17</v>
      </c>
      <c r="E934" t="s">
        <v>8</v>
      </c>
      <c r="G934" s="18">
        <v>1</v>
      </c>
      <c r="H934" s="11" t="str">
        <f t="shared" si="60"/>
        <v>2013_06_017.gif</v>
      </c>
      <c r="L934" s="1" t="b">
        <v>0</v>
      </c>
      <c r="M934" s="1">
        <v>0</v>
      </c>
      <c r="N934" s="26" t="s">
        <v>601</v>
      </c>
      <c r="O934" s="1">
        <v>933</v>
      </c>
      <c r="P934" s="12" t="str">
        <f t="shared" si="62"/>
        <v>Wave Vocabulary</v>
      </c>
      <c r="Q934" s="1">
        <v>5588</v>
      </c>
      <c r="R934" s="1" t="str">
        <f t="shared" si="61"/>
        <v>2013_06</v>
      </c>
      <c r="BF934" s="1">
        <v>1</v>
      </c>
    </row>
    <row r="935" spans="1:68" x14ac:dyDescent="0.2">
      <c r="A935" t="str">
        <f t="shared" si="63"/>
        <v>2013_06_018</v>
      </c>
      <c r="B935" s="1">
        <v>2013</v>
      </c>
      <c r="C935" s="1">
        <v>6</v>
      </c>
      <c r="D935" s="1">
        <v>18</v>
      </c>
      <c r="E935" t="s">
        <v>9</v>
      </c>
      <c r="F935" t="s">
        <v>8</v>
      </c>
      <c r="G935" s="18">
        <v>2</v>
      </c>
      <c r="H935" s="11" t="str">
        <f t="shared" si="60"/>
        <v>2013_06_018.gif</v>
      </c>
      <c r="L935" s="1" t="b">
        <v>0</v>
      </c>
      <c r="M935" s="1">
        <v>0</v>
      </c>
      <c r="N935" s="26" t="s">
        <v>601</v>
      </c>
      <c r="O935" s="1">
        <v>934</v>
      </c>
      <c r="P935" s="12" t="str">
        <f t="shared" si="62"/>
        <v>Wave Vocabulary,Light and Sound</v>
      </c>
      <c r="Q935" s="1">
        <v>5589</v>
      </c>
      <c r="R935" s="1" t="str">
        <f t="shared" si="61"/>
        <v>2013_06</v>
      </c>
      <c r="BF935" s="1">
        <v>1</v>
      </c>
      <c r="BI935" s="1">
        <v>1</v>
      </c>
    </row>
    <row r="936" spans="1:68" x14ac:dyDescent="0.2">
      <c r="A936" t="str">
        <f t="shared" si="63"/>
        <v>2013_06_019</v>
      </c>
      <c r="B936" s="1">
        <v>2013</v>
      </c>
      <c r="C936" s="1">
        <v>6</v>
      </c>
      <c r="D936" s="1">
        <v>19</v>
      </c>
      <c r="E936" t="s">
        <v>9</v>
      </c>
      <c r="F936" t="s">
        <v>8</v>
      </c>
      <c r="G936" s="18">
        <v>1</v>
      </c>
      <c r="H936" s="11" t="str">
        <f t="shared" si="60"/>
        <v>2013_06_019.gif</v>
      </c>
      <c r="L936" s="1" t="b">
        <v>0</v>
      </c>
      <c r="M936" s="1">
        <v>0</v>
      </c>
      <c r="N936" s="26" t="s">
        <v>601</v>
      </c>
      <c r="O936" s="1">
        <v>935</v>
      </c>
      <c r="P936" s="12" t="str">
        <f t="shared" si="62"/>
        <v>Wave Vocabulary,Light and Sound</v>
      </c>
      <c r="Q936" s="1">
        <v>5590</v>
      </c>
      <c r="R936" s="1" t="str">
        <f t="shared" si="61"/>
        <v>2013_06</v>
      </c>
      <c r="BF936" s="1">
        <v>1</v>
      </c>
      <c r="BI936" s="1">
        <v>1</v>
      </c>
    </row>
    <row r="937" spans="1:68" x14ac:dyDescent="0.2">
      <c r="A937" t="str">
        <f t="shared" si="63"/>
        <v>2013_06_020</v>
      </c>
      <c r="B937" s="1">
        <v>2013</v>
      </c>
      <c r="C937" s="1">
        <v>6</v>
      </c>
      <c r="D937" s="1">
        <v>20</v>
      </c>
      <c r="E937" t="s">
        <v>9</v>
      </c>
      <c r="G937" s="18">
        <v>4</v>
      </c>
      <c r="H937" s="11" t="str">
        <f t="shared" si="60"/>
        <v>2013_06_020.gif</v>
      </c>
      <c r="L937" s="1" t="b">
        <v>0</v>
      </c>
      <c r="M937" s="1">
        <v>0</v>
      </c>
      <c r="N937" s="26" t="s">
        <v>601</v>
      </c>
      <c r="O937" s="1">
        <v>936</v>
      </c>
      <c r="P937" s="12" t="str">
        <f t="shared" si="62"/>
        <v>Light and Sound,Refraction and Snell's Law</v>
      </c>
      <c r="Q937" s="1">
        <v>5591</v>
      </c>
      <c r="R937" s="1" t="str">
        <f t="shared" si="61"/>
        <v>2013_06</v>
      </c>
      <c r="BI937" s="1">
        <v>1</v>
      </c>
      <c r="BJ937" s="1">
        <v>1</v>
      </c>
    </row>
    <row r="938" spans="1:68" x14ac:dyDescent="0.2">
      <c r="A938" t="str">
        <f t="shared" si="63"/>
        <v>2013_06_021</v>
      </c>
      <c r="B938" s="1">
        <v>2013</v>
      </c>
      <c r="C938" s="1">
        <v>6</v>
      </c>
      <c r="D938" s="1">
        <v>21</v>
      </c>
      <c r="E938" t="s">
        <v>7</v>
      </c>
      <c r="G938" s="18">
        <v>4</v>
      </c>
      <c r="H938" s="11" t="str">
        <f t="shared" si="60"/>
        <v>2013_06_021.gif</v>
      </c>
      <c r="L938" s="1" t="b">
        <v>0</v>
      </c>
      <c r="M938" s="1">
        <v>0</v>
      </c>
      <c r="N938" s="26" t="s">
        <v>601</v>
      </c>
      <c r="O938" s="1">
        <v>937</v>
      </c>
      <c r="P938" s="12" t="str">
        <f t="shared" si="62"/>
        <v>Conservation of Energy</v>
      </c>
      <c r="Q938" s="1">
        <v>5592</v>
      </c>
      <c r="R938" s="1" t="str">
        <f t="shared" si="61"/>
        <v>2013_06</v>
      </c>
      <c r="AX938" s="1">
        <v>1</v>
      </c>
    </row>
    <row r="939" spans="1:68" x14ac:dyDescent="0.2">
      <c r="A939" t="str">
        <f t="shared" si="63"/>
        <v>2013_06_022</v>
      </c>
      <c r="B939" s="1">
        <v>2013</v>
      </c>
      <c r="C939" s="1">
        <v>6</v>
      </c>
      <c r="D939" s="1">
        <v>22</v>
      </c>
      <c r="E939" t="s">
        <v>8</v>
      </c>
      <c r="G939" s="18">
        <v>4</v>
      </c>
      <c r="H939" s="11" t="str">
        <f t="shared" si="60"/>
        <v>2013_06_022.gif</v>
      </c>
      <c r="L939" s="1" t="b">
        <v>0</v>
      </c>
      <c r="M939" s="1">
        <v>0</v>
      </c>
      <c r="N939" s="26" t="s">
        <v>601</v>
      </c>
      <c r="O939" s="1">
        <v>938</v>
      </c>
      <c r="P939" s="12" t="str">
        <f t="shared" si="62"/>
        <v>Wave Vocabulary</v>
      </c>
      <c r="Q939" s="1">
        <v>5593</v>
      </c>
      <c r="R939" s="1" t="str">
        <f t="shared" si="61"/>
        <v>2013_06</v>
      </c>
      <c r="BF939" s="1">
        <v>1</v>
      </c>
    </row>
    <row r="940" spans="1:68" x14ac:dyDescent="0.2">
      <c r="A940" t="str">
        <f t="shared" si="63"/>
        <v>2013_06_023</v>
      </c>
      <c r="B940" s="1">
        <v>2013</v>
      </c>
      <c r="C940" s="1">
        <v>6</v>
      </c>
      <c r="D940" s="1">
        <v>23</v>
      </c>
      <c r="E940" t="s">
        <v>10</v>
      </c>
      <c r="G940" s="18">
        <v>3</v>
      </c>
      <c r="H940" s="11" t="str">
        <f t="shared" si="60"/>
        <v>2013_06_023.gif</v>
      </c>
      <c r="L940" s="1" t="b">
        <v>0</v>
      </c>
      <c r="M940" s="1">
        <v>0</v>
      </c>
      <c r="N940" s="26" t="s">
        <v>601</v>
      </c>
      <c r="O940" s="1">
        <v>939</v>
      </c>
      <c r="P940" s="12" t="str">
        <f t="shared" si="62"/>
        <v>Induction, Conduction, Polarization</v>
      </c>
      <c r="Q940" s="1">
        <v>5594</v>
      </c>
      <c r="R940" s="1" t="str">
        <f t="shared" si="61"/>
        <v>2013_06</v>
      </c>
      <c r="BM940" s="1">
        <v>1</v>
      </c>
    </row>
    <row r="941" spans="1:68" x14ac:dyDescent="0.2">
      <c r="A941" t="str">
        <f t="shared" si="63"/>
        <v>2013_06_024</v>
      </c>
      <c r="B941" s="1">
        <v>2013</v>
      </c>
      <c r="C941" s="1">
        <v>6</v>
      </c>
      <c r="D941" s="1">
        <v>24</v>
      </c>
      <c r="E941" t="s">
        <v>8</v>
      </c>
      <c r="G941" s="18">
        <v>3</v>
      </c>
      <c r="H941" s="11" t="str">
        <f t="shared" si="60"/>
        <v>2013_06_024.gif</v>
      </c>
      <c r="L941" s="1" t="b">
        <v>0</v>
      </c>
      <c r="M941" s="1">
        <v>0</v>
      </c>
      <c r="N941" s="26" t="s">
        <v>601</v>
      </c>
      <c r="O941" s="1">
        <v>940</v>
      </c>
      <c r="P941" s="12" t="str">
        <f t="shared" si="62"/>
        <v>V=FxLamda</v>
      </c>
      <c r="Q941" s="1">
        <v>5595</v>
      </c>
      <c r="R941" s="1" t="str">
        <f t="shared" si="61"/>
        <v>2013_06</v>
      </c>
      <c r="BE941" s="1">
        <v>1</v>
      </c>
    </row>
    <row r="942" spans="1:68" x14ac:dyDescent="0.2">
      <c r="A942" t="str">
        <f t="shared" si="63"/>
        <v>2013_06_025</v>
      </c>
      <c r="B942" s="1">
        <v>2013</v>
      </c>
      <c r="C942" s="1">
        <v>6</v>
      </c>
      <c r="D942" s="1">
        <v>25</v>
      </c>
      <c r="E942" t="s">
        <v>8</v>
      </c>
      <c r="G942" s="18">
        <v>4</v>
      </c>
      <c r="H942" s="11" t="str">
        <f t="shared" si="60"/>
        <v>2013_06_025.gif</v>
      </c>
      <c r="L942" s="1" t="b">
        <v>0</v>
      </c>
      <c r="M942" s="1">
        <v>0</v>
      </c>
      <c r="N942" s="26" t="s">
        <v>601</v>
      </c>
      <c r="O942" s="1">
        <v>941</v>
      </c>
      <c r="P942" s="12" t="str">
        <f t="shared" si="62"/>
        <v>Resonance</v>
      </c>
      <c r="Q942" s="1">
        <v>5596</v>
      </c>
      <c r="R942" s="1" t="str">
        <f t="shared" si="61"/>
        <v>2013_06</v>
      </c>
      <c r="BC942" s="1">
        <v>1</v>
      </c>
    </row>
    <row r="943" spans="1:68" x14ac:dyDescent="0.2">
      <c r="A943" t="str">
        <f t="shared" si="63"/>
        <v>2013_06_026</v>
      </c>
      <c r="B943" s="1">
        <v>2013</v>
      </c>
      <c r="C943" s="1">
        <v>6</v>
      </c>
      <c r="D943" s="1">
        <v>26</v>
      </c>
      <c r="E943" t="s">
        <v>9</v>
      </c>
      <c r="G943" s="18">
        <v>2</v>
      </c>
      <c r="H943" s="11" t="str">
        <f t="shared" si="60"/>
        <v>2013_06_026.gif</v>
      </c>
      <c r="L943" s="1" t="b">
        <v>0</v>
      </c>
      <c r="M943" s="1">
        <v>0</v>
      </c>
      <c r="N943" s="26" t="s">
        <v>601</v>
      </c>
      <c r="O943" s="1">
        <v>942</v>
      </c>
      <c r="P943" s="12" t="str">
        <f t="shared" si="62"/>
        <v>Doppler Effect</v>
      </c>
      <c r="Q943" s="1">
        <v>5597</v>
      </c>
      <c r="R943" s="1" t="str">
        <f t="shared" si="61"/>
        <v>2013_06</v>
      </c>
      <c r="BH943" s="1">
        <v>1</v>
      </c>
    </row>
    <row r="944" spans="1:68" x14ac:dyDescent="0.2">
      <c r="A944" t="str">
        <f t="shared" si="63"/>
        <v>2013_06_027</v>
      </c>
      <c r="B944" s="1">
        <v>2013</v>
      </c>
      <c r="C944" s="1">
        <v>6</v>
      </c>
      <c r="D944" s="1">
        <v>27</v>
      </c>
      <c r="E944" t="s">
        <v>1</v>
      </c>
      <c r="F944" t="s">
        <v>11</v>
      </c>
      <c r="G944" s="18">
        <v>1</v>
      </c>
      <c r="H944" s="11" t="str">
        <f t="shared" si="60"/>
        <v>2013_06_027.gif</v>
      </c>
      <c r="L944" s="1" t="b">
        <v>0</v>
      </c>
      <c r="M944" s="1">
        <v>0</v>
      </c>
      <c r="N944" s="26" t="s">
        <v>601</v>
      </c>
      <c r="O944" s="1">
        <v>943</v>
      </c>
      <c r="P944" s="12" t="str">
        <f t="shared" si="62"/>
        <v>Units,Electrical Power</v>
      </c>
      <c r="Q944" s="1">
        <v>5598</v>
      </c>
      <c r="R944" s="1" t="str">
        <f t="shared" si="61"/>
        <v>2013_06</v>
      </c>
      <c r="V944" s="1">
        <v>1</v>
      </c>
      <c r="BP944" s="1">
        <v>1</v>
      </c>
    </row>
    <row r="945" spans="1:78" x14ac:dyDescent="0.2">
      <c r="A945" t="str">
        <f t="shared" si="63"/>
        <v>2013_06_028</v>
      </c>
      <c r="B945" s="1">
        <v>2013</v>
      </c>
      <c r="C945" s="1">
        <v>6</v>
      </c>
      <c r="D945" s="1">
        <v>28</v>
      </c>
      <c r="E945" t="s">
        <v>12</v>
      </c>
      <c r="G945" s="18">
        <v>4</v>
      </c>
      <c r="H945" s="11" t="str">
        <f t="shared" si="60"/>
        <v>2013_06_028.gif</v>
      </c>
      <c r="L945" s="1" t="b">
        <v>0</v>
      </c>
      <c r="M945" s="1">
        <v>0</v>
      </c>
      <c r="N945" s="26" t="s">
        <v>601</v>
      </c>
      <c r="O945" s="1">
        <v>944</v>
      </c>
      <c r="P945" s="12" t="str">
        <f t="shared" si="62"/>
        <v>Magnetism</v>
      </c>
      <c r="Q945" s="1">
        <v>5599</v>
      </c>
      <c r="R945" s="1" t="str">
        <f t="shared" si="61"/>
        <v>2013_06</v>
      </c>
      <c r="BZ945" s="1">
        <v>1</v>
      </c>
    </row>
    <row r="946" spans="1:78" x14ac:dyDescent="0.2">
      <c r="A946" t="str">
        <f t="shared" si="63"/>
        <v>2013_06_029</v>
      </c>
      <c r="B946" s="1">
        <v>2013</v>
      </c>
      <c r="C946" s="1">
        <v>6</v>
      </c>
      <c r="D946" s="1">
        <v>29</v>
      </c>
      <c r="E946" t="s">
        <v>8</v>
      </c>
      <c r="G946" s="18">
        <v>3</v>
      </c>
      <c r="H946" s="11" t="str">
        <f t="shared" si="60"/>
        <v>2013_06_029.gif</v>
      </c>
      <c r="L946" s="1" t="b">
        <v>0</v>
      </c>
      <c r="M946" s="1">
        <v>0</v>
      </c>
      <c r="N946" s="26" t="s">
        <v>601</v>
      </c>
      <c r="O946" s="1">
        <v>945</v>
      </c>
      <c r="P946" s="12" t="str">
        <f t="shared" si="62"/>
        <v>Wave Vocabulary</v>
      </c>
      <c r="Q946" s="1">
        <v>5600</v>
      </c>
      <c r="R946" s="1" t="str">
        <f t="shared" si="61"/>
        <v>2013_06</v>
      </c>
      <c r="BF946" s="1">
        <v>1</v>
      </c>
    </row>
    <row r="947" spans="1:78" x14ac:dyDescent="0.2">
      <c r="A947" t="str">
        <f t="shared" si="63"/>
        <v>2013_06_030</v>
      </c>
      <c r="B947" s="1">
        <v>2013</v>
      </c>
      <c r="C947" s="1">
        <v>6</v>
      </c>
      <c r="D947" s="1">
        <v>30</v>
      </c>
      <c r="E947" t="s">
        <v>11</v>
      </c>
      <c r="F947" t="s">
        <v>10</v>
      </c>
      <c r="G947" s="18">
        <v>3</v>
      </c>
      <c r="H947" s="11" t="str">
        <f t="shared" si="60"/>
        <v>2013_06_030.gif</v>
      </c>
      <c r="L947" s="1" t="b">
        <v>0</v>
      </c>
      <c r="M947" s="1">
        <v>0</v>
      </c>
      <c r="N947" s="26" t="s">
        <v>601</v>
      </c>
      <c r="O947" s="1">
        <v>946</v>
      </c>
      <c r="P947" s="12" t="str">
        <f t="shared" si="62"/>
        <v>Electric Fields and Potential,Electrical Power</v>
      </c>
      <c r="Q947" s="1">
        <v>5601</v>
      </c>
      <c r="R947" s="1" t="str">
        <f t="shared" si="61"/>
        <v>2013_06</v>
      </c>
      <c r="BN947" s="1">
        <v>1</v>
      </c>
      <c r="BP947" s="1">
        <v>1</v>
      </c>
    </row>
    <row r="948" spans="1:78" x14ac:dyDescent="0.2">
      <c r="A948" t="str">
        <f t="shared" si="63"/>
        <v>2013_06_031</v>
      </c>
      <c r="B948" s="1">
        <v>2013</v>
      </c>
      <c r="C948" s="1">
        <v>6</v>
      </c>
      <c r="D948" s="1">
        <v>31</v>
      </c>
      <c r="E948" t="s">
        <v>11</v>
      </c>
      <c r="G948" s="18">
        <v>3</v>
      </c>
      <c r="H948" s="11" t="str">
        <f t="shared" si="60"/>
        <v>2013_06_031.gif</v>
      </c>
      <c r="L948" s="1" t="b">
        <v>0</v>
      </c>
      <c r="M948" s="1">
        <v>0</v>
      </c>
      <c r="N948" s="26" t="s">
        <v>601</v>
      </c>
      <c r="O948" s="1">
        <v>947</v>
      </c>
      <c r="P948" s="12" t="str">
        <f t="shared" si="62"/>
        <v>Electrical Definitions,Series and Parallel</v>
      </c>
      <c r="Q948" s="1">
        <v>5602</v>
      </c>
      <c r="R948" s="1" t="str">
        <f t="shared" si="61"/>
        <v>2013_06</v>
      </c>
      <c r="BO948" s="1">
        <v>1</v>
      </c>
      <c r="BS948" s="1">
        <v>1</v>
      </c>
    </row>
    <row r="949" spans="1:78" x14ac:dyDescent="0.2">
      <c r="A949" t="str">
        <f t="shared" si="63"/>
        <v>2013_06_032</v>
      </c>
      <c r="B949" s="1">
        <v>2013</v>
      </c>
      <c r="C949" s="1">
        <v>6</v>
      </c>
      <c r="D949" s="1">
        <v>32</v>
      </c>
      <c r="E949" t="s">
        <v>11</v>
      </c>
      <c r="G949" s="18">
        <v>2</v>
      </c>
      <c r="H949" s="11" t="str">
        <f t="shared" si="60"/>
        <v>2013_06_032.gif</v>
      </c>
      <c r="L949" s="1" t="b">
        <v>0</v>
      </c>
      <c r="M949" s="1">
        <v>0</v>
      </c>
      <c r="N949" s="26" t="s">
        <v>601</v>
      </c>
      <c r="O949" s="1">
        <v>948</v>
      </c>
      <c r="P949" s="12" t="str">
        <f t="shared" si="62"/>
        <v>Electrical Power</v>
      </c>
      <c r="Q949" s="1">
        <v>5603</v>
      </c>
      <c r="R949" s="1" t="str">
        <f t="shared" si="61"/>
        <v>2013_06</v>
      </c>
      <c r="BP949" s="1">
        <v>1</v>
      </c>
    </row>
    <row r="950" spans="1:78" x14ac:dyDescent="0.2">
      <c r="A950" t="str">
        <f t="shared" si="63"/>
        <v>2013_06_033</v>
      </c>
      <c r="B950" s="1">
        <v>2013</v>
      </c>
      <c r="C950" s="1">
        <v>6</v>
      </c>
      <c r="D950" s="1">
        <v>33</v>
      </c>
      <c r="E950" t="s">
        <v>10</v>
      </c>
      <c r="G950" s="18">
        <v>1</v>
      </c>
      <c r="H950" s="11" t="str">
        <f t="shared" si="60"/>
        <v>2013_06_033.gif</v>
      </c>
      <c r="L950" s="1" t="b">
        <v>0</v>
      </c>
      <c r="M950" s="1">
        <v>0</v>
      </c>
      <c r="N950" s="26" t="s">
        <v>601</v>
      </c>
      <c r="O950" s="1">
        <v>949</v>
      </c>
      <c r="P950" s="12" t="str">
        <f t="shared" si="62"/>
        <v>Conservation of Charge</v>
      </c>
      <c r="Q950" s="1">
        <v>5604</v>
      </c>
      <c r="R950" s="1" t="str">
        <f t="shared" si="61"/>
        <v>2013_06</v>
      </c>
      <c r="BK950" s="1">
        <v>1</v>
      </c>
    </row>
    <row r="951" spans="1:78" x14ac:dyDescent="0.2">
      <c r="A951" t="str">
        <f t="shared" si="63"/>
        <v>2013_06_034</v>
      </c>
      <c r="B951" s="1">
        <v>2013</v>
      </c>
      <c r="C951" s="1">
        <v>6</v>
      </c>
      <c r="D951" s="1">
        <v>34</v>
      </c>
      <c r="E951" t="s">
        <v>13</v>
      </c>
      <c r="G951" s="18">
        <v>2</v>
      </c>
      <c r="H951" s="11" t="str">
        <f t="shared" si="60"/>
        <v>2013_06_034.gif</v>
      </c>
      <c r="L951" s="1" t="b">
        <v>0</v>
      </c>
      <c r="M951" s="1">
        <v>0</v>
      </c>
      <c r="N951" s="26" t="s">
        <v>601</v>
      </c>
      <c r="O951" s="1">
        <v>950</v>
      </c>
      <c r="P951" s="12" t="str">
        <f t="shared" si="62"/>
        <v>Energy/Frequency of Photon</v>
      </c>
      <c r="Q951" s="1">
        <v>5605</v>
      </c>
      <c r="R951" s="1" t="str">
        <f t="shared" si="61"/>
        <v>2013_06</v>
      </c>
      <c r="BU951" s="1">
        <v>1</v>
      </c>
    </row>
    <row r="952" spans="1:78" x14ac:dyDescent="0.2">
      <c r="A952" t="str">
        <f t="shared" si="63"/>
        <v>2013_06_035</v>
      </c>
      <c r="B952" s="1">
        <v>2013</v>
      </c>
      <c r="C952" s="1">
        <v>6</v>
      </c>
      <c r="D952" s="1">
        <v>35</v>
      </c>
      <c r="E952" t="s">
        <v>13</v>
      </c>
      <c r="G952" s="18">
        <v>1</v>
      </c>
      <c r="H952" s="11" t="str">
        <f t="shared" si="60"/>
        <v>2013_06_035.gif</v>
      </c>
      <c r="L952" s="1" t="b">
        <v>0</v>
      </c>
      <c r="M952" s="1">
        <v>0</v>
      </c>
      <c r="N952" s="26" t="s">
        <v>601</v>
      </c>
      <c r="O952" s="1">
        <v>951</v>
      </c>
      <c r="P952" s="12" t="str">
        <f t="shared" si="62"/>
        <v>Particle Physics</v>
      </c>
      <c r="Q952" s="1">
        <v>5606</v>
      </c>
      <c r="R952" s="1" t="str">
        <f t="shared" si="61"/>
        <v>2013_06</v>
      </c>
      <c r="BW952" s="1">
        <v>1</v>
      </c>
    </row>
    <row r="953" spans="1:78" x14ac:dyDescent="0.2">
      <c r="A953" t="str">
        <f t="shared" si="63"/>
        <v>2013_06_036</v>
      </c>
      <c r="B953" s="1">
        <v>2013</v>
      </c>
      <c r="C953" s="1">
        <v>6</v>
      </c>
      <c r="D953" s="1">
        <v>36</v>
      </c>
      <c r="E953" t="s">
        <v>1</v>
      </c>
      <c r="G953" s="18">
        <v>2</v>
      </c>
      <c r="H953" s="11" t="str">
        <f t="shared" si="60"/>
        <v>2013_06_036.gif</v>
      </c>
      <c r="L953" s="1" t="b">
        <v>0</v>
      </c>
      <c r="M953" s="1">
        <v>0</v>
      </c>
      <c r="N953" s="26" t="s">
        <v>657</v>
      </c>
      <c r="O953" s="1">
        <v>952</v>
      </c>
      <c r="P953" s="12" t="str">
        <f t="shared" si="62"/>
        <v>Estimation</v>
      </c>
      <c r="Q953" s="1">
        <v>5607</v>
      </c>
      <c r="R953" s="1" t="str">
        <f t="shared" si="61"/>
        <v>2013_06</v>
      </c>
      <c r="U953" s="1">
        <v>1</v>
      </c>
    </row>
    <row r="954" spans="1:78" x14ac:dyDescent="0.2">
      <c r="A954" t="str">
        <f t="shared" si="63"/>
        <v>2013_06_037</v>
      </c>
      <c r="B954" s="1">
        <v>2013</v>
      </c>
      <c r="C954" s="1">
        <v>6</v>
      </c>
      <c r="D954" s="1">
        <v>37</v>
      </c>
      <c r="E954" t="s">
        <v>6</v>
      </c>
      <c r="G954" s="18">
        <v>1</v>
      </c>
      <c r="H954" s="11" t="str">
        <f t="shared" si="60"/>
        <v>2013_06_037.gif</v>
      </c>
      <c r="L954" s="1" t="b">
        <v>0</v>
      </c>
      <c r="M954" s="1">
        <v>0</v>
      </c>
      <c r="N954" s="26" t="s">
        <v>657</v>
      </c>
      <c r="O954" s="1">
        <v>953</v>
      </c>
      <c r="P954" s="12" t="str">
        <f t="shared" si="62"/>
        <v>Conservation of Momentum</v>
      </c>
      <c r="Q954" s="1">
        <v>5608</v>
      </c>
      <c r="R954" s="1" t="str">
        <f t="shared" si="61"/>
        <v>2013_06</v>
      </c>
      <c r="AU954" s="1">
        <v>1</v>
      </c>
    </row>
    <row r="955" spans="1:78" x14ac:dyDescent="0.2">
      <c r="A955" t="str">
        <f t="shared" si="63"/>
        <v>2013_06_038</v>
      </c>
      <c r="B955" s="1">
        <v>2013</v>
      </c>
      <c r="C955" s="1">
        <v>6</v>
      </c>
      <c r="D955" s="1">
        <v>38</v>
      </c>
      <c r="E955" t="s">
        <v>5</v>
      </c>
      <c r="G955" s="18">
        <v>4</v>
      </c>
      <c r="H955" s="11" t="str">
        <f t="shared" si="60"/>
        <v>2013_06_038.gif</v>
      </c>
      <c r="L955" s="1" t="b">
        <v>0</v>
      </c>
      <c r="M955" s="1">
        <v>0</v>
      </c>
      <c r="N955" s="26" t="s">
        <v>657</v>
      </c>
      <c r="O955" s="1">
        <v>954</v>
      </c>
      <c r="P955" s="12" t="str">
        <f t="shared" si="62"/>
        <v>Newton's 2nd Law (F=MA)</v>
      </c>
      <c r="Q955" s="1">
        <v>5609</v>
      </c>
      <c r="R955" s="1" t="str">
        <f t="shared" si="61"/>
        <v>2013_06</v>
      </c>
      <c r="AS955" s="1">
        <v>1</v>
      </c>
    </row>
    <row r="956" spans="1:78" x14ac:dyDescent="0.2">
      <c r="A956" t="str">
        <f t="shared" si="63"/>
        <v>2013_06_039</v>
      </c>
      <c r="B956" s="1">
        <v>2013</v>
      </c>
      <c r="C956" s="1">
        <v>6</v>
      </c>
      <c r="D956" s="1">
        <v>39</v>
      </c>
      <c r="E956" t="s">
        <v>7</v>
      </c>
      <c r="G956" s="18">
        <v>3</v>
      </c>
      <c r="H956" s="11" t="str">
        <f t="shared" si="60"/>
        <v>2013_06_039.gif</v>
      </c>
      <c r="L956" s="1" t="b">
        <v>0</v>
      </c>
      <c r="M956" s="1">
        <v>0</v>
      </c>
      <c r="N956" s="26" t="s">
        <v>657</v>
      </c>
      <c r="O956" s="1">
        <v>955</v>
      </c>
      <c r="P956" s="12" t="str">
        <f t="shared" si="62"/>
        <v>Work/Power</v>
      </c>
      <c r="Q956" s="1">
        <v>5610</v>
      </c>
      <c r="R956" s="1" t="str">
        <f t="shared" si="61"/>
        <v>2013_06</v>
      </c>
      <c r="BB956" s="1">
        <v>1</v>
      </c>
    </row>
    <row r="957" spans="1:78" x14ac:dyDescent="0.2">
      <c r="A957" t="str">
        <f t="shared" si="63"/>
        <v>2013_06_040</v>
      </c>
      <c r="B957" s="1">
        <v>2013</v>
      </c>
      <c r="C957" s="1">
        <v>6</v>
      </c>
      <c r="D957" s="1">
        <v>40</v>
      </c>
      <c r="E957" t="s">
        <v>5</v>
      </c>
      <c r="F957" t="s">
        <v>548</v>
      </c>
      <c r="G957" s="18">
        <v>2</v>
      </c>
      <c r="H957" s="11" t="str">
        <f t="shared" si="60"/>
        <v>2013_06_040.gif</v>
      </c>
      <c r="L957" s="1" t="b">
        <v>0</v>
      </c>
      <c r="M957" s="1">
        <v>0</v>
      </c>
      <c r="N957" s="26" t="s">
        <v>657</v>
      </c>
      <c r="O957" s="1">
        <v>956</v>
      </c>
      <c r="P957" s="12" t="str">
        <f t="shared" si="62"/>
        <v>Newton's 2nd Law (F=MA),Mathematical Relationships (Numberless Problems)</v>
      </c>
      <c r="Q957" s="1">
        <v>5611</v>
      </c>
      <c r="R957" s="1" t="str">
        <f t="shared" si="61"/>
        <v>2013_06</v>
      </c>
      <c r="AS957" s="1">
        <v>1</v>
      </c>
      <c r="BY957" s="1">
        <v>1</v>
      </c>
    </row>
    <row r="958" spans="1:78" x14ac:dyDescent="0.2">
      <c r="A958" t="str">
        <f t="shared" si="63"/>
        <v>2013_06_041</v>
      </c>
      <c r="B958" s="1">
        <v>2013</v>
      </c>
      <c r="C958" s="1">
        <v>6</v>
      </c>
      <c r="D958" s="1">
        <v>41</v>
      </c>
      <c r="E958" t="s">
        <v>10</v>
      </c>
      <c r="G958" s="18">
        <v>3</v>
      </c>
      <c r="H958" s="11" t="str">
        <f t="shared" si="60"/>
        <v>2013_06_041.gif</v>
      </c>
      <c r="L958" s="1" t="b">
        <v>0</v>
      </c>
      <c r="M958" s="1">
        <v>0</v>
      </c>
      <c r="N958" s="26" t="s">
        <v>657</v>
      </c>
      <c r="O958" s="1">
        <v>957</v>
      </c>
      <c r="P958" s="12" t="str">
        <f t="shared" si="62"/>
        <v>Electric Fields and Potential</v>
      </c>
      <c r="Q958" s="1">
        <v>5612</v>
      </c>
      <c r="R958" s="1" t="str">
        <f t="shared" si="61"/>
        <v>2013_06</v>
      </c>
      <c r="BN958" s="1">
        <v>1</v>
      </c>
    </row>
    <row r="959" spans="1:78" x14ac:dyDescent="0.2">
      <c r="A959" t="str">
        <f t="shared" si="63"/>
        <v>2013_06_042</v>
      </c>
      <c r="B959" s="1">
        <v>2013</v>
      </c>
      <c r="C959" s="1">
        <v>6</v>
      </c>
      <c r="D959" s="1">
        <v>42</v>
      </c>
      <c r="E959" t="s">
        <v>11</v>
      </c>
      <c r="G959" s="18">
        <v>1</v>
      </c>
      <c r="H959" s="11" t="str">
        <f t="shared" si="60"/>
        <v>2013_06_042.gif</v>
      </c>
      <c r="L959" s="1" t="b">
        <v>0</v>
      </c>
      <c r="M959" s="1">
        <v>0</v>
      </c>
      <c r="N959" s="26" t="s">
        <v>657</v>
      </c>
      <c r="O959" s="1">
        <v>958</v>
      </c>
      <c r="P959" s="12" t="str">
        <f t="shared" si="62"/>
        <v>Electrical Definitions</v>
      </c>
      <c r="Q959" s="1">
        <v>5613</v>
      </c>
      <c r="R959" s="1" t="str">
        <f t="shared" si="61"/>
        <v>2013_06</v>
      </c>
      <c r="BO959" s="1">
        <v>1</v>
      </c>
    </row>
    <row r="960" spans="1:78" x14ac:dyDescent="0.2">
      <c r="A960" t="str">
        <f t="shared" si="63"/>
        <v>2013_06_043</v>
      </c>
      <c r="B960" s="1">
        <v>2013</v>
      </c>
      <c r="C960" s="1">
        <v>6</v>
      </c>
      <c r="D960" s="1">
        <v>43</v>
      </c>
      <c r="E960" t="s">
        <v>548</v>
      </c>
      <c r="F960" t="s">
        <v>10</v>
      </c>
      <c r="G960" s="18">
        <v>2</v>
      </c>
      <c r="H960" s="11" t="str">
        <f t="shared" si="60"/>
        <v>2013_06_043.gif</v>
      </c>
      <c r="L960" s="1" t="b">
        <v>0</v>
      </c>
      <c r="M960" s="1">
        <v>0</v>
      </c>
      <c r="N960" s="26" t="s">
        <v>657</v>
      </c>
      <c r="O960" s="1">
        <v>959</v>
      </c>
      <c r="P960" s="12" t="str">
        <f t="shared" si="62"/>
        <v>Coulomb's Law,Mathematical Relationships (Numberless Problems)</v>
      </c>
      <c r="Q960" s="1">
        <v>5614</v>
      </c>
      <c r="R960" s="1" t="str">
        <f t="shared" si="61"/>
        <v>2013_06</v>
      </c>
      <c r="BL960" s="1">
        <v>1</v>
      </c>
      <c r="BY960" s="1">
        <v>1</v>
      </c>
    </row>
    <row r="961" spans="1:77" x14ac:dyDescent="0.2">
      <c r="A961" t="str">
        <f t="shared" si="63"/>
        <v>2013_06_044</v>
      </c>
      <c r="B961" s="1">
        <v>2013</v>
      </c>
      <c r="C961" s="1">
        <v>6</v>
      </c>
      <c r="D961" s="1">
        <v>44</v>
      </c>
      <c r="E961" t="s">
        <v>13</v>
      </c>
      <c r="G961" s="18">
        <v>1</v>
      </c>
      <c r="H961" s="11" t="str">
        <f t="shared" si="60"/>
        <v>2013_06_044.gif</v>
      </c>
      <c r="L961" s="1" t="b">
        <v>0</v>
      </c>
      <c r="M961" s="1">
        <v>0</v>
      </c>
      <c r="N961" s="26" t="s">
        <v>657</v>
      </c>
      <c r="O961" s="1">
        <v>960</v>
      </c>
      <c r="P961" s="12" t="str">
        <f t="shared" si="62"/>
        <v>Particle Physics</v>
      </c>
      <c r="Q961" s="1">
        <v>5615</v>
      </c>
      <c r="R961" s="1" t="str">
        <f t="shared" si="61"/>
        <v>2013_06</v>
      </c>
      <c r="BW961" s="1">
        <v>1</v>
      </c>
    </row>
    <row r="962" spans="1:77" x14ac:dyDescent="0.2">
      <c r="A962" t="str">
        <f t="shared" si="63"/>
        <v>2013_06_045</v>
      </c>
      <c r="B962" s="1">
        <v>2013</v>
      </c>
      <c r="C962" s="1">
        <v>6</v>
      </c>
      <c r="D962" s="1">
        <v>45</v>
      </c>
      <c r="E962" t="s">
        <v>548</v>
      </c>
      <c r="F962" t="s">
        <v>7</v>
      </c>
      <c r="G962" s="18">
        <v>3</v>
      </c>
      <c r="H962" s="11" t="str">
        <f t="shared" ref="H962:H1018" si="64">HYPERLINK(A962&amp;".gif")</f>
        <v>2013_06_045.gif</v>
      </c>
      <c r="L962" s="1" t="b">
        <v>0</v>
      </c>
      <c r="M962" s="1">
        <v>0</v>
      </c>
      <c r="N962" s="26" t="s">
        <v>657</v>
      </c>
      <c r="O962" s="1">
        <v>961</v>
      </c>
      <c r="P962" s="12" t="str">
        <f t="shared" si="62"/>
        <v>Kinetic Energy,Graph Interpretation</v>
      </c>
      <c r="Q962" s="1">
        <v>5616</v>
      </c>
      <c r="R962" s="1" t="str">
        <f t="shared" si="61"/>
        <v>2013_06</v>
      </c>
      <c r="AZ962" s="1">
        <v>1</v>
      </c>
      <c r="BX962" s="1">
        <v>1</v>
      </c>
    </row>
    <row r="963" spans="1:77" x14ac:dyDescent="0.2">
      <c r="A963" t="str">
        <f t="shared" si="63"/>
        <v>2013_06_046</v>
      </c>
      <c r="B963" s="1">
        <v>2013</v>
      </c>
      <c r="C963" s="1">
        <v>6</v>
      </c>
      <c r="D963" s="1">
        <v>46</v>
      </c>
      <c r="E963" t="s">
        <v>10</v>
      </c>
      <c r="G963" s="18">
        <v>3</v>
      </c>
      <c r="H963" s="11" t="str">
        <f t="shared" si="64"/>
        <v>2013_06_046.gif</v>
      </c>
      <c r="L963" s="1" t="b">
        <v>0</v>
      </c>
      <c r="M963" s="1">
        <v>0</v>
      </c>
      <c r="N963" s="26" t="s">
        <v>657</v>
      </c>
      <c r="O963" s="1">
        <v>962</v>
      </c>
      <c r="P963" s="12" t="str">
        <f t="shared" si="62"/>
        <v>Electric Fields and Potential</v>
      </c>
      <c r="Q963" s="1">
        <v>5617</v>
      </c>
      <c r="R963" s="1" t="str">
        <f t="shared" ref="R963:R1018" si="65">B963&amp;"_"&amp;TEXT(C963,"00")</f>
        <v>2013_06</v>
      </c>
      <c r="BN963" s="1">
        <v>1</v>
      </c>
    </row>
    <row r="964" spans="1:77" x14ac:dyDescent="0.2">
      <c r="A964" t="str">
        <f t="shared" si="63"/>
        <v>2013_06_047</v>
      </c>
      <c r="B964" s="1">
        <v>2013</v>
      </c>
      <c r="C964" s="1">
        <v>6</v>
      </c>
      <c r="D964" s="1">
        <v>47</v>
      </c>
      <c r="E964" t="s">
        <v>548</v>
      </c>
      <c r="F964" t="s">
        <v>5</v>
      </c>
      <c r="G964" s="18">
        <v>4</v>
      </c>
      <c r="H964" s="11" t="str">
        <f t="shared" si="64"/>
        <v>2013_06_047.gif</v>
      </c>
      <c r="L964" s="1" t="b">
        <v>0</v>
      </c>
      <c r="M964" s="1">
        <v>0</v>
      </c>
      <c r="N964" s="26" t="s">
        <v>657</v>
      </c>
      <c r="O964" s="1">
        <v>963</v>
      </c>
      <c r="P964" s="12" t="str">
        <f t="shared" si="62"/>
        <v>Law of Gravity,Mathematical Relationships (Numberless Problems)</v>
      </c>
      <c r="Q964" s="1">
        <v>5618</v>
      </c>
      <c r="R964" s="1" t="str">
        <f t="shared" si="65"/>
        <v>2013_06</v>
      </c>
      <c r="AQ964" s="1">
        <v>1</v>
      </c>
      <c r="BY964" s="1">
        <v>1</v>
      </c>
    </row>
    <row r="965" spans="1:77" x14ac:dyDescent="0.2">
      <c r="A965" t="str">
        <f t="shared" si="63"/>
        <v>2013_06_048</v>
      </c>
      <c r="B965" s="1">
        <v>2013</v>
      </c>
      <c r="C965" s="1">
        <v>6</v>
      </c>
      <c r="D965" s="1">
        <v>48</v>
      </c>
      <c r="E965" t="s">
        <v>8</v>
      </c>
      <c r="G965" s="18">
        <v>4</v>
      </c>
      <c r="H965" s="11" t="str">
        <f t="shared" si="64"/>
        <v>2013_06_048.gif</v>
      </c>
      <c r="L965" s="1" t="b">
        <v>0</v>
      </c>
      <c r="M965" s="1">
        <v>0</v>
      </c>
      <c r="N965" s="26" t="s">
        <v>657</v>
      </c>
      <c r="O965" s="1">
        <v>964</v>
      </c>
      <c r="P965" s="12" t="str">
        <f t="shared" si="62"/>
        <v>Superposition and Standing Waves</v>
      </c>
      <c r="Q965" s="1">
        <v>5619</v>
      </c>
      <c r="R965" s="1" t="str">
        <f t="shared" si="65"/>
        <v>2013_06</v>
      </c>
      <c r="BD965" s="1">
        <v>1</v>
      </c>
    </row>
    <row r="966" spans="1:77" x14ac:dyDescent="0.2">
      <c r="A966" t="str">
        <f t="shared" si="63"/>
        <v>2013_06_049</v>
      </c>
      <c r="B966" s="1">
        <v>2013</v>
      </c>
      <c r="C966" s="1">
        <v>6</v>
      </c>
      <c r="D966" s="1">
        <v>49</v>
      </c>
      <c r="E966" t="s">
        <v>9</v>
      </c>
      <c r="G966" s="18">
        <v>1</v>
      </c>
      <c r="H966" s="11" t="str">
        <f t="shared" si="64"/>
        <v>2013_06_049.gif</v>
      </c>
      <c r="L966" s="1" t="b">
        <v>0</v>
      </c>
      <c r="M966" s="1">
        <v>0</v>
      </c>
      <c r="N966" s="26" t="s">
        <v>657</v>
      </c>
      <c r="O966" s="1">
        <v>965</v>
      </c>
      <c r="P966" s="12" t="str">
        <f t="shared" si="62"/>
        <v>Diffraction</v>
      </c>
      <c r="Q966" s="1">
        <v>5620</v>
      </c>
      <c r="R966" s="1" t="str">
        <f t="shared" si="65"/>
        <v>2013_06</v>
      </c>
      <c r="BG966" s="1">
        <v>1</v>
      </c>
    </row>
    <row r="967" spans="1:77" x14ac:dyDescent="0.2">
      <c r="A967" t="str">
        <f t="shared" si="63"/>
        <v>2013_06_050</v>
      </c>
      <c r="B967" s="1">
        <v>2013</v>
      </c>
      <c r="C967" s="1">
        <v>6</v>
      </c>
      <c r="D967" s="1">
        <v>50</v>
      </c>
      <c r="E967" t="s">
        <v>548</v>
      </c>
      <c r="F967" t="s">
        <v>13</v>
      </c>
      <c r="G967" s="18">
        <v>2</v>
      </c>
      <c r="H967" s="11" t="str">
        <f t="shared" si="64"/>
        <v>2013_06_050.gif</v>
      </c>
      <c r="L967" s="1" t="b">
        <v>0</v>
      </c>
      <c r="M967" s="1">
        <v>0</v>
      </c>
      <c r="N967" s="26" t="s">
        <v>657</v>
      </c>
      <c r="O967" s="1">
        <v>966</v>
      </c>
      <c r="P967" s="12" t="str">
        <f t="shared" si="62"/>
        <v>Energy/Mass Equivalency,Graph Interpretation</v>
      </c>
      <c r="Q967" s="1">
        <v>5621</v>
      </c>
      <c r="R967" s="1" t="str">
        <f t="shared" si="65"/>
        <v>2013_06</v>
      </c>
      <c r="BV967" s="1">
        <v>1</v>
      </c>
      <c r="BX967" s="1">
        <v>1</v>
      </c>
    </row>
    <row r="968" spans="1:77" x14ac:dyDescent="0.2">
      <c r="A968" t="str">
        <f t="shared" si="63"/>
        <v>2014_06_001</v>
      </c>
      <c r="B968" s="1">
        <v>2014</v>
      </c>
      <c r="C968" s="1">
        <v>6</v>
      </c>
      <c r="D968" s="1">
        <v>1</v>
      </c>
      <c r="E968" t="s">
        <v>3</v>
      </c>
      <c r="G968" s="1">
        <v>1</v>
      </c>
      <c r="H968" s="12" t="str">
        <f t="shared" si="64"/>
        <v>2014_06_001.gif</v>
      </c>
      <c r="L968" s="1" t="b">
        <v>0</v>
      </c>
      <c r="M968" s="1">
        <v>0</v>
      </c>
      <c r="N968" s="26" t="s">
        <v>601</v>
      </c>
      <c r="O968" s="1">
        <v>967</v>
      </c>
      <c r="P968" s="12" t="str">
        <f t="shared" si="62"/>
        <v>Vector vs. Scalar</v>
      </c>
      <c r="Q968" s="1">
        <v>5648</v>
      </c>
      <c r="R968" s="1" t="str">
        <f t="shared" si="65"/>
        <v>2014_06</v>
      </c>
      <c r="AF968" s="1">
        <v>1</v>
      </c>
    </row>
    <row r="969" spans="1:77" x14ac:dyDescent="0.2">
      <c r="A969" t="str">
        <f t="shared" si="63"/>
        <v>2014_06_002</v>
      </c>
      <c r="B969" s="1">
        <v>2014</v>
      </c>
      <c r="C969" s="1">
        <v>6</v>
      </c>
      <c r="D969" s="1">
        <v>2</v>
      </c>
      <c r="E969" t="s">
        <v>2</v>
      </c>
      <c r="G969" s="1">
        <v>1</v>
      </c>
      <c r="H969" s="12" t="str">
        <f t="shared" si="64"/>
        <v>2014_06_002.gif</v>
      </c>
      <c r="L969" s="1" t="b">
        <v>0</v>
      </c>
      <c r="M969" s="1">
        <v>0</v>
      </c>
      <c r="N969" s="26" t="s">
        <v>601</v>
      </c>
      <c r="O969" s="1">
        <v>968</v>
      </c>
      <c r="P969" s="12" t="str">
        <f t="shared" si="62"/>
        <v>Horizontal Constant Acceleration Problems</v>
      </c>
      <c r="Q969" s="1">
        <v>5649</v>
      </c>
      <c r="R969" s="1" t="str">
        <f t="shared" si="65"/>
        <v>2014_06</v>
      </c>
      <c r="AB969" s="1">
        <v>1</v>
      </c>
    </row>
    <row r="970" spans="1:77" x14ac:dyDescent="0.2">
      <c r="A970" t="str">
        <f t="shared" si="63"/>
        <v>2014_06_003</v>
      </c>
      <c r="B970" s="1">
        <v>2014</v>
      </c>
      <c r="C970" s="1">
        <v>6</v>
      </c>
      <c r="D970" s="1">
        <v>3</v>
      </c>
      <c r="E970" t="s">
        <v>3</v>
      </c>
      <c r="G970" s="1">
        <v>2</v>
      </c>
      <c r="H970" s="12" t="str">
        <f t="shared" si="64"/>
        <v>2014_06_003.gif</v>
      </c>
      <c r="L970" s="1" t="b">
        <v>0</v>
      </c>
      <c r="M970" s="1">
        <v>0</v>
      </c>
      <c r="N970" s="26" t="s">
        <v>601</v>
      </c>
      <c r="O970" s="1">
        <v>969</v>
      </c>
      <c r="P970" s="12" t="str">
        <f t="shared" si="62"/>
        <v>Vector Components</v>
      </c>
      <c r="Q970" s="26">
        <v>5650</v>
      </c>
      <c r="R970" s="1" t="str">
        <f t="shared" si="65"/>
        <v>2014_06</v>
      </c>
      <c r="AE970" s="1">
        <v>1</v>
      </c>
    </row>
    <row r="971" spans="1:77" x14ac:dyDescent="0.2">
      <c r="A971" t="str">
        <f t="shared" si="63"/>
        <v>2014_06_004</v>
      </c>
      <c r="B971" s="1">
        <v>2014</v>
      </c>
      <c r="C971" s="1">
        <v>6</v>
      </c>
      <c r="D971" s="1">
        <v>4</v>
      </c>
      <c r="E971" t="s">
        <v>2</v>
      </c>
      <c r="G971" s="1">
        <v>3</v>
      </c>
      <c r="H971" s="12" t="str">
        <f t="shared" si="64"/>
        <v>2014_06_004.gif</v>
      </c>
      <c r="L971" s="1" t="b">
        <v>0</v>
      </c>
      <c r="M971" s="1">
        <v>0</v>
      </c>
      <c r="N971" s="26" t="s">
        <v>601</v>
      </c>
      <c r="O971" s="1">
        <v>970</v>
      </c>
      <c r="P971" s="12" t="str">
        <f t="shared" ref="P971:P1016" si="66">concatenateif(U971:DI971,1,$U$1:$DI$1)</f>
        <v>Vertical Constant Acceleration Problems</v>
      </c>
      <c r="Q971" s="1">
        <v>5651</v>
      </c>
      <c r="R971" s="1" t="str">
        <f t="shared" si="65"/>
        <v>2014_06</v>
      </c>
      <c r="AC971" s="1">
        <v>1</v>
      </c>
    </row>
    <row r="972" spans="1:77" x14ac:dyDescent="0.2">
      <c r="A972" t="str">
        <f t="shared" si="63"/>
        <v>2014_06_005</v>
      </c>
      <c r="B972" s="1">
        <v>2014</v>
      </c>
      <c r="C972" s="1">
        <v>6</v>
      </c>
      <c r="D972" s="1">
        <v>5</v>
      </c>
      <c r="E972" t="s">
        <v>6</v>
      </c>
      <c r="G972" s="1">
        <v>1</v>
      </c>
      <c r="H972" s="12" t="str">
        <f t="shared" si="64"/>
        <v>2014_06_005.gif</v>
      </c>
      <c r="L972" s="1" t="b">
        <v>0</v>
      </c>
      <c r="M972" s="1">
        <v>0</v>
      </c>
      <c r="N972" s="26" t="s">
        <v>601</v>
      </c>
      <c r="O972" s="1">
        <v>971</v>
      </c>
      <c r="P972" s="12" t="str">
        <f t="shared" si="66"/>
        <v>Newton's 3rd Law (Equal But Opposite)</v>
      </c>
      <c r="Q972" s="1">
        <v>5652</v>
      </c>
      <c r="R972" s="1" t="str">
        <f t="shared" si="65"/>
        <v>2014_06</v>
      </c>
      <c r="AW972" s="1">
        <v>1</v>
      </c>
    </row>
    <row r="973" spans="1:77" x14ac:dyDescent="0.2">
      <c r="A973" t="str">
        <f t="shared" si="63"/>
        <v>2014_06_006</v>
      </c>
      <c r="B973" s="1">
        <v>2014</v>
      </c>
      <c r="C973" s="1">
        <v>6</v>
      </c>
      <c r="D973" s="1">
        <v>6</v>
      </c>
      <c r="E973" t="s">
        <v>5</v>
      </c>
      <c r="G973" s="1">
        <v>3</v>
      </c>
      <c r="H973" s="12" t="str">
        <f t="shared" si="64"/>
        <v>2014_06_006.gif</v>
      </c>
      <c r="L973" s="1" t="b">
        <v>0</v>
      </c>
      <c r="M973" s="1">
        <v>0</v>
      </c>
      <c r="N973" s="26" t="s">
        <v>601</v>
      </c>
      <c r="O973" s="1">
        <v>972</v>
      </c>
      <c r="P973" s="12" t="str">
        <f t="shared" si="66"/>
        <v>Law of Gravity</v>
      </c>
      <c r="Q973" s="26">
        <v>5653</v>
      </c>
      <c r="R973" s="1" t="str">
        <f t="shared" si="65"/>
        <v>2014_06</v>
      </c>
      <c r="AQ973" s="1">
        <v>1</v>
      </c>
    </row>
    <row r="974" spans="1:77" x14ac:dyDescent="0.2">
      <c r="A974" t="str">
        <f t="shared" si="63"/>
        <v>2014_06_007</v>
      </c>
      <c r="B974" s="1">
        <v>2014</v>
      </c>
      <c r="C974" s="1">
        <v>6</v>
      </c>
      <c r="D974" s="1">
        <v>7</v>
      </c>
      <c r="E974" t="s">
        <v>2</v>
      </c>
      <c r="G974" s="1">
        <v>4</v>
      </c>
      <c r="H974" s="12" t="str">
        <f t="shared" si="64"/>
        <v>2014_06_007.gif</v>
      </c>
      <c r="L974" s="1" t="b">
        <v>0</v>
      </c>
      <c r="M974" s="1">
        <v>0</v>
      </c>
      <c r="N974" s="26" t="s">
        <v>601</v>
      </c>
      <c r="O974" s="1">
        <v>973</v>
      </c>
      <c r="P974" s="12" t="str">
        <f t="shared" si="66"/>
        <v>Horizontal Constant Acceleration Problems</v>
      </c>
      <c r="Q974" s="1">
        <v>5654</v>
      </c>
      <c r="R974" s="1" t="str">
        <f t="shared" si="65"/>
        <v>2014_06</v>
      </c>
      <c r="AB974" s="1">
        <v>1</v>
      </c>
    </row>
    <row r="975" spans="1:77" x14ac:dyDescent="0.2">
      <c r="A975" t="str">
        <f t="shared" si="63"/>
        <v>2014_06_008</v>
      </c>
      <c r="B975" s="1">
        <v>2014</v>
      </c>
      <c r="C975" s="1">
        <v>6</v>
      </c>
      <c r="D975" s="1">
        <v>8</v>
      </c>
      <c r="E975" t="s">
        <v>5</v>
      </c>
      <c r="G975" s="1">
        <v>2</v>
      </c>
      <c r="H975" s="12" t="str">
        <f t="shared" si="64"/>
        <v>2014_06_008.gif</v>
      </c>
      <c r="L975" s="1" t="b">
        <v>0</v>
      </c>
      <c r="M975" s="1">
        <v>0</v>
      </c>
      <c r="N975" s="26" t="s">
        <v>601</v>
      </c>
      <c r="O975" s="1">
        <v>974</v>
      </c>
      <c r="P975" s="12" t="str">
        <f t="shared" si="66"/>
        <v>Newton's 2nd Law (F=MA)</v>
      </c>
      <c r="Q975" s="1">
        <v>5655</v>
      </c>
      <c r="R975" s="1" t="str">
        <f t="shared" si="65"/>
        <v>2014_06</v>
      </c>
      <c r="AS975" s="1">
        <v>1</v>
      </c>
    </row>
    <row r="976" spans="1:77" x14ac:dyDescent="0.2">
      <c r="A976" t="str">
        <f t="shared" si="63"/>
        <v>2014_06_009</v>
      </c>
      <c r="B976" s="1">
        <v>2014</v>
      </c>
      <c r="C976" s="1">
        <v>6</v>
      </c>
      <c r="D976" s="1">
        <v>9</v>
      </c>
      <c r="E976" t="s">
        <v>6</v>
      </c>
      <c r="G976" s="1">
        <v>2</v>
      </c>
      <c r="H976" s="12" t="str">
        <f t="shared" si="64"/>
        <v>2014_06_009.gif</v>
      </c>
      <c r="L976" s="1" t="b">
        <v>0</v>
      </c>
      <c r="M976" s="1">
        <v>0</v>
      </c>
      <c r="N976" s="26" t="s">
        <v>601</v>
      </c>
      <c r="O976" s="1">
        <v>975</v>
      </c>
      <c r="P976" s="12" t="str">
        <f t="shared" si="66"/>
        <v>Impulse</v>
      </c>
      <c r="Q976" s="26">
        <v>5656</v>
      </c>
      <c r="R976" s="1" t="str">
        <f t="shared" si="65"/>
        <v>2014_06</v>
      </c>
      <c r="AV976" s="1">
        <v>1</v>
      </c>
    </row>
    <row r="977" spans="1:78" x14ac:dyDescent="0.2">
      <c r="A977" t="str">
        <f t="shared" si="63"/>
        <v>2014_06_010</v>
      </c>
      <c r="B977" s="1">
        <v>2014</v>
      </c>
      <c r="C977" s="1">
        <v>6</v>
      </c>
      <c r="D977" s="1">
        <v>10</v>
      </c>
      <c r="E977" t="s">
        <v>6</v>
      </c>
      <c r="G977" s="1">
        <v>1</v>
      </c>
      <c r="H977" s="12" t="str">
        <f t="shared" si="64"/>
        <v>2014_06_010.gif</v>
      </c>
      <c r="L977" s="1" t="b">
        <v>0</v>
      </c>
      <c r="M977" s="1">
        <v>0</v>
      </c>
      <c r="N977" s="26" t="s">
        <v>601</v>
      </c>
      <c r="O977" s="1">
        <v>976</v>
      </c>
      <c r="P977" s="12" t="str">
        <f t="shared" si="66"/>
        <v>Impulse</v>
      </c>
      <c r="Q977" s="1">
        <v>5657</v>
      </c>
      <c r="R977" s="1" t="str">
        <f t="shared" si="65"/>
        <v>2014_06</v>
      </c>
      <c r="AV977" s="1">
        <v>1</v>
      </c>
    </row>
    <row r="978" spans="1:78" x14ac:dyDescent="0.2">
      <c r="A978" t="str">
        <f t="shared" si="63"/>
        <v>2014_06_011</v>
      </c>
      <c r="B978" s="1">
        <v>2014</v>
      </c>
      <c r="C978" s="1">
        <v>6</v>
      </c>
      <c r="D978" s="1">
        <v>11</v>
      </c>
      <c r="E978" t="s">
        <v>12</v>
      </c>
      <c r="F978" t="s">
        <v>10</v>
      </c>
      <c r="G978" s="1">
        <v>3</v>
      </c>
      <c r="H978" s="12" t="str">
        <f t="shared" si="64"/>
        <v>2014_06_011.gif</v>
      </c>
      <c r="L978" s="1" t="b">
        <v>0</v>
      </c>
      <c r="M978" s="1">
        <v>0</v>
      </c>
      <c r="N978" s="26" t="s">
        <v>601</v>
      </c>
      <c r="O978" s="1">
        <v>977</v>
      </c>
      <c r="P978" s="12" t="str">
        <f t="shared" si="66"/>
        <v>Electric Fields and Potential,Magnetism</v>
      </c>
      <c r="Q978" s="1">
        <v>5658</v>
      </c>
      <c r="R978" s="1" t="str">
        <f t="shared" si="65"/>
        <v>2014_06</v>
      </c>
      <c r="BN978" s="1">
        <v>1</v>
      </c>
      <c r="BZ978" s="1">
        <v>1</v>
      </c>
    </row>
    <row r="979" spans="1:78" x14ac:dyDescent="0.2">
      <c r="A979" t="str">
        <f t="shared" si="63"/>
        <v>2014_06_012</v>
      </c>
      <c r="B979" s="1">
        <v>2014</v>
      </c>
      <c r="C979" s="1">
        <v>6</v>
      </c>
      <c r="D979" s="1">
        <v>12</v>
      </c>
      <c r="E979" t="s">
        <v>10</v>
      </c>
      <c r="G979" s="1">
        <v>2</v>
      </c>
      <c r="H979" s="12" t="str">
        <f t="shared" si="64"/>
        <v>2014_06_012.gif</v>
      </c>
      <c r="L979" s="1" t="b">
        <v>0</v>
      </c>
      <c r="M979" s="1">
        <v>0</v>
      </c>
      <c r="N979" s="26" t="s">
        <v>601</v>
      </c>
      <c r="O979" s="1">
        <v>978</v>
      </c>
      <c r="P979" s="12" t="str">
        <f t="shared" si="66"/>
        <v>Electric Fields and Potential</v>
      </c>
      <c r="Q979" s="26">
        <v>5659</v>
      </c>
      <c r="R979" s="1" t="str">
        <f t="shared" si="65"/>
        <v>2014_06</v>
      </c>
      <c r="BN979" s="1">
        <v>1</v>
      </c>
    </row>
    <row r="980" spans="1:78" x14ac:dyDescent="0.2">
      <c r="A980" t="str">
        <f t="shared" si="63"/>
        <v>2014_06_013</v>
      </c>
      <c r="B980" s="1">
        <v>2014</v>
      </c>
      <c r="C980" s="1">
        <v>6</v>
      </c>
      <c r="D980" s="1">
        <v>13</v>
      </c>
      <c r="E980" t="s">
        <v>10</v>
      </c>
      <c r="F980" t="s">
        <v>11</v>
      </c>
      <c r="G980" s="1">
        <v>2</v>
      </c>
      <c r="H980" s="12" t="str">
        <f t="shared" si="64"/>
        <v>2014_06_013.gif</v>
      </c>
      <c r="L980" s="1" t="b">
        <v>0</v>
      </c>
      <c r="M980" s="1">
        <v>0</v>
      </c>
      <c r="N980" s="26" t="s">
        <v>601</v>
      </c>
      <c r="O980" s="1">
        <v>979</v>
      </c>
      <c r="P980" s="12" t="str">
        <f t="shared" si="66"/>
        <v>Electric Fields and Potential</v>
      </c>
      <c r="Q980" s="1">
        <v>5660</v>
      </c>
      <c r="R980" s="1" t="str">
        <f t="shared" si="65"/>
        <v>2014_06</v>
      </c>
      <c r="BN980" s="1">
        <v>1</v>
      </c>
    </row>
    <row r="981" spans="1:78" x14ac:dyDescent="0.2">
      <c r="A981" t="str">
        <f t="shared" si="63"/>
        <v>2014_06_014</v>
      </c>
      <c r="B981" s="1">
        <v>2014</v>
      </c>
      <c r="C981" s="1">
        <v>6</v>
      </c>
      <c r="D981" s="1">
        <v>14</v>
      </c>
      <c r="E981" t="s">
        <v>11</v>
      </c>
      <c r="G981" s="1">
        <v>2</v>
      </c>
      <c r="H981" s="12" t="str">
        <f t="shared" si="64"/>
        <v>2014_06_014.gif</v>
      </c>
      <c r="L981" s="1" t="b">
        <v>0</v>
      </c>
      <c r="M981" s="1">
        <v>0</v>
      </c>
      <c r="N981" s="26" t="s">
        <v>601</v>
      </c>
      <c r="O981" s="1">
        <v>980</v>
      </c>
      <c r="P981" s="12" t="str">
        <f t="shared" si="66"/>
        <v>Resistance of Wire</v>
      </c>
      <c r="Q981" s="1">
        <v>5661</v>
      </c>
      <c r="R981" s="1" t="str">
        <f t="shared" si="65"/>
        <v>2014_06</v>
      </c>
      <c r="BR981" s="1">
        <v>1</v>
      </c>
    </row>
    <row r="982" spans="1:78" x14ac:dyDescent="0.2">
      <c r="A982" t="str">
        <f t="shared" si="63"/>
        <v>2014_06_015</v>
      </c>
      <c r="B982" s="1">
        <v>2014</v>
      </c>
      <c r="C982" s="1">
        <v>6</v>
      </c>
      <c r="D982" s="1">
        <v>15</v>
      </c>
      <c r="E982" t="s">
        <v>7</v>
      </c>
      <c r="G982" s="1">
        <v>3</v>
      </c>
      <c r="H982" s="12" t="str">
        <f t="shared" si="64"/>
        <v>2014_06_015.gif</v>
      </c>
      <c r="L982" s="1" t="b">
        <v>0</v>
      </c>
      <c r="M982" s="1">
        <v>0</v>
      </c>
      <c r="N982" s="26" t="s">
        <v>601</v>
      </c>
      <c r="O982" s="1">
        <v>981</v>
      </c>
      <c r="P982" s="12" t="str">
        <f t="shared" si="66"/>
        <v>Conservation of Energy</v>
      </c>
      <c r="Q982" s="26">
        <v>5662</v>
      </c>
      <c r="R982" s="1" t="str">
        <f t="shared" si="65"/>
        <v>2014_06</v>
      </c>
      <c r="AX982" s="1">
        <v>1</v>
      </c>
    </row>
    <row r="983" spans="1:78" x14ac:dyDescent="0.2">
      <c r="A983" t="str">
        <f t="shared" si="63"/>
        <v>2014_06_016</v>
      </c>
      <c r="B983" s="1">
        <v>2014</v>
      </c>
      <c r="C983" s="1">
        <v>6</v>
      </c>
      <c r="D983" s="1">
        <v>16</v>
      </c>
      <c r="E983" t="s">
        <v>5</v>
      </c>
      <c r="G983" s="1">
        <v>1</v>
      </c>
      <c r="H983" s="12" t="str">
        <f t="shared" si="64"/>
        <v>2014_06_016.gif</v>
      </c>
      <c r="L983" s="1" t="b">
        <v>0</v>
      </c>
      <c r="M983" s="1">
        <v>0</v>
      </c>
      <c r="N983" s="26" t="s">
        <v>601</v>
      </c>
      <c r="O983" s="1">
        <v>982</v>
      </c>
      <c r="P983" s="12" t="str">
        <f t="shared" si="66"/>
        <v>Newton's 1st Law (Inertia)</v>
      </c>
      <c r="Q983" s="1">
        <v>5663</v>
      </c>
      <c r="R983" s="1" t="str">
        <f t="shared" si="65"/>
        <v>2014_06</v>
      </c>
      <c r="AR983" s="1">
        <v>1</v>
      </c>
    </row>
    <row r="984" spans="1:78" x14ac:dyDescent="0.2">
      <c r="A984" t="str">
        <f t="shared" si="63"/>
        <v>2014_06_017</v>
      </c>
      <c r="B984" s="1">
        <v>2014</v>
      </c>
      <c r="C984" s="1">
        <v>6</v>
      </c>
      <c r="D984" s="1">
        <v>17</v>
      </c>
      <c r="E984" t="s">
        <v>8</v>
      </c>
      <c r="G984" s="1">
        <v>4</v>
      </c>
      <c r="H984" s="12" t="str">
        <f t="shared" si="64"/>
        <v>2014_06_017.gif</v>
      </c>
      <c r="L984" s="1" t="b">
        <v>0</v>
      </c>
      <c r="M984" s="1">
        <v>0</v>
      </c>
      <c r="N984" s="26" t="s">
        <v>601</v>
      </c>
      <c r="O984" s="1">
        <v>983</v>
      </c>
      <c r="P984" s="12" t="str">
        <f t="shared" si="66"/>
        <v>Wave Vocabulary</v>
      </c>
      <c r="Q984" s="1">
        <v>5664</v>
      </c>
      <c r="R984" s="1" t="str">
        <f t="shared" si="65"/>
        <v>2014_06</v>
      </c>
      <c r="BF984" s="1">
        <v>1</v>
      </c>
    </row>
    <row r="985" spans="1:78" x14ac:dyDescent="0.2">
      <c r="A985" t="str">
        <f t="shared" si="63"/>
        <v>2014_06_018</v>
      </c>
      <c r="B985" s="1">
        <v>2014</v>
      </c>
      <c r="C985" s="1">
        <v>6</v>
      </c>
      <c r="D985" s="1">
        <v>18</v>
      </c>
      <c r="E985" t="s">
        <v>9</v>
      </c>
      <c r="G985" s="1">
        <v>2</v>
      </c>
      <c r="H985" s="12" t="str">
        <f t="shared" si="64"/>
        <v>2014_06_018.gif</v>
      </c>
      <c r="L985" s="1" t="b">
        <v>0</v>
      </c>
      <c r="M985" s="1">
        <v>0</v>
      </c>
      <c r="N985" s="26" t="s">
        <v>601</v>
      </c>
      <c r="O985" s="1">
        <v>984</v>
      </c>
      <c r="P985" s="12" t="str">
        <f t="shared" si="66"/>
        <v>Light and Sound</v>
      </c>
      <c r="Q985" s="26">
        <v>5665</v>
      </c>
      <c r="R985" s="1" t="str">
        <f t="shared" si="65"/>
        <v>2014_06</v>
      </c>
      <c r="BI985" s="1">
        <v>1</v>
      </c>
    </row>
    <row r="986" spans="1:78" x14ac:dyDescent="0.2">
      <c r="A986" t="str">
        <f t="shared" si="63"/>
        <v>2014_06_019</v>
      </c>
      <c r="B986" s="1">
        <v>2014</v>
      </c>
      <c r="C986" s="1">
        <v>6</v>
      </c>
      <c r="D986" s="1">
        <v>19</v>
      </c>
      <c r="E986" t="s">
        <v>7</v>
      </c>
      <c r="G986" s="1">
        <v>4</v>
      </c>
      <c r="H986" s="12" t="str">
        <f t="shared" si="64"/>
        <v>2014_06_019.gif</v>
      </c>
      <c r="L986" s="1" t="b">
        <v>0</v>
      </c>
      <c r="M986" s="1">
        <v>0</v>
      </c>
      <c r="N986" s="26" t="s">
        <v>601</v>
      </c>
      <c r="O986" s="1">
        <v>985</v>
      </c>
      <c r="P986" s="12" t="str">
        <f t="shared" si="66"/>
        <v>PE of Spring</v>
      </c>
      <c r="Q986" s="1">
        <v>5666</v>
      </c>
      <c r="R986" s="1" t="str">
        <f t="shared" si="65"/>
        <v>2014_06</v>
      </c>
      <c r="BA986" s="1">
        <v>1</v>
      </c>
    </row>
    <row r="987" spans="1:78" x14ac:dyDescent="0.2">
      <c r="A987" t="str">
        <f t="shared" si="63"/>
        <v>2014_06_020</v>
      </c>
      <c r="B987" s="1">
        <v>2014</v>
      </c>
      <c r="C987" s="1">
        <v>6</v>
      </c>
      <c r="D987" s="1">
        <v>20</v>
      </c>
      <c r="E987" t="s">
        <v>8</v>
      </c>
      <c r="G987" s="1">
        <v>1</v>
      </c>
      <c r="H987" s="12" t="str">
        <f t="shared" si="64"/>
        <v>2014_06_020.gif</v>
      </c>
      <c r="L987" s="1" t="b">
        <v>0</v>
      </c>
      <c r="M987" s="1">
        <v>0</v>
      </c>
      <c r="N987" s="26" t="s">
        <v>601</v>
      </c>
      <c r="O987" s="1">
        <v>986</v>
      </c>
      <c r="P987" s="12" t="str">
        <f t="shared" si="66"/>
        <v>Wave Vocabulary</v>
      </c>
      <c r="Q987" s="1">
        <v>5667</v>
      </c>
      <c r="R987" s="1" t="str">
        <f t="shared" si="65"/>
        <v>2014_06</v>
      </c>
      <c r="BF987" s="1">
        <v>1</v>
      </c>
    </row>
    <row r="988" spans="1:78" x14ac:dyDescent="0.2">
      <c r="A988" t="str">
        <f t="shared" si="63"/>
        <v>2014_06_021</v>
      </c>
      <c r="B988" s="1">
        <v>2014</v>
      </c>
      <c r="C988" s="1">
        <v>6</v>
      </c>
      <c r="D988" s="1">
        <v>21</v>
      </c>
      <c r="E988" t="s">
        <v>8</v>
      </c>
      <c r="G988" s="1">
        <v>4</v>
      </c>
      <c r="H988" s="12" t="str">
        <f t="shared" si="64"/>
        <v>2014_06_021.gif</v>
      </c>
      <c r="L988" s="1" t="b">
        <v>0</v>
      </c>
      <c r="M988" s="1">
        <v>0</v>
      </c>
      <c r="N988" s="26" t="s">
        <v>601</v>
      </c>
      <c r="O988" s="1">
        <v>987</v>
      </c>
      <c r="P988" s="12" t="str">
        <f t="shared" si="66"/>
        <v>Wave Vocabulary</v>
      </c>
      <c r="Q988" s="26">
        <v>5668</v>
      </c>
      <c r="R988" s="1" t="str">
        <f t="shared" si="65"/>
        <v>2014_06</v>
      </c>
      <c r="BF988" s="1">
        <v>1</v>
      </c>
    </row>
    <row r="989" spans="1:78" x14ac:dyDescent="0.2">
      <c r="A989" t="str">
        <f t="shared" si="63"/>
        <v>2014_06_022</v>
      </c>
      <c r="B989" s="1">
        <v>2014</v>
      </c>
      <c r="C989" s="1">
        <v>6</v>
      </c>
      <c r="D989" s="1">
        <v>22</v>
      </c>
      <c r="E989" t="s">
        <v>11</v>
      </c>
      <c r="G989" s="1">
        <v>2</v>
      </c>
      <c r="H989" s="12" t="str">
        <f t="shared" si="64"/>
        <v>2014_06_022.gif</v>
      </c>
      <c r="L989" s="1" t="b">
        <v>0</v>
      </c>
      <c r="M989" s="1">
        <v>0</v>
      </c>
      <c r="N989" s="26" t="s">
        <v>601</v>
      </c>
      <c r="O989" s="1">
        <v>988</v>
      </c>
      <c r="P989" s="12" t="str">
        <f t="shared" si="66"/>
        <v>Electrical Definitions</v>
      </c>
      <c r="Q989" s="1">
        <v>5669</v>
      </c>
      <c r="R989" s="1" t="str">
        <f t="shared" si="65"/>
        <v>2014_06</v>
      </c>
      <c r="BO989" s="1">
        <v>1</v>
      </c>
    </row>
    <row r="990" spans="1:78" x14ac:dyDescent="0.2">
      <c r="A990" t="str">
        <f t="shared" si="63"/>
        <v>2014_06_023</v>
      </c>
      <c r="B990" s="1">
        <v>2014</v>
      </c>
      <c r="C990" s="1">
        <v>6</v>
      </c>
      <c r="D990" s="1">
        <v>23</v>
      </c>
      <c r="E990" t="s">
        <v>8</v>
      </c>
      <c r="G990" s="1">
        <v>4</v>
      </c>
      <c r="H990" s="12" t="str">
        <f t="shared" si="64"/>
        <v>2014_06_023.gif</v>
      </c>
      <c r="L990" s="1" t="b">
        <v>0</v>
      </c>
      <c r="M990" s="1">
        <v>0</v>
      </c>
      <c r="N990" s="26" t="s">
        <v>601</v>
      </c>
      <c r="O990" s="1">
        <v>989</v>
      </c>
      <c r="P990" s="12" t="str">
        <f t="shared" si="66"/>
        <v>V=FxLamda</v>
      </c>
      <c r="Q990" s="1">
        <v>5670</v>
      </c>
      <c r="R990" s="1" t="str">
        <f t="shared" si="65"/>
        <v>2014_06</v>
      </c>
      <c r="BE990" s="1">
        <v>1</v>
      </c>
    </row>
    <row r="991" spans="1:78" x14ac:dyDescent="0.2">
      <c r="A991" t="str">
        <f t="shared" si="63"/>
        <v>2014_06_024</v>
      </c>
      <c r="B991" s="1">
        <v>2014</v>
      </c>
      <c r="C991" s="1">
        <v>6</v>
      </c>
      <c r="D991" s="1">
        <v>24</v>
      </c>
      <c r="E991" t="s">
        <v>8</v>
      </c>
      <c r="F991" t="s">
        <v>9</v>
      </c>
      <c r="G991" s="1">
        <v>1</v>
      </c>
      <c r="H991" s="12" t="str">
        <f t="shared" si="64"/>
        <v>2014_06_024.gif</v>
      </c>
      <c r="L991" s="1" t="b">
        <v>0</v>
      </c>
      <c r="M991" s="1">
        <v>0</v>
      </c>
      <c r="N991" s="26" t="s">
        <v>601</v>
      </c>
      <c r="O991" s="1">
        <v>990</v>
      </c>
      <c r="P991" s="12" t="str">
        <f t="shared" si="66"/>
        <v>Wave Vocabulary,Light and Sound</v>
      </c>
      <c r="Q991" s="26">
        <v>5671</v>
      </c>
      <c r="R991" s="1" t="str">
        <f t="shared" si="65"/>
        <v>2014_06</v>
      </c>
      <c r="BF991" s="1">
        <v>1</v>
      </c>
      <c r="BI991" s="1">
        <v>1</v>
      </c>
    </row>
    <row r="992" spans="1:78" x14ac:dyDescent="0.2">
      <c r="A992" t="str">
        <f t="shared" si="63"/>
        <v>2014_06_025</v>
      </c>
      <c r="B992" s="1">
        <v>2014</v>
      </c>
      <c r="C992" s="1">
        <v>6</v>
      </c>
      <c r="D992" s="1">
        <v>25</v>
      </c>
      <c r="E992" t="s">
        <v>8</v>
      </c>
      <c r="G992" s="1">
        <v>4</v>
      </c>
      <c r="H992" s="12" t="str">
        <f t="shared" si="64"/>
        <v>2014_06_025.gif</v>
      </c>
      <c r="L992" s="1" t="b">
        <v>0</v>
      </c>
      <c r="M992" s="1">
        <v>0</v>
      </c>
      <c r="N992" s="26" t="s">
        <v>601</v>
      </c>
      <c r="O992" s="1">
        <v>991</v>
      </c>
      <c r="P992" s="12" t="str">
        <f t="shared" si="66"/>
        <v>Superposition and Standing Waves</v>
      </c>
      <c r="Q992" s="1">
        <v>5672</v>
      </c>
      <c r="R992" s="1" t="str">
        <f t="shared" si="65"/>
        <v>2014_06</v>
      </c>
      <c r="BD992" s="1">
        <v>1</v>
      </c>
    </row>
    <row r="993" spans="1:77" x14ac:dyDescent="0.2">
      <c r="A993" t="str">
        <f t="shared" si="63"/>
        <v>2014_06_026</v>
      </c>
      <c r="B993" s="1">
        <v>2014</v>
      </c>
      <c r="C993" s="1">
        <v>6</v>
      </c>
      <c r="D993" s="1">
        <v>26</v>
      </c>
      <c r="E993" t="s">
        <v>9</v>
      </c>
      <c r="G993" s="1">
        <v>2</v>
      </c>
      <c r="H993" s="12" t="str">
        <f t="shared" si="64"/>
        <v>2014_06_026.gif</v>
      </c>
      <c r="L993" s="1" t="b">
        <v>0</v>
      </c>
      <c r="M993" s="1">
        <v>0</v>
      </c>
      <c r="N993" s="26" t="s">
        <v>601</v>
      </c>
      <c r="O993" s="1">
        <v>992</v>
      </c>
      <c r="P993" s="12" t="str">
        <f t="shared" si="66"/>
        <v>Doppler Effect</v>
      </c>
      <c r="Q993" s="1">
        <v>5673</v>
      </c>
      <c r="R993" s="1" t="str">
        <f t="shared" si="65"/>
        <v>2014_06</v>
      </c>
      <c r="BH993" s="1">
        <v>1</v>
      </c>
    </row>
    <row r="994" spans="1:77" x14ac:dyDescent="0.2">
      <c r="A994" t="str">
        <f t="shared" si="63"/>
        <v>2014_06_027</v>
      </c>
      <c r="B994" s="1">
        <v>2014</v>
      </c>
      <c r="C994" s="1">
        <v>6</v>
      </c>
      <c r="D994" s="1">
        <v>27</v>
      </c>
      <c r="E994" t="s">
        <v>8</v>
      </c>
      <c r="G994" s="1">
        <v>3</v>
      </c>
      <c r="H994" s="12" t="str">
        <f t="shared" si="64"/>
        <v>2014_06_027.gif</v>
      </c>
      <c r="L994" s="1" t="b">
        <v>0</v>
      </c>
      <c r="M994" s="1">
        <v>0</v>
      </c>
      <c r="N994" s="26" t="s">
        <v>601</v>
      </c>
      <c r="O994" s="1">
        <v>993</v>
      </c>
      <c r="P994" s="12" t="str">
        <f t="shared" si="66"/>
        <v>Resonance</v>
      </c>
      <c r="Q994" s="26">
        <v>5674</v>
      </c>
      <c r="R994" s="1" t="str">
        <f t="shared" si="65"/>
        <v>2014_06</v>
      </c>
      <c r="BC994" s="1">
        <v>1</v>
      </c>
    </row>
    <row r="995" spans="1:77" x14ac:dyDescent="0.2">
      <c r="A995" t="str">
        <f t="shared" si="63"/>
        <v>2014_06_028</v>
      </c>
      <c r="B995" s="1">
        <v>2014</v>
      </c>
      <c r="C995" s="1">
        <v>6</v>
      </c>
      <c r="D995" s="1">
        <v>28</v>
      </c>
      <c r="E995" t="s">
        <v>13</v>
      </c>
      <c r="G995" s="1">
        <v>2</v>
      </c>
      <c r="H995" s="12" t="str">
        <f t="shared" si="64"/>
        <v>2014_06_028.gif</v>
      </c>
      <c r="L995" s="1" t="b">
        <v>0</v>
      </c>
      <c r="M995" s="1">
        <v>0</v>
      </c>
      <c r="N995" s="26" t="s">
        <v>601</v>
      </c>
      <c r="O995" s="1">
        <v>994</v>
      </c>
      <c r="P995" s="12" t="str">
        <f t="shared" si="66"/>
        <v>Particle Physics</v>
      </c>
      <c r="Q995" s="1">
        <v>5675</v>
      </c>
      <c r="R995" s="1" t="str">
        <f t="shared" si="65"/>
        <v>2014_06</v>
      </c>
      <c r="BW995" s="1">
        <v>1</v>
      </c>
    </row>
    <row r="996" spans="1:77" x14ac:dyDescent="0.2">
      <c r="A996" t="str">
        <f t="shared" ref="A996:A1018" si="67">B996&amp;"_0"&amp;C996&amp;"_"&amp;TEXT(D996,"000")</f>
        <v>2014_06_029</v>
      </c>
      <c r="B996" s="1">
        <v>2014</v>
      </c>
      <c r="C996" s="1">
        <v>6</v>
      </c>
      <c r="D996" s="1">
        <v>29</v>
      </c>
      <c r="E996" t="s">
        <v>13</v>
      </c>
      <c r="G996" s="1">
        <v>1</v>
      </c>
      <c r="H996" s="12" t="str">
        <f t="shared" si="64"/>
        <v>2014_06_029.gif</v>
      </c>
      <c r="L996" s="1" t="b">
        <v>0</v>
      </c>
      <c r="M996" s="1">
        <v>0</v>
      </c>
      <c r="N996" s="26" t="s">
        <v>601</v>
      </c>
      <c r="O996" s="1">
        <v>995</v>
      </c>
      <c r="P996" s="12" t="str">
        <f t="shared" si="66"/>
        <v>Particle Physics</v>
      </c>
      <c r="Q996" s="1">
        <v>5676</v>
      </c>
      <c r="R996" s="1" t="str">
        <f t="shared" si="65"/>
        <v>2014_06</v>
      </c>
      <c r="BW996" s="1">
        <v>1</v>
      </c>
    </row>
    <row r="997" spans="1:77" x14ac:dyDescent="0.2">
      <c r="A997" t="str">
        <f t="shared" si="67"/>
        <v>2014_06_030</v>
      </c>
      <c r="B997" s="1">
        <v>2014</v>
      </c>
      <c r="C997" s="1">
        <v>6</v>
      </c>
      <c r="D997" s="1">
        <v>30</v>
      </c>
      <c r="E997" t="s">
        <v>13</v>
      </c>
      <c r="G997" s="1">
        <v>2</v>
      </c>
      <c r="H997" s="12" t="str">
        <f t="shared" si="64"/>
        <v>2014_06_030.gif</v>
      </c>
      <c r="L997" s="1" t="b">
        <v>0</v>
      </c>
      <c r="M997" s="1">
        <v>0</v>
      </c>
      <c r="N997" s="26" t="s">
        <v>601</v>
      </c>
      <c r="O997" s="1">
        <v>996</v>
      </c>
      <c r="P997" s="12" t="str">
        <f t="shared" si="66"/>
        <v>Energy/Mass Equivalency</v>
      </c>
      <c r="Q997" s="26">
        <v>5677</v>
      </c>
      <c r="R997" s="1" t="str">
        <f t="shared" si="65"/>
        <v>2014_06</v>
      </c>
      <c r="BV997" s="1">
        <v>1</v>
      </c>
    </row>
    <row r="998" spans="1:77" x14ac:dyDescent="0.2">
      <c r="A998" t="str">
        <f t="shared" si="67"/>
        <v>2014_06_031</v>
      </c>
      <c r="B998" s="1">
        <v>2014</v>
      </c>
      <c r="C998" s="1">
        <v>6</v>
      </c>
      <c r="D998" s="1">
        <v>31</v>
      </c>
      <c r="E998" t="s">
        <v>7</v>
      </c>
      <c r="G998" s="1">
        <v>3</v>
      </c>
      <c r="H998" s="12" t="str">
        <f t="shared" si="64"/>
        <v>2014_06_031.gif</v>
      </c>
      <c r="L998" s="1" t="b">
        <v>0</v>
      </c>
      <c r="M998" s="1">
        <v>0</v>
      </c>
      <c r="N998" s="26" t="s">
        <v>601</v>
      </c>
      <c r="O998" s="1">
        <v>997</v>
      </c>
      <c r="P998" s="12" t="str">
        <f t="shared" si="66"/>
        <v>Conservation of Energy</v>
      </c>
      <c r="Q998" s="1">
        <v>5678</v>
      </c>
      <c r="R998" s="1" t="str">
        <f t="shared" si="65"/>
        <v>2014_06</v>
      </c>
      <c r="AX998" s="1">
        <v>1</v>
      </c>
    </row>
    <row r="999" spans="1:77" x14ac:dyDescent="0.2">
      <c r="A999" t="str">
        <f t="shared" si="67"/>
        <v>2014_06_032</v>
      </c>
      <c r="B999" s="1">
        <v>2014</v>
      </c>
      <c r="C999" s="1">
        <v>6</v>
      </c>
      <c r="D999" s="1">
        <v>32</v>
      </c>
      <c r="E999" t="s">
        <v>10</v>
      </c>
      <c r="G999" s="1">
        <v>4</v>
      </c>
      <c r="H999" s="12" t="str">
        <f t="shared" si="64"/>
        <v>2014_06_032.gif</v>
      </c>
      <c r="L999" s="1" t="b">
        <v>0</v>
      </c>
      <c r="M999" s="1">
        <v>0</v>
      </c>
      <c r="N999" s="26" t="s">
        <v>601</v>
      </c>
      <c r="O999" s="1">
        <v>998</v>
      </c>
      <c r="P999" s="12" t="str">
        <f t="shared" si="66"/>
        <v>Induction, Conduction, Polarization</v>
      </c>
      <c r="Q999" s="1">
        <v>5679</v>
      </c>
      <c r="R999" s="1" t="str">
        <f t="shared" si="65"/>
        <v>2014_06</v>
      </c>
      <c r="BM999" s="1">
        <v>1</v>
      </c>
    </row>
    <row r="1000" spans="1:77" x14ac:dyDescent="0.2">
      <c r="A1000" t="str">
        <f t="shared" si="67"/>
        <v>2014_06_033</v>
      </c>
      <c r="B1000" s="1">
        <v>2014</v>
      </c>
      <c r="C1000" s="1">
        <v>6</v>
      </c>
      <c r="D1000" s="1">
        <v>33</v>
      </c>
      <c r="E1000" t="s">
        <v>10</v>
      </c>
      <c r="F1000" t="s">
        <v>548</v>
      </c>
      <c r="G1000" s="1">
        <v>3</v>
      </c>
      <c r="H1000" s="12" t="str">
        <f t="shared" si="64"/>
        <v>2014_06_033.gif</v>
      </c>
      <c r="L1000" s="1" t="b">
        <v>0</v>
      </c>
      <c r="M1000" s="1">
        <v>0</v>
      </c>
      <c r="N1000" s="26" t="s">
        <v>601</v>
      </c>
      <c r="O1000" s="1">
        <v>999</v>
      </c>
      <c r="P1000" s="12" t="str">
        <f t="shared" si="66"/>
        <v>Electric Fields and Potential,Mathematical Relationships (Numberless Problems)</v>
      </c>
      <c r="Q1000" s="26">
        <v>5680</v>
      </c>
      <c r="R1000" s="1" t="str">
        <f t="shared" si="65"/>
        <v>2014_06</v>
      </c>
      <c r="BN1000" s="1">
        <v>1</v>
      </c>
      <c r="BY1000" s="1">
        <v>1</v>
      </c>
    </row>
    <row r="1001" spans="1:77" x14ac:dyDescent="0.2">
      <c r="A1001" t="str">
        <f t="shared" si="67"/>
        <v>2014_06_034</v>
      </c>
      <c r="B1001" s="1">
        <v>2014</v>
      </c>
      <c r="C1001" s="1">
        <v>6</v>
      </c>
      <c r="D1001" s="1">
        <v>34</v>
      </c>
      <c r="E1001" t="s">
        <v>8</v>
      </c>
      <c r="G1001" s="1">
        <v>1</v>
      </c>
      <c r="H1001" s="12" t="str">
        <f t="shared" si="64"/>
        <v>2014_06_034.gif</v>
      </c>
      <c r="L1001" s="1" t="b">
        <v>0</v>
      </c>
      <c r="M1001" s="1">
        <v>0</v>
      </c>
      <c r="N1001" s="26" t="s">
        <v>601</v>
      </c>
      <c r="O1001" s="1">
        <v>1000</v>
      </c>
      <c r="P1001" s="12" t="str">
        <f t="shared" si="66"/>
        <v>Wave Vocabulary</v>
      </c>
      <c r="Q1001" s="1">
        <v>5681</v>
      </c>
      <c r="R1001" s="1" t="str">
        <f t="shared" si="65"/>
        <v>2014_06</v>
      </c>
      <c r="BF1001" s="1">
        <v>1</v>
      </c>
    </row>
    <row r="1002" spans="1:77" x14ac:dyDescent="0.2">
      <c r="A1002" t="str">
        <f t="shared" si="67"/>
        <v>2014_06_035</v>
      </c>
      <c r="B1002" s="1">
        <v>2014</v>
      </c>
      <c r="C1002" s="1">
        <v>6</v>
      </c>
      <c r="D1002" s="1">
        <v>35</v>
      </c>
      <c r="E1002" t="s">
        <v>8</v>
      </c>
      <c r="G1002" s="1">
        <v>1</v>
      </c>
      <c r="H1002" s="12" t="str">
        <f t="shared" si="64"/>
        <v>2014_06_035.gif</v>
      </c>
      <c r="L1002" s="1" t="b">
        <v>0</v>
      </c>
      <c r="M1002" s="1">
        <v>0</v>
      </c>
      <c r="N1002" s="26" t="s">
        <v>601</v>
      </c>
      <c r="O1002" s="1">
        <v>1001</v>
      </c>
      <c r="P1002" s="12" t="str">
        <f t="shared" si="66"/>
        <v>Wave Vocabulary</v>
      </c>
      <c r="Q1002" s="1">
        <v>5682</v>
      </c>
      <c r="R1002" s="1" t="str">
        <f t="shared" si="65"/>
        <v>2014_06</v>
      </c>
      <c r="BF1002" s="1">
        <v>1</v>
      </c>
    </row>
    <row r="1003" spans="1:77" x14ac:dyDescent="0.2">
      <c r="A1003" t="str">
        <f t="shared" si="67"/>
        <v>2014_06_036</v>
      </c>
      <c r="B1003" s="1">
        <v>2014</v>
      </c>
      <c r="C1003" s="1">
        <v>6</v>
      </c>
      <c r="D1003" s="1">
        <v>36</v>
      </c>
      <c r="E1003" t="s">
        <v>1</v>
      </c>
      <c r="G1003" s="1">
        <v>3</v>
      </c>
      <c r="H1003" s="12" t="str">
        <f t="shared" si="64"/>
        <v>2014_06_036.gif</v>
      </c>
      <c r="L1003" s="1" t="b">
        <v>0</v>
      </c>
      <c r="M1003" s="1">
        <v>0</v>
      </c>
      <c r="N1003" s="26" t="s">
        <v>657</v>
      </c>
      <c r="O1003" s="1">
        <v>1002</v>
      </c>
      <c r="P1003" s="12" t="str">
        <f t="shared" si="66"/>
        <v>Estimation</v>
      </c>
      <c r="Q1003" s="26">
        <v>5683</v>
      </c>
      <c r="R1003" s="1" t="str">
        <f t="shared" si="65"/>
        <v>2014_06</v>
      </c>
      <c r="U1003" s="1">
        <v>1</v>
      </c>
    </row>
    <row r="1004" spans="1:77" x14ac:dyDescent="0.2">
      <c r="A1004" t="str">
        <f t="shared" si="67"/>
        <v>2014_06_037</v>
      </c>
      <c r="B1004" s="1">
        <v>2014</v>
      </c>
      <c r="C1004" s="1">
        <v>6</v>
      </c>
      <c r="D1004" s="1">
        <v>37</v>
      </c>
      <c r="E1004" t="s">
        <v>10</v>
      </c>
      <c r="G1004" s="1">
        <v>2</v>
      </c>
      <c r="H1004" s="12" t="str">
        <f t="shared" si="64"/>
        <v>2014_06_037.gif</v>
      </c>
      <c r="L1004" s="1" t="b">
        <v>0</v>
      </c>
      <c r="M1004" s="1">
        <v>0</v>
      </c>
      <c r="N1004" s="26" t="s">
        <v>657</v>
      </c>
      <c r="O1004" s="1">
        <v>1003</v>
      </c>
      <c r="P1004" s="12" t="str">
        <f t="shared" si="66"/>
        <v>Conservation of Charge,Induction, Conduction, Polarization</v>
      </c>
      <c r="Q1004" s="1">
        <v>5684</v>
      </c>
      <c r="R1004" s="1" t="str">
        <f t="shared" si="65"/>
        <v>2014_06</v>
      </c>
      <c r="BK1004" s="1">
        <v>1</v>
      </c>
      <c r="BM1004" s="1">
        <v>1</v>
      </c>
    </row>
    <row r="1005" spans="1:77" x14ac:dyDescent="0.2">
      <c r="A1005" t="str">
        <f t="shared" si="67"/>
        <v>2014_06_038</v>
      </c>
      <c r="B1005" s="1">
        <v>2014</v>
      </c>
      <c r="C1005" s="1">
        <v>6</v>
      </c>
      <c r="D1005" s="1">
        <v>38</v>
      </c>
      <c r="E1005" t="s">
        <v>4</v>
      </c>
      <c r="G1005" s="1">
        <v>3</v>
      </c>
      <c r="H1005" s="12" t="str">
        <f t="shared" si="64"/>
        <v>2014_06_038.gif</v>
      </c>
      <c r="L1005" s="1" t="b">
        <v>0</v>
      </c>
      <c r="M1005" s="1">
        <v>0</v>
      </c>
      <c r="N1005" s="26" t="s">
        <v>657</v>
      </c>
      <c r="O1005" s="1">
        <v>1004</v>
      </c>
      <c r="P1005" s="12" t="str">
        <f t="shared" si="66"/>
        <v>Centripetal Motion - Calculation</v>
      </c>
      <c r="Q1005" s="1">
        <v>5685</v>
      </c>
      <c r="R1005" s="1" t="str">
        <f t="shared" si="65"/>
        <v>2014_06</v>
      </c>
      <c r="AM1005" s="1">
        <v>1</v>
      </c>
    </row>
    <row r="1006" spans="1:77" x14ac:dyDescent="0.2">
      <c r="A1006" t="str">
        <f t="shared" si="67"/>
        <v>2014_06_039</v>
      </c>
      <c r="B1006" s="1">
        <v>2014</v>
      </c>
      <c r="C1006" s="1">
        <v>6</v>
      </c>
      <c r="D1006" s="1">
        <v>39</v>
      </c>
      <c r="E1006" t="s">
        <v>1</v>
      </c>
      <c r="F1006" t="s">
        <v>11</v>
      </c>
      <c r="G1006" s="1">
        <v>3</v>
      </c>
      <c r="H1006" s="12" t="str">
        <f t="shared" si="64"/>
        <v>2014_06_039.gif</v>
      </c>
      <c r="L1006" s="1" t="b">
        <v>0</v>
      </c>
      <c r="M1006" s="1">
        <v>0</v>
      </c>
      <c r="N1006" s="26" t="s">
        <v>657</v>
      </c>
      <c r="O1006" s="1">
        <v>1005</v>
      </c>
      <c r="P1006" s="12" t="str">
        <f t="shared" si="66"/>
        <v>Units,Electrical Power</v>
      </c>
      <c r="Q1006" s="26">
        <v>5686</v>
      </c>
      <c r="R1006" s="1" t="str">
        <f t="shared" si="65"/>
        <v>2014_06</v>
      </c>
      <c r="V1006" s="1">
        <v>1</v>
      </c>
      <c r="BP1006" s="1">
        <v>1</v>
      </c>
    </row>
    <row r="1007" spans="1:77" x14ac:dyDescent="0.2">
      <c r="A1007" t="str">
        <f t="shared" si="67"/>
        <v>2014_06_040</v>
      </c>
      <c r="B1007" s="1">
        <v>2014</v>
      </c>
      <c r="C1007" s="1">
        <v>6</v>
      </c>
      <c r="D1007" s="1">
        <v>40</v>
      </c>
      <c r="E1007" t="s">
        <v>7</v>
      </c>
      <c r="G1007" s="1">
        <v>1</v>
      </c>
      <c r="H1007" s="12" t="str">
        <f t="shared" si="64"/>
        <v>2014_06_040.gif</v>
      </c>
      <c r="L1007" s="1" t="b">
        <v>0</v>
      </c>
      <c r="M1007" s="1">
        <v>0</v>
      </c>
      <c r="N1007" s="26" t="s">
        <v>657</v>
      </c>
      <c r="O1007" s="1">
        <v>1006</v>
      </c>
      <c r="P1007" s="12" t="str">
        <f t="shared" si="66"/>
        <v>Work/Power</v>
      </c>
      <c r="Q1007" s="1">
        <v>5687</v>
      </c>
      <c r="R1007" s="1" t="str">
        <f t="shared" si="65"/>
        <v>2014_06</v>
      </c>
      <c r="BB1007" s="1">
        <v>1</v>
      </c>
    </row>
    <row r="1008" spans="1:77" x14ac:dyDescent="0.2">
      <c r="A1008" t="str">
        <f t="shared" si="67"/>
        <v>2014_06_041</v>
      </c>
      <c r="B1008" s="1">
        <v>2014</v>
      </c>
      <c r="C1008" s="1">
        <v>6</v>
      </c>
      <c r="D1008" s="1">
        <v>41</v>
      </c>
      <c r="E1008" t="s">
        <v>9</v>
      </c>
      <c r="F1008" t="s">
        <v>548</v>
      </c>
      <c r="G1008" s="1">
        <v>2</v>
      </c>
      <c r="H1008" s="12" t="str">
        <f t="shared" si="64"/>
        <v>2014_06_041.gif</v>
      </c>
      <c r="L1008" s="1" t="b">
        <v>0</v>
      </c>
      <c r="M1008" s="1">
        <v>0</v>
      </c>
      <c r="N1008" s="26" t="s">
        <v>657</v>
      </c>
      <c r="O1008" s="1">
        <v>1007</v>
      </c>
      <c r="P1008" s="12" t="str">
        <f t="shared" si="66"/>
        <v>Refraction and Snell's Law,Graph Interpretation</v>
      </c>
      <c r="Q1008" s="1">
        <v>5688</v>
      </c>
      <c r="R1008" s="1" t="str">
        <f t="shared" si="65"/>
        <v>2014_06</v>
      </c>
      <c r="BJ1008" s="1">
        <v>1</v>
      </c>
      <c r="BX1008" s="1">
        <v>1</v>
      </c>
    </row>
    <row r="1009" spans="1:76" x14ac:dyDescent="0.2">
      <c r="A1009" t="str">
        <f t="shared" si="67"/>
        <v>2014_06_042</v>
      </c>
      <c r="B1009" s="1">
        <v>2014</v>
      </c>
      <c r="C1009" s="1">
        <v>6</v>
      </c>
      <c r="D1009" s="1">
        <v>42</v>
      </c>
      <c r="E1009" t="s">
        <v>7</v>
      </c>
      <c r="G1009" s="1">
        <v>1</v>
      </c>
      <c r="H1009" s="12" t="str">
        <f t="shared" si="64"/>
        <v>2014_06_042.gif</v>
      </c>
      <c r="L1009" s="1" t="b">
        <v>0</v>
      </c>
      <c r="M1009" s="1">
        <v>0</v>
      </c>
      <c r="N1009" s="26" t="s">
        <v>657</v>
      </c>
      <c r="O1009" s="1">
        <v>1008</v>
      </c>
      <c r="P1009" s="12" t="str">
        <f t="shared" si="66"/>
        <v>Conservation of Energy</v>
      </c>
      <c r="Q1009" s="26">
        <v>5689</v>
      </c>
      <c r="R1009" s="1" t="str">
        <f t="shared" si="65"/>
        <v>2014_06</v>
      </c>
      <c r="AX1009" s="1">
        <v>1</v>
      </c>
    </row>
    <row r="1010" spans="1:76" x14ac:dyDescent="0.2">
      <c r="A1010" t="str">
        <f t="shared" si="67"/>
        <v>2014_06_043</v>
      </c>
      <c r="B1010" s="1">
        <v>2014</v>
      </c>
      <c r="C1010" s="1">
        <v>6</v>
      </c>
      <c r="D1010" s="1">
        <v>43</v>
      </c>
      <c r="E1010" t="s">
        <v>13</v>
      </c>
      <c r="G1010" s="1">
        <v>3</v>
      </c>
      <c r="H1010" s="12" t="str">
        <f t="shared" si="64"/>
        <v>2014_06_043.gif</v>
      </c>
      <c r="L1010" s="1" t="b">
        <v>0</v>
      </c>
      <c r="M1010" s="1">
        <v>0</v>
      </c>
      <c r="N1010" s="26" t="s">
        <v>657</v>
      </c>
      <c r="O1010" s="1">
        <v>1009</v>
      </c>
      <c r="P1010" s="12" t="str">
        <f t="shared" si="66"/>
        <v>Energy/Frequency of Photon</v>
      </c>
      <c r="Q1010" s="1">
        <v>5690</v>
      </c>
      <c r="R1010" s="1" t="str">
        <f t="shared" si="65"/>
        <v>2014_06</v>
      </c>
      <c r="BU1010" s="1">
        <v>1</v>
      </c>
    </row>
    <row r="1011" spans="1:76" x14ac:dyDescent="0.2">
      <c r="A1011" t="str">
        <f t="shared" si="67"/>
        <v>2014_06_044</v>
      </c>
      <c r="B1011" s="1">
        <v>2014</v>
      </c>
      <c r="C1011" s="1">
        <v>6</v>
      </c>
      <c r="D1011" s="1">
        <v>44</v>
      </c>
      <c r="E1011" t="s">
        <v>5</v>
      </c>
      <c r="F1011" t="s">
        <v>548</v>
      </c>
      <c r="G1011" s="1">
        <v>4</v>
      </c>
      <c r="H1011" s="12" t="str">
        <f t="shared" si="64"/>
        <v>2014_06_044.gif</v>
      </c>
      <c r="L1011" s="1" t="b">
        <v>0</v>
      </c>
      <c r="M1011" s="1">
        <v>0</v>
      </c>
      <c r="N1011" s="26" t="s">
        <v>657</v>
      </c>
      <c r="O1011" s="1">
        <v>1010</v>
      </c>
      <c r="P1011" s="12" t="str">
        <f t="shared" si="66"/>
        <v>Newton's 2nd Law (F=MA),Graph Interpretation</v>
      </c>
      <c r="Q1011" s="1">
        <v>5691</v>
      </c>
      <c r="R1011" s="1" t="str">
        <f t="shared" si="65"/>
        <v>2014_06</v>
      </c>
      <c r="AS1011" s="1">
        <v>1</v>
      </c>
      <c r="BX1011" s="1">
        <v>1</v>
      </c>
    </row>
    <row r="1012" spans="1:76" x14ac:dyDescent="0.2">
      <c r="A1012" t="str">
        <f t="shared" si="67"/>
        <v>2014_06_045</v>
      </c>
      <c r="B1012" s="1">
        <v>2014</v>
      </c>
      <c r="C1012" s="1">
        <v>6</v>
      </c>
      <c r="D1012" s="1">
        <v>45</v>
      </c>
      <c r="E1012" t="s">
        <v>4</v>
      </c>
      <c r="G1012" s="1">
        <v>3</v>
      </c>
      <c r="H1012" s="12" t="str">
        <f t="shared" si="64"/>
        <v>2014_06_045.gif</v>
      </c>
      <c r="L1012" s="1" t="b">
        <v>0</v>
      </c>
      <c r="M1012" s="1">
        <v>0</v>
      </c>
      <c r="N1012" s="26" t="s">
        <v>657</v>
      </c>
      <c r="O1012" s="1">
        <v>1011</v>
      </c>
      <c r="P1012" s="12" t="str">
        <f t="shared" si="66"/>
        <v>Centripetal Motion - Direction F,A,V</v>
      </c>
      <c r="Q1012" s="26">
        <v>5692</v>
      </c>
      <c r="R1012" s="1" t="str">
        <f t="shared" si="65"/>
        <v>2014_06</v>
      </c>
      <c r="AL1012" s="1">
        <v>1</v>
      </c>
    </row>
    <row r="1013" spans="1:76" x14ac:dyDescent="0.2">
      <c r="A1013" t="str">
        <f t="shared" si="67"/>
        <v>2014_06_046</v>
      </c>
      <c r="B1013" s="1">
        <v>2014</v>
      </c>
      <c r="C1013" s="1">
        <v>6</v>
      </c>
      <c r="D1013" s="1">
        <v>46</v>
      </c>
      <c r="E1013" t="s">
        <v>13</v>
      </c>
      <c r="F1013" t="s">
        <v>548</v>
      </c>
      <c r="G1013" s="1">
        <v>1</v>
      </c>
      <c r="H1013" s="12" t="str">
        <f t="shared" si="64"/>
        <v>2014_06_046.gif</v>
      </c>
      <c r="L1013" s="1" t="b">
        <v>0</v>
      </c>
      <c r="M1013" s="1">
        <v>0</v>
      </c>
      <c r="N1013" s="26" t="s">
        <v>657</v>
      </c>
      <c r="O1013" s="1">
        <v>1012</v>
      </c>
      <c r="P1013" s="12" t="str">
        <f t="shared" si="66"/>
        <v>Energy/Frequency of Photon,Graph Interpretation</v>
      </c>
      <c r="Q1013" s="1">
        <v>5693</v>
      </c>
      <c r="R1013" s="1" t="str">
        <f t="shared" si="65"/>
        <v>2014_06</v>
      </c>
      <c r="BU1013" s="1">
        <v>1</v>
      </c>
      <c r="BX1013" s="1">
        <v>1</v>
      </c>
    </row>
    <row r="1014" spans="1:76" x14ac:dyDescent="0.2">
      <c r="A1014" t="str">
        <f t="shared" si="67"/>
        <v>2014_06_047</v>
      </c>
      <c r="B1014" s="1">
        <v>2014</v>
      </c>
      <c r="C1014" s="1">
        <v>6</v>
      </c>
      <c r="D1014" s="1">
        <v>47</v>
      </c>
      <c r="E1014" t="s">
        <v>4</v>
      </c>
      <c r="G1014" s="1">
        <v>4</v>
      </c>
      <c r="H1014" s="12" t="str">
        <f t="shared" si="64"/>
        <v>2014_06_047.gif</v>
      </c>
      <c r="L1014" s="1" t="b">
        <v>0</v>
      </c>
      <c r="M1014" s="1">
        <v>0</v>
      </c>
      <c r="N1014" s="26" t="s">
        <v>657</v>
      </c>
      <c r="O1014" s="1">
        <v>1013</v>
      </c>
      <c r="P1014" s="12" t="str">
        <f t="shared" si="66"/>
        <v>Horizontal Projectile Range</v>
      </c>
      <c r="Q1014" s="1">
        <v>5694</v>
      </c>
      <c r="R1014" s="1" t="str">
        <f t="shared" si="65"/>
        <v>2014_06</v>
      </c>
      <c r="AI1014" s="1">
        <v>1</v>
      </c>
    </row>
    <row r="1015" spans="1:76" x14ac:dyDescent="0.2">
      <c r="A1015" t="str">
        <f t="shared" si="67"/>
        <v>2014_06_048</v>
      </c>
      <c r="B1015" s="1">
        <v>2014</v>
      </c>
      <c r="C1015" s="1">
        <v>6</v>
      </c>
      <c r="D1015" s="1">
        <v>48</v>
      </c>
      <c r="E1015" t="s">
        <v>7</v>
      </c>
      <c r="F1015" t="s">
        <v>548</v>
      </c>
      <c r="G1015" s="1">
        <v>2</v>
      </c>
      <c r="H1015" s="12" t="str">
        <f t="shared" si="64"/>
        <v>2014_06_048.gif</v>
      </c>
      <c r="L1015" s="1" t="b">
        <v>1</v>
      </c>
      <c r="M1015" s="1">
        <v>3</v>
      </c>
      <c r="N1015" s="26" t="s">
        <v>657</v>
      </c>
      <c r="O1015" s="1">
        <v>1014</v>
      </c>
      <c r="P1015" s="12" t="str">
        <f t="shared" si="66"/>
        <v>Work/Power,Graph Interpretation</v>
      </c>
      <c r="Q1015" s="26">
        <v>5695</v>
      </c>
      <c r="R1015" s="1" t="str">
        <f t="shared" si="65"/>
        <v>2014_06</v>
      </c>
      <c r="BB1015" s="1">
        <v>1</v>
      </c>
      <c r="BX1015" s="1">
        <v>1</v>
      </c>
    </row>
    <row r="1016" spans="1:76" x14ac:dyDescent="0.2">
      <c r="A1016" t="str">
        <f t="shared" si="67"/>
        <v>2014_06_049</v>
      </c>
      <c r="B1016" s="1">
        <v>2014</v>
      </c>
      <c r="C1016" s="1">
        <v>6</v>
      </c>
      <c r="D1016" s="1">
        <v>49</v>
      </c>
      <c r="E1016" t="s">
        <v>9</v>
      </c>
      <c r="G1016" s="1">
        <v>2</v>
      </c>
      <c r="H1016" s="12" t="str">
        <f t="shared" si="64"/>
        <v>2014_06_049.gif</v>
      </c>
      <c r="L1016" s="1" t="b">
        <v>0</v>
      </c>
      <c r="M1016" s="1">
        <v>0</v>
      </c>
      <c r="N1016" s="26" t="s">
        <v>657</v>
      </c>
      <c r="O1016" s="1">
        <v>1015</v>
      </c>
      <c r="P1016" s="12" t="str">
        <f t="shared" si="66"/>
        <v>Refraction and Snell's Law</v>
      </c>
      <c r="Q1016" s="1">
        <v>5696</v>
      </c>
      <c r="R1016" s="1" t="str">
        <f t="shared" si="65"/>
        <v>2014_06</v>
      </c>
      <c r="BJ1016" s="1">
        <v>1</v>
      </c>
    </row>
    <row r="1017" spans="1:76" x14ac:dyDescent="0.2">
      <c r="A1017" t="str">
        <f t="shared" si="67"/>
        <v>2014_06_050</v>
      </c>
      <c r="B1017" s="1">
        <v>2014</v>
      </c>
      <c r="C1017" s="1">
        <v>6</v>
      </c>
      <c r="D1017" s="1">
        <v>50</v>
      </c>
      <c r="E1017" t="s">
        <v>11</v>
      </c>
      <c r="F1017" t="s">
        <v>7</v>
      </c>
      <c r="G1017" s="1">
        <v>1</v>
      </c>
      <c r="H1017" s="12" t="str">
        <f t="shared" si="64"/>
        <v>2014_06_050.gif</v>
      </c>
      <c r="L1017" s="1" t="b">
        <v>0</v>
      </c>
      <c r="M1017" s="1">
        <v>0</v>
      </c>
      <c r="N1017" s="26" t="s">
        <v>657</v>
      </c>
      <c r="O1017" s="1">
        <v>1016</v>
      </c>
      <c r="P1017" s="12" t="str">
        <f t="shared" ref="P1017" si="68">concatenateif(U1017:DI1017,1,$U$1:$DI$1)</f>
        <v>Work/Power,Graph Interpretation</v>
      </c>
      <c r="Q1017" s="1">
        <v>5697</v>
      </c>
      <c r="R1017" s="1" t="str">
        <f t="shared" si="65"/>
        <v>2014_06</v>
      </c>
      <c r="BB1017" s="1">
        <v>1</v>
      </c>
      <c r="BX1017" s="1">
        <v>1</v>
      </c>
    </row>
    <row r="1018" spans="1:76" x14ac:dyDescent="0.2">
      <c r="A1018" t="str">
        <f t="shared" si="67"/>
        <v>2015_06_001</v>
      </c>
      <c r="B1018" s="1">
        <v>2015</v>
      </c>
      <c r="C1018" s="1">
        <v>6</v>
      </c>
      <c r="D1018" s="1">
        <v>1</v>
      </c>
      <c r="E1018" t="s">
        <v>3</v>
      </c>
      <c r="G1018" s="1">
        <v>1</v>
      </c>
      <c r="H1018" s="12" t="str">
        <f t="shared" si="64"/>
        <v>2015_06_001.gif</v>
      </c>
      <c r="L1018" s="12" t="b">
        <v>0</v>
      </c>
      <c r="M1018" s="1">
        <v>0</v>
      </c>
      <c r="N1018" s="1" t="s">
        <v>601</v>
      </c>
      <c r="O1018" s="12">
        <v>1017</v>
      </c>
      <c r="Q1018" s="1">
        <v>10</v>
      </c>
      <c r="R1018" s="1" t="str">
        <f t="shared" si="65"/>
        <v>2015_06</v>
      </c>
      <c r="AF1018" s="1">
        <v>1</v>
      </c>
    </row>
    <row r="1019" spans="1:76" x14ac:dyDescent="0.2">
      <c r="A1019" t="str">
        <f t="shared" ref="A1019:A1067" si="69">B1019&amp;"_0"&amp;C1019&amp;"_"&amp;TEXT(D1019,"000")</f>
        <v>2015_06_002</v>
      </c>
      <c r="B1019" s="1">
        <v>2015</v>
      </c>
      <c r="C1019" s="1">
        <v>6</v>
      </c>
      <c r="D1019" s="1">
        <v>2</v>
      </c>
      <c r="E1019" t="s">
        <v>2</v>
      </c>
      <c r="G1019" s="1">
        <v>2</v>
      </c>
      <c r="H1019" s="12" t="str">
        <f t="shared" ref="H1019:H1067" si="70">HYPERLINK(A1019&amp;".gif")</f>
        <v>2015_06_002.gif</v>
      </c>
      <c r="L1019" s="12" t="b">
        <v>0</v>
      </c>
      <c r="M1019" s="1">
        <v>0</v>
      </c>
      <c r="N1019" s="1" t="s">
        <v>601</v>
      </c>
      <c r="O1019" s="12">
        <v>1018</v>
      </c>
      <c r="Q1019" s="1">
        <v>11</v>
      </c>
      <c r="R1019" s="1" t="str">
        <f t="shared" ref="R1019:R1067" si="71">B1019&amp;"_"&amp;TEXT(C1019,"00")</f>
        <v>2015_06</v>
      </c>
      <c r="AC1019" s="1">
        <v>1</v>
      </c>
    </row>
    <row r="1020" spans="1:76" x14ac:dyDescent="0.2">
      <c r="A1020" t="str">
        <f t="shared" si="69"/>
        <v>2015_06_003</v>
      </c>
      <c r="B1020" s="1">
        <v>2015</v>
      </c>
      <c r="C1020" s="1">
        <v>6</v>
      </c>
      <c r="D1020" s="1">
        <v>3</v>
      </c>
      <c r="E1020" t="s">
        <v>3</v>
      </c>
      <c r="G1020" s="1">
        <v>3</v>
      </c>
      <c r="H1020" s="12" t="str">
        <f t="shared" si="70"/>
        <v>2015_06_003.gif</v>
      </c>
      <c r="L1020" s="12" t="b">
        <v>0</v>
      </c>
      <c r="M1020" s="1">
        <v>0</v>
      </c>
      <c r="N1020" s="1" t="s">
        <v>601</v>
      </c>
      <c r="O1020" s="12">
        <v>1019</v>
      </c>
      <c r="Q1020" s="1">
        <v>12</v>
      </c>
      <c r="R1020" s="1" t="str">
        <f t="shared" si="71"/>
        <v>2015_06</v>
      </c>
      <c r="AD1020" s="1">
        <v>1</v>
      </c>
    </row>
    <row r="1021" spans="1:76" x14ac:dyDescent="0.2">
      <c r="A1021" t="str">
        <f t="shared" si="69"/>
        <v>2015_06_004</v>
      </c>
      <c r="B1021" s="1">
        <v>2015</v>
      </c>
      <c r="C1021" s="1">
        <v>6</v>
      </c>
      <c r="D1021" s="1">
        <v>4</v>
      </c>
      <c r="E1021" t="s">
        <v>5</v>
      </c>
      <c r="G1021" s="1">
        <v>1</v>
      </c>
      <c r="H1021" s="12" t="str">
        <f t="shared" si="70"/>
        <v>2015_06_004.gif</v>
      </c>
      <c r="L1021" s="12" t="b">
        <v>0</v>
      </c>
      <c r="M1021" s="1">
        <v>0</v>
      </c>
      <c r="N1021" s="1" t="s">
        <v>601</v>
      </c>
      <c r="O1021" s="12">
        <v>1020</v>
      </c>
      <c r="Q1021" s="1">
        <v>26</v>
      </c>
      <c r="R1021" s="1" t="str">
        <f t="shared" si="71"/>
        <v>2015_06</v>
      </c>
      <c r="AR1021" s="1">
        <v>1</v>
      </c>
      <c r="AS1021" s="1">
        <v>1</v>
      </c>
    </row>
    <row r="1022" spans="1:76" x14ac:dyDescent="0.2">
      <c r="A1022" t="str">
        <f t="shared" si="69"/>
        <v>2015_06_005</v>
      </c>
      <c r="B1022" s="1">
        <v>2015</v>
      </c>
      <c r="C1022" s="1">
        <v>6</v>
      </c>
      <c r="D1022" s="1">
        <v>5</v>
      </c>
      <c r="E1022" t="s">
        <v>2</v>
      </c>
      <c r="F1022" t="s">
        <v>5</v>
      </c>
      <c r="G1022" s="1">
        <v>3</v>
      </c>
      <c r="H1022" s="12" t="str">
        <f t="shared" si="70"/>
        <v>2015_06_005.gif</v>
      </c>
      <c r="L1022" s="12" t="b">
        <v>0</v>
      </c>
      <c r="M1022" s="1">
        <v>0</v>
      </c>
      <c r="N1022" s="1" t="s">
        <v>601</v>
      </c>
      <c r="O1022" s="12">
        <v>1021</v>
      </c>
      <c r="Q1022" s="1">
        <v>39</v>
      </c>
      <c r="R1022" s="1" t="str">
        <f t="shared" si="71"/>
        <v>2015_06</v>
      </c>
      <c r="AC1022" s="1">
        <v>1</v>
      </c>
      <c r="AS1022" s="1">
        <v>1</v>
      </c>
    </row>
    <row r="1023" spans="1:76" x14ac:dyDescent="0.2">
      <c r="A1023" t="str">
        <f t="shared" si="69"/>
        <v>2015_06_006</v>
      </c>
      <c r="B1023" s="1">
        <v>2015</v>
      </c>
      <c r="C1023" s="1">
        <v>6</v>
      </c>
      <c r="D1023" s="1">
        <v>6</v>
      </c>
      <c r="E1023" t="s">
        <v>5</v>
      </c>
      <c r="G1023" s="1">
        <v>2</v>
      </c>
      <c r="H1023" s="12" t="str">
        <f t="shared" si="70"/>
        <v>2015_06_006.gif</v>
      </c>
      <c r="L1023" s="12" t="b">
        <v>0</v>
      </c>
      <c r="M1023" s="1">
        <v>0</v>
      </c>
      <c r="N1023" s="1" t="s">
        <v>601</v>
      </c>
      <c r="O1023" s="12">
        <v>1022</v>
      </c>
      <c r="Q1023" s="1">
        <v>44</v>
      </c>
      <c r="R1023" s="1" t="str">
        <f t="shared" si="71"/>
        <v>2015_06</v>
      </c>
      <c r="AP1023" s="1">
        <v>1</v>
      </c>
    </row>
    <row r="1024" spans="1:76" x14ac:dyDescent="0.2">
      <c r="A1024" t="str">
        <f t="shared" si="69"/>
        <v>2015_06_007</v>
      </c>
      <c r="B1024" s="1">
        <v>2015</v>
      </c>
      <c r="C1024" s="1">
        <v>6</v>
      </c>
      <c r="D1024" s="1">
        <v>7</v>
      </c>
      <c r="E1024" t="s">
        <v>6</v>
      </c>
      <c r="G1024" s="1">
        <v>3</v>
      </c>
      <c r="H1024" s="12" t="str">
        <f t="shared" si="70"/>
        <v>2015_06_007.gif</v>
      </c>
      <c r="L1024" s="12" t="b">
        <v>0</v>
      </c>
      <c r="M1024" s="1">
        <v>0</v>
      </c>
      <c r="N1024" s="1" t="s">
        <v>601</v>
      </c>
      <c r="O1024" s="12">
        <v>1023</v>
      </c>
      <c r="Q1024" s="1">
        <v>49</v>
      </c>
      <c r="R1024" s="1" t="str">
        <f t="shared" si="71"/>
        <v>2015_06</v>
      </c>
      <c r="AV1024" s="1">
        <v>1</v>
      </c>
    </row>
    <row r="1025" spans="1:77" x14ac:dyDescent="0.2">
      <c r="A1025" t="str">
        <f t="shared" si="69"/>
        <v>2015_06_008</v>
      </c>
      <c r="B1025" s="1">
        <v>2015</v>
      </c>
      <c r="C1025" s="1">
        <v>6</v>
      </c>
      <c r="D1025" s="1">
        <v>8</v>
      </c>
      <c r="E1025" t="s">
        <v>9</v>
      </c>
      <c r="G1025" s="1">
        <v>4</v>
      </c>
      <c r="H1025" s="12" t="str">
        <f t="shared" si="70"/>
        <v>2015_06_008.gif</v>
      </c>
      <c r="L1025" s="12" t="b">
        <v>0</v>
      </c>
      <c r="M1025" s="1">
        <v>0</v>
      </c>
      <c r="N1025" s="1" t="s">
        <v>601</v>
      </c>
      <c r="O1025" s="12">
        <v>1024</v>
      </c>
      <c r="Q1025" s="1">
        <v>57</v>
      </c>
      <c r="R1025" s="1" t="str">
        <f t="shared" si="71"/>
        <v>2015_06</v>
      </c>
      <c r="BI1025" s="1">
        <v>1</v>
      </c>
    </row>
    <row r="1026" spans="1:77" x14ac:dyDescent="0.2">
      <c r="A1026" t="str">
        <f t="shared" si="69"/>
        <v>2015_06_009</v>
      </c>
      <c r="B1026" s="1">
        <v>2015</v>
      </c>
      <c r="C1026" s="1">
        <v>6</v>
      </c>
      <c r="D1026" s="1">
        <v>9</v>
      </c>
      <c r="E1026" t="s">
        <v>6</v>
      </c>
      <c r="G1026" s="1">
        <v>2</v>
      </c>
      <c r="H1026" s="12" t="str">
        <f t="shared" si="70"/>
        <v>2015_06_009.gif</v>
      </c>
      <c r="L1026" s="12" t="b">
        <v>0</v>
      </c>
      <c r="M1026" s="1">
        <v>0</v>
      </c>
      <c r="N1026" s="1" t="s">
        <v>601</v>
      </c>
      <c r="O1026" s="12">
        <v>1025</v>
      </c>
      <c r="Q1026" s="1">
        <v>71</v>
      </c>
      <c r="R1026" s="1" t="str">
        <f t="shared" si="71"/>
        <v>2015_06</v>
      </c>
      <c r="AW1026" s="1">
        <v>1</v>
      </c>
    </row>
    <row r="1027" spans="1:77" x14ac:dyDescent="0.2">
      <c r="A1027" t="str">
        <f t="shared" si="69"/>
        <v>2015_06_010</v>
      </c>
      <c r="B1027" s="1">
        <v>2015</v>
      </c>
      <c r="C1027" s="1">
        <v>6</v>
      </c>
      <c r="D1027" s="1">
        <v>10</v>
      </c>
      <c r="E1027" t="s">
        <v>6</v>
      </c>
      <c r="G1027" s="1">
        <v>3</v>
      </c>
      <c r="H1027" s="12" t="str">
        <f t="shared" si="70"/>
        <v>2015_06_010.gif</v>
      </c>
      <c r="L1027" s="12" t="b">
        <v>0</v>
      </c>
      <c r="M1027" s="1">
        <v>0</v>
      </c>
      <c r="N1027" s="1" t="s">
        <v>601</v>
      </c>
      <c r="O1027" s="12">
        <v>1026</v>
      </c>
      <c r="Q1027" s="1">
        <v>75</v>
      </c>
      <c r="R1027" s="1" t="str">
        <f t="shared" si="71"/>
        <v>2015_06</v>
      </c>
      <c r="AU1027" s="1">
        <v>1</v>
      </c>
    </row>
    <row r="1028" spans="1:77" x14ac:dyDescent="0.2">
      <c r="A1028" t="str">
        <f t="shared" si="69"/>
        <v>2015_06_011</v>
      </c>
      <c r="B1028" s="1">
        <v>2015</v>
      </c>
      <c r="C1028" s="1">
        <v>6</v>
      </c>
      <c r="D1028" s="1">
        <v>11</v>
      </c>
      <c r="E1028" t="s">
        <v>5</v>
      </c>
      <c r="G1028" s="1">
        <v>3</v>
      </c>
      <c r="H1028" s="12" t="str">
        <f t="shared" si="70"/>
        <v>2015_06_011.gif</v>
      </c>
      <c r="L1028" s="12" t="b">
        <v>0</v>
      </c>
      <c r="M1028" s="1">
        <v>0</v>
      </c>
      <c r="N1028" s="1" t="s">
        <v>601</v>
      </c>
      <c r="O1028" s="12">
        <v>1027</v>
      </c>
      <c r="Q1028" s="1">
        <v>85</v>
      </c>
      <c r="R1028" s="1" t="str">
        <f t="shared" si="71"/>
        <v>2015_06</v>
      </c>
      <c r="AQ1028" s="1">
        <v>1</v>
      </c>
    </row>
    <row r="1029" spans="1:77" x14ac:dyDescent="0.2">
      <c r="A1029" t="str">
        <f t="shared" si="69"/>
        <v>2015_06_012</v>
      </c>
      <c r="B1029" s="1">
        <v>2015</v>
      </c>
      <c r="C1029" s="1">
        <v>6</v>
      </c>
      <c r="D1029" s="1">
        <v>12</v>
      </c>
      <c r="E1029" t="s">
        <v>10</v>
      </c>
      <c r="F1029" t="s">
        <v>548</v>
      </c>
      <c r="G1029" s="1">
        <v>1</v>
      </c>
      <c r="H1029" s="12" t="str">
        <f t="shared" si="70"/>
        <v>2015_06_012.gif</v>
      </c>
      <c r="L1029" s="12" t="b">
        <v>0</v>
      </c>
      <c r="M1029" s="1">
        <v>0</v>
      </c>
      <c r="N1029" s="1" t="s">
        <v>601</v>
      </c>
      <c r="O1029" s="12">
        <v>1028</v>
      </c>
      <c r="Q1029" s="1">
        <v>97</v>
      </c>
      <c r="R1029" s="1" t="str">
        <f t="shared" si="71"/>
        <v>2015_06</v>
      </c>
      <c r="BL1029" s="1">
        <v>1</v>
      </c>
      <c r="BY1029" s="1">
        <v>1</v>
      </c>
    </row>
    <row r="1030" spans="1:77" x14ac:dyDescent="0.2">
      <c r="A1030" t="str">
        <f t="shared" si="69"/>
        <v>2015_06_013</v>
      </c>
      <c r="B1030" s="1">
        <v>2015</v>
      </c>
      <c r="C1030" s="1">
        <v>6</v>
      </c>
      <c r="D1030" s="1">
        <v>13</v>
      </c>
      <c r="E1030" t="s">
        <v>11</v>
      </c>
      <c r="G1030" s="1">
        <v>1</v>
      </c>
      <c r="H1030" s="12" t="str">
        <f t="shared" si="70"/>
        <v>2015_06_013.gif</v>
      </c>
      <c r="L1030" s="12" t="b">
        <v>0</v>
      </c>
      <c r="M1030" s="1">
        <v>0</v>
      </c>
      <c r="N1030" s="1" t="s">
        <v>601</v>
      </c>
      <c r="O1030" s="12">
        <v>1029</v>
      </c>
      <c r="Q1030" s="1">
        <v>114</v>
      </c>
      <c r="R1030" s="1" t="str">
        <f t="shared" si="71"/>
        <v>2015_06</v>
      </c>
      <c r="BQ1030" s="1">
        <v>1</v>
      </c>
    </row>
    <row r="1031" spans="1:77" x14ac:dyDescent="0.2">
      <c r="A1031" t="str">
        <f t="shared" si="69"/>
        <v>2015_06_014</v>
      </c>
      <c r="B1031" s="1">
        <v>2015</v>
      </c>
      <c r="C1031" s="1">
        <v>6</v>
      </c>
      <c r="D1031" s="1">
        <v>14</v>
      </c>
      <c r="E1031" t="s">
        <v>7</v>
      </c>
      <c r="G1031" s="1">
        <v>1</v>
      </c>
      <c r="H1031" s="12" t="str">
        <f t="shared" si="70"/>
        <v>2015_06_014.gif</v>
      </c>
      <c r="L1031" s="12" t="b">
        <v>0</v>
      </c>
      <c r="M1031" s="1">
        <v>0</v>
      </c>
      <c r="N1031" s="1" t="s">
        <v>601</v>
      </c>
      <c r="O1031" s="12">
        <v>1030</v>
      </c>
      <c r="Q1031" s="1">
        <v>115</v>
      </c>
      <c r="R1031" s="1" t="str">
        <f t="shared" si="71"/>
        <v>2015_06</v>
      </c>
      <c r="AX1031" s="1">
        <v>1</v>
      </c>
    </row>
    <row r="1032" spans="1:77" x14ac:dyDescent="0.2">
      <c r="A1032" t="str">
        <f t="shared" si="69"/>
        <v>2015_06_015</v>
      </c>
      <c r="B1032" s="1">
        <v>2015</v>
      </c>
      <c r="C1032" s="1">
        <v>6</v>
      </c>
      <c r="D1032" s="1">
        <v>15</v>
      </c>
      <c r="E1032" t="s">
        <v>7</v>
      </c>
      <c r="G1032" s="1">
        <v>4</v>
      </c>
      <c r="H1032" s="12" t="str">
        <f t="shared" si="70"/>
        <v>2015_06_015.gif</v>
      </c>
      <c r="L1032" s="12" t="b">
        <v>0</v>
      </c>
      <c r="M1032" s="1">
        <v>0</v>
      </c>
      <c r="N1032" s="1" t="s">
        <v>601</v>
      </c>
      <c r="O1032" s="12">
        <v>1031</v>
      </c>
      <c r="Q1032" s="1">
        <v>116</v>
      </c>
      <c r="R1032" s="1" t="str">
        <f t="shared" si="71"/>
        <v>2015_06</v>
      </c>
      <c r="AX1032" s="1">
        <v>1</v>
      </c>
    </row>
    <row r="1033" spans="1:77" x14ac:dyDescent="0.2">
      <c r="A1033" t="str">
        <f t="shared" si="69"/>
        <v>2015_06_016</v>
      </c>
      <c r="B1033" s="1">
        <v>2015</v>
      </c>
      <c r="C1033" s="1">
        <v>6</v>
      </c>
      <c r="D1033" s="1">
        <v>16</v>
      </c>
      <c r="E1033" t="s">
        <v>11</v>
      </c>
      <c r="F1033" t="s">
        <v>10</v>
      </c>
      <c r="G1033" s="1">
        <v>2</v>
      </c>
      <c r="H1033" s="12" t="str">
        <f t="shared" si="70"/>
        <v>2015_06_016.gif</v>
      </c>
      <c r="L1033" s="12" t="b">
        <v>0</v>
      </c>
      <c r="M1033" s="1">
        <v>0</v>
      </c>
      <c r="N1033" s="1" t="s">
        <v>601</v>
      </c>
      <c r="O1033" s="12">
        <v>1032</v>
      </c>
      <c r="Q1033" s="1">
        <v>121</v>
      </c>
      <c r="R1033" s="1" t="str">
        <f t="shared" si="71"/>
        <v>2015_06</v>
      </c>
      <c r="BN1033" s="1">
        <v>1</v>
      </c>
    </row>
    <row r="1034" spans="1:77" x14ac:dyDescent="0.2">
      <c r="A1034" t="str">
        <f t="shared" si="69"/>
        <v>2015_06_017</v>
      </c>
      <c r="B1034" s="1">
        <v>2015</v>
      </c>
      <c r="C1034" s="1">
        <v>6</v>
      </c>
      <c r="D1034" s="1">
        <v>17</v>
      </c>
      <c r="E1034" t="s">
        <v>11</v>
      </c>
      <c r="G1034" s="1">
        <v>1</v>
      </c>
      <c r="H1034" s="12" t="str">
        <f t="shared" si="70"/>
        <v>2015_06_017.gif</v>
      </c>
      <c r="L1034" s="12" t="b">
        <v>0</v>
      </c>
      <c r="M1034" s="1">
        <v>0</v>
      </c>
      <c r="N1034" s="1" t="s">
        <v>601</v>
      </c>
      <c r="O1034" s="12">
        <v>1033</v>
      </c>
      <c r="Q1034" s="1">
        <v>122</v>
      </c>
      <c r="R1034" s="1" t="str">
        <f t="shared" si="71"/>
        <v>2015_06</v>
      </c>
      <c r="BR1034" s="1">
        <v>1</v>
      </c>
    </row>
    <row r="1035" spans="1:77" x14ac:dyDescent="0.2">
      <c r="A1035" t="str">
        <f t="shared" si="69"/>
        <v>2015_06_018</v>
      </c>
      <c r="B1035" s="1">
        <v>2015</v>
      </c>
      <c r="C1035" s="1">
        <v>6</v>
      </c>
      <c r="D1035" s="1">
        <v>18</v>
      </c>
      <c r="E1035" t="s">
        <v>11</v>
      </c>
      <c r="G1035" s="1">
        <v>4</v>
      </c>
      <c r="H1035" s="12" t="str">
        <f t="shared" si="70"/>
        <v>2015_06_018.gif</v>
      </c>
      <c r="L1035" s="12" t="b">
        <v>0</v>
      </c>
      <c r="M1035" s="1">
        <v>0</v>
      </c>
      <c r="N1035" s="1" t="s">
        <v>601</v>
      </c>
      <c r="O1035" s="12">
        <v>1034</v>
      </c>
      <c r="Q1035" s="1">
        <v>123</v>
      </c>
      <c r="R1035" s="1" t="str">
        <f t="shared" si="71"/>
        <v>2015_06</v>
      </c>
      <c r="BO1035" s="1">
        <v>1</v>
      </c>
    </row>
    <row r="1036" spans="1:77" x14ac:dyDescent="0.2">
      <c r="A1036" t="str">
        <f t="shared" si="69"/>
        <v>2015_06_019</v>
      </c>
      <c r="B1036" s="1">
        <v>2015</v>
      </c>
      <c r="C1036" s="1">
        <v>6</v>
      </c>
      <c r="D1036" s="1">
        <v>19</v>
      </c>
      <c r="E1036" t="s">
        <v>11</v>
      </c>
      <c r="F1036" t="s">
        <v>548</v>
      </c>
      <c r="G1036" s="1">
        <v>1</v>
      </c>
      <c r="H1036" s="12" t="str">
        <f t="shared" si="70"/>
        <v>2015_06_019.gif</v>
      </c>
      <c r="L1036" s="12" t="b">
        <v>0</v>
      </c>
      <c r="M1036" s="1">
        <v>0</v>
      </c>
      <c r="N1036" s="1" t="s">
        <v>601</v>
      </c>
      <c r="O1036" s="12">
        <v>1035</v>
      </c>
      <c r="Q1036" s="1">
        <v>155</v>
      </c>
      <c r="R1036" s="1" t="str">
        <f t="shared" si="71"/>
        <v>2015_06</v>
      </c>
      <c r="BS1036" s="1">
        <v>1</v>
      </c>
      <c r="BY1036" s="1">
        <v>1</v>
      </c>
    </row>
    <row r="1037" spans="1:77" x14ac:dyDescent="0.2">
      <c r="A1037" t="str">
        <f t="shared" si="69"/>
        <v>2015_06_020</v>
      </c>
      <c r="B1037" s="1">
        <v>2015</v>
      </c>
      <c r="C1037" s="1">
        <v>6</v>
      </c>
      <c r="D1037" s="1">
        <v>20</v>
      </c>
      <c r="E1037" t="s">
        <v>9</v>
      </c>
      <c r="G1037" s="1">
        <v>3</v>
      </c>
      <c r="H1037" s="12" t="str">
        <f t="shared" si="70"/>
        <v>2015_06_020.gif</v>
      </c>
      <c r="L1037" s="12" t="b">
        <v>0</v>
      </c>
      <c r="M1037" s="1">
        <v>0</v>
      </c>
      <c r="N1037" s="1" t="s">
        <v>601</v>
      </c>
      <c r="O1037" s="12">
        <v>1036</v>
      </c>
      <c r="Q1037" s="1">
        <v>156</v>
      </c>
      <c r="R1037" s="1" t="str">
        <f t="shared" si="71"/>
        <v>2015_06</v>
      </c>
      <c r="BI1037" s="1">
        <v>1</v>
      </c>
    </row>
    <row r="1038" spans="1:77" x14ac:dyDescent="0.2">
      <c r="A1038" t="str">
        <f t="shared" si="69"/>
        <v>2015_06_021</v>
      </c>
      <c r="B1038" s="1">
        <v>2015</v>
      </c>
      <c r="C1038" s="1">
        <v>6</v>
      </c>
      <c r="D1038" s="1">
        <v>21</v>
      </c>
      <c r="E1038" t="s">
        <v>8</v>
      </c>
      <c r="G1038" s="1">
        <v>2</v>
      </c>
      <c r="H1038" s="12" t="str">
        <f t="shared" si="70"/>
        <v>2015_06_021.gif</v>
      </c>
      <c r="L1038" s="12" t="b">
        <v>0</v>
      </c>
      <c r="M1038" s="1">
        <v>0</v>
      </c>
      <c r="N1038" s="1" t="s">
        <v>601</v>
      </c>
      <c r="O1038" s="12">
        <v>1037</v>
      </c>
      <c r="Q1038" s="1">
        <v>157</v>
      </c>
      <c r="R1038" s="1" t="str">
        <f t="shared" si="71"/>
        <v>2015_06</v>
      </c>
      <c r="BF1038" s="1">
        <v>1</v>
      </c>
    </row>
    <row r="1039" spans="1:77" x14ac:dyDescent="0.2">
      <c r="A1039" t="str">
        <f t="shared" si="69"/>
        <v>2015_06_022</v>
      </c>
      <c r="B1039" s="1">
        <v>2015</v>
      </c>
      <c r="C1039" s="1">
        <v>6</v>
      </c>
      <c r="D1039" s="1">
        <v>22</v>
      </c>
      <c r="E1039" t="s">
        <v>2</v>
      </c>
      <c r="G1039" s="1">
        <v>2</v>
      </c>
      <c r="H1039" s="12" t="str">
        <f t="shared" si="70"/>
        <v>2015_06_022.gif</v>
      </c>
      <c r="L1039" s="12" t="b">
        <v>0</v>
      </c>
      <c r="M1039" s="1">
        <v>0</v>
      </c>
      <c r="N1039" s="1" t="s">
        <v>601</v>
      </c>
      <c r="O1039" s="12">
        <v>1038</v>
      </c>
      <c r="Q1039" s="1">
        <v>177</v>
      </c>
      <c r="R1039" s="1" t="str">
        <f t="shared" si="71"/>
        <v>2015_06</v>
      </c>
      <c r="AC1039" s="1">
        <v>1</v>
      </c>
    </row>
    <row r="1040" spans="1:77" x14ac:dyDescent="0.2">
      <c r="A1040" t="str">
        <f t="shared" si="69"/>
        <v>2015_06_023</v>
      </c>
      <c r="B1040" s="1">
        <v>2015</v>
      </c>
      <c r="C1040" s="1">
        <v>6</v>
      </c>
      <c r="D1040" s="1">
        <v>23</v>
      </c>
      <c r="E1040" t="s">
        <v>9</v>
      </c>
      <c r="G1040" s="1">
        <v>3</v>
      </c>
      <c r="H1040" s="12" t="str">
        <f t="shared" si="70"/>
        <v>2015_06_023.gif</v>
      </c>
      <c r="L1040" s="12" t="b">
        <v>0</v>
      </c>
      <c r="M1040" s="1">
        <v>0</v>
      </c>
      <c r="N1040" s="1" t="s">
        <v>601</v>
      </c>
      <c r="O1040" s="12">
        <v>1039</v>
      </c>
      <c r="Q1040" s="1">
        <v>185</v>
      </c>
      <c r="R1040" s="1" t="str">
        <f t="shared" si="71"/>
        <v>2015_06</v>
      </c>
      <c r="BI1040" s="1">
        <v>1</v>
      </c>
    </row>
    <row r="1041" spans="1:73" x14ac:dyDescent="0.2">
      <c r="A1041" t="str">
        <f t="shared" si="69"/>
        <v>2015_06_024</v>
      </c>
      <c r="B1041" s="1">
        <v>2015</v>
      </c>
      <c r="C1041" s="1">
        <v>6</v>
      </c>
      <c r="D1041" s="1">
        <v>24</v>
      </c>
      <c r="E1041" t="s">
        <v>8</v>
      </c>
      <c r="G1041" s="1">
        <v>2</v>
      </c>
      <c r="H1041" s="12" t="str">
        <f t="shared" si="70"/>
        <v>2015_06_024.gif</v>
      </c>
      <c r="L1041" s="12" t="b">
        <v>0</v>
      </c>
      <c r="M1041" s="1">
        <v>0</v>
      </c>
      <c r="N1041" s="1" t="s">
        <v>601</v>
      </c>
      <c r="O1041" s="12">
        <v>1040</v>
      </c>
      <c r="Q1041" s="1">
        <v>192</v>
      </c>
      <c r="R1041" s="1" t="str">
        <f t="shared" si="71"/>
        <v>2015_06</v>
      </c>
      <c r="BE1041" s="1">
        <v>1</v>
      </c>
    </row>
    <row r="1042" spans="1:73" x14ac:dyDescent="0.2">
      <c r="A1042" t="str">
        <f t="shared" si="69"/>
        <v>2015_06_025</v>
      </c>
      <c r="B1042" s="1">
        <v>2015</v>
      </c>
      <c r="C1042" s="1">
        <v>6</v>
      </c>
      <c r="D1042" s="1">
        <v>25</v>
      </c>
      <c r="E1042" t="s">
        <v>8</v>
      </c>
      <c r="G1042" s="1">
        <v>4</v>
      </c>
      <c r="H1042" s="12" t="str">
        <f t="shared" si="70"/>
        <v>2015_06_025.gif</v>
      </c>
      <c r="L1042" s="12" t="b">
        <v>0</v>
      </c>
      <c r="M1042" s="1">
        <v>0</v>
      </c>
      <c r="N1042" s="1" t="s">
        <v>601</v>
      </c>
      <c r="O1042" s="12">
        <v>1041</v>
      </c>
      <c r="Q1042" s="1">
        <v>251</v>
      </c>
      <c r="R1042" s="1" t="str">
        <f t="shared" si="71"/>
        <v>2015_06</v>
      </c>
      <c r="BF1042" s="1">
        <v>1</v>
      </c>
    </row>
    <row r="1043" spans="1:73" x14ac:dyDescent="0.2">
      <c r="A1043" t="str">
        <f t="shared" si="69"/>
        <v>2015_06_026</v>
      </c>
      <c r="B1043" s="1">
        <v>2015</v>
      </c>
      <c r="C1043" s="1">
        <v>6</v>
      </c>
      <c r="D1043" s="1">
        <v>26</v>
      </c>
      <c r="E1043" t="s">
        <v>8</v>
      </c>
      <c r="G1043" s="1">
        <v>1</v>
      </c>
      <c r="H1043" s="12" t="str">
        <f t="shared" si="70"/>
        <v>2015_06_026.gif</v>
      </c>
      <c r="L1043" s="12" t="b">
        <v>0</v>
      </c>
      <c r="M1043" s="1">
        <v>0</v>
      </c>
      <c r="N1043" s="1" t="s">
        <v>601</v>
      </c>
      <c r="O1043" s="12">
        <v>1042</v>
      </c>
      <c r="Q1043" s="1">
        <v>264</v>
      </c>
      <c r="R1043" s="1" t="str">
        <f t="shared" si="71"/>
        <v>2015_06</v>
      </c>
      <c r="BF1043" s="1">
        <v>1</v>
      </c>
    </row>
    <row r="1044" spans="1:73" x14ac:dyDescent="0.2">
      <c r="A1044" t="str">
        <f t="shared" si="69"/>
        <v>2015_06_027</v>
      </c>
      <c r="B1044" s="1">
        <v>2015</v>
      </c>
      <c r="C1044" s="1">
        <v>6</v>
      </c>
      <c r="D1044" s="1">
        <v>27</v>
      </c>
      <c r="E1044" t="s">
        <v>8</v>
      </c>
      <c r="G1044" s="1">
        <v>4</v>
      </c>
      <c r="H1044" s="12" t="str">
        <f t="shared" si="70"/>
        <v>2015_06_027.gif</v>
      </c>
      <c r="L1044" s="12" t="b">
        <v>0</v>
      </c>
      <c r="M1044" s="1">
        <v>0</v>
      </c>
      <c r="N1044" s="1" t="s">
        <v>601</v>
      </c>
      <c r="O1044" s="12">
        <v>1043</v>
      </c>
      <c r="Q1044" s="1">
        <v>267</v>
      </c>
      <c r="R1044" s="1" t="str">
        <f t="shared" si="71"/>
        <v>2015_06</v>
      </c>
      <c r="BF1044" s="1">
        <v>1</v>
      </c>
    </row>
    <row r="1045" spans="1:73" x14ac:dyDescent="0.2">
      <c r="A1045" t="str">
        <f t="shared" si="69"/>
        <v>2015_06_028</v>
      </c>
      <c r="B1045" s="1">
        <v>2015</v>
      </c>
      <c r="C1045" s="1">
        <v>6</v>
      </c>
      <c r="D1045" s="1">
        <v>28</v>
      </c>
      <c r="E1045" t="s">
        <v>9</v>
      </c>
      <c r="G1045" s="1">
        <v>4</v>
      </c>
      <c r="H1045" s="12" t="str">
        <f t="shared" si="70"/>
        <v>2015_06_028.gif</v>
      </c>
      <c r="L1045" s="12" t="b">
        <v>0</v>
      </c>
      <c r="M1045" s="1">
        <v>0</v>
      </c>
      <c r="N1045" s="1" t="s">
        <v>601</v>
      </c>
      <c r="O1045" s="12">
        <v>1044</v>
      </c>
      <c r="Q1045" s="1">
        <v>273</v>
      </c>
      <c r="R1045" s="1" t="str">
        <f t="shared" si="71"/>
        <v>2015_06</v>
      </c>
      <c r="BG1045" s="1">
        <v>1</v>
      </c>
    </row>
    <row r="1046" spans="1:73" x14ac:dyDescent="0.2">
      <c r="A1046" t="str">
        <f t="shared" si="69"/>
        <v>2015_06_029</v>
      </c>
      <c r="B1046" s="1">
        <v>2015</v>
      </c>
      <c r="C1046" s="1">
        <v>6</v>
      </c>
      <c r="D1046" s="1">
        <v>29</v>
      </c>
      <c r="E1046" t="s">
        <v>13</v>
      </c>
      <c r="G1046" s="1">
        <v>3</v>
      </c>
      <c r="H1046" s="12" t="str">
        <f t="shared" si="70"/>
        <v>2015_06_029.gif</v>
      </c>
      <c r="L1046" s="12" t="b">
        <v>0</v>
      </c>
      <c r="M1046" s="1">
        <v>0</v>
      </c>
      <c r="N1046" s="1" t="s">
        <v>601</v>
      </c>
      <c r="O1046" s="12">
        <v>1045</v>
      </c>
      <c r="Q1046" s="1">
        <v>332</v>
      </c>
      <c r="R1046" s="1" t="str">
        <f t="shared" si="71"/>
        <v>2015_06</v>
      </c>
      <c r="BU1046" s="1">
        <v>1</v>
      </c>
    </row>
    <row r="1047" spans="1:73" x14ac:dyDescent="0.2">
      <c r="A1047" t="str">
        <f t="shared" si="69"/>
        <v>2015_06_030</v>
      </c>
      <c r="B1047" s="1">
        <v>2015</v>
      </c>
      <c r="C1047" s="1">
        <v>6</v>
      </c>
      <c r="D1047" s="1">
        <v>30</v>
      </c>
      <c r="E1047" t="s">
        <v>10</v>
      </c>
      <c r="G1047" s="1">
        <v>2</v>
      </c>
      <c r="H1047" s="12" t="str">
        <f t="shared" si="70"/>
        <v>2015_06_030.gif</v>
      </c>
      <c r="L1047" s="12" t="b">
        <v>0</v>
      </c>
      <c r="M1047" s="1">
        <v>0</v>
      </c>
      <c r="N1047" s="1" t="s">
        <v>601</v>
      </c>
      <c r="O1047" s="12">
        <v>1046</v>
      </c>
      <c r="Q1047" s="1">
        <v>334</v>
      </c>
      <c r="R1047" s="1" t="str">
        <f t="shared" si="71"/>
        <v>2015_06</v>
      </c>
      <c r="BL1047" s="1">
        <v>1</v>
      </c>
    </row>
    <row r="1048" spans="1:73" x14ac:dyDescent="0.2">
      <c r="A1048" t="str">
        <f t="shared" si="69"/>
        <v>2015_06_031</v>
      </c>
      <c r="B1048" s="1">
        <v>2015</v>
      </c>
      <c r="C1048" s="1">
        <v>6</v>
      </c>
      <c r="D1048" s="1">
        <v>31</v>
      </c>
      <c r="E1048" t="s">
        <v>10</v>
      </c>
      <c r="G1048" s="1">
        <v>1</v>
      </c>
      <c r="H1048" s="12" t="str">
        <f t="shared" si="70"/>
        <v>2015_06_031.gif</v>
      </c>
      <c r="L1048" s="12" t="b">
        <v>0</v>
      </c>
      <c r="M1048" s="1">
        <v>0</v>
      </c>
      <c r="N1048" s="1" t="s">
        <v>601</v>
      </c>
      <c r="O1048" s="12">
        <v>1047</v>
      </c>
      <c r="Q1048" s="1">
        <v>348</v>
      </c>
      <c r="R1048" s="1" t="str">
        <f t="shared" si="71"/>
        <v>2015_06</v>
      </c>
      <c r="BK1048" s="1">
        <v>1</v>
      </c>
    </row>
    <row r="1049" spans="1:73" x14ac:dyDescent="0.2">
      <c r="A1049" t="str">
        <f t="shared" si="69"/>
        <v>2015_06_032</v>
      </c>
      <c r="B1049" s="1">
        <v>2015</v>
      </c>
      <c r="C1049" s="1">
        <v>6</v>
      </c>
      <c r="D1049" s="1">
        <v>32</v>
      </c>
      <c r="E1049" t="s">
        <v>9</v>
      </c>
      <c r="G1049" s="1">
        <v>2</v>
      </c>
      <c r="H1049" s="12" t="str">
        <f t="shared" si="70"/>
        <v>2015_06_032.gif</v>
      </c>
      <c r="L1049" s="12" t="b">
        <v>0</v>
      </c>
      <c r="M1049" s="1">
        <v>0</v>
      </c>
      <c r="N1049" s="1" t="s">
        <v>601</v>
      </c>
      <c r="O1049" s="12">
        <v>1048</v>
      </c>
      <c r="Q1049" s="1">
        <v>386</v>
      </c>
      <c r="R1049" s="1" t="str">
        <f t="shared" si="71"/>
        <v>2015_06</v>
      </c>
      <c r="BH1049" s="1">
        <v>1</v>
      </c>
    </row>
    <row r="1050" spans="1:73" x14ac:dyDescent="0.2">
      <c r="A1050" t="str">
        <f t="shared" si="69"/>
        <v>2015_06_033</v>
      </c>
      <c r="B1050" s="1">
        <v>2015</v>
      </c>
      <c r="C1050" s="1">
        <v>6</v>
      </c>
      <c r="D1050" s="1">
        <v>33</v>
      </c>
      <c r="E1050" t="s">
        <v>5</v>
      </c>
      <c r="G1050" s="1">
        <v>4</v>
      </c>
      <c r="H1050" s="12" t="str">
        <f t="shared" si="70"/>
        <v>2015_06_033.gif</v>
      </c>
      <c r="L1050" s="12" t="b">
        <v>0</v>
      </c>
      <c r="M1050" s="1">
        <v>0</v>
      </c>
      <c r="N1050" s="1" t="s">
        <v>601</v>
      </c>
      <c r="O1050" s="12">
        <v>1049</v>
      </c>
      <c r="Q1050" s="1">
        <v>407</v>
      </c>
      <c r="R1050" s="1" t="str">
        <f t="shared" si="71"/>
        <v>2015_06</v>
      </c>
      <c r="AR1050" s="1">
        <v>1</v>
      </c>
    </row>
    <row r="1051" spans="1:73" x14ac:dyDescent="0.2">
      <c r="A1051" t="str">
        <f t="shared" si="69"/>
        <v>2015_06_034</v>
      </c>
      <c r="B1051" s="1">
        <v>2015</v>
      </c>
      <c r="C1051" s="1">
        <v>6</v>
      </c>
      <c r="D1051" s="1">
        <v>34</v>
      </c>
      <c r="E1051" t="s">
        <v>9</v>
      </c>
      <c r="G1051" s="1">
        <v>1</v>
      </c>
      <c r="H1051" s="12" t="str">
        <f t="shared" si="70"/>
        <v>2015_06_034.gif</v>
      </c>
      <c r="L1051" s="12" t="b">
        <v>0</v>
      </c>
      <c r="M1051" s="1">
        <v>0</v>
      </c>
      <c r="N1051" s="1" t="s">
        <v>601</v>
      </c>
      <c r="O1051" s="12">
        <v>1050</v>
      </c>
      <c r="Q1051" s="1">
        <v>422</v>
      </c>
      <c r="R1051" s="1" t="str">
        <f t="shared" si="71"/>
        <v>2015_06</v>
      </c>
      <c r="BJ1051" s="1">
        <v>1</v>
      </c>
    </row>
    <row r="1052" spans="1:73" x14ac:dyDescent="0.2">
      <c r="A1052" t="str">
        <f t="shared" si="69"/>
        <v>2015_06_035</v>
      </c>
      <c r="B1052" s="1">
        <v>2015</v>
      </c>
      <c r="C1052" s="1">
        <v>6</v>
      </c>
      <c r="D1052" s="1">
        <v>35</v>
      </c>
      <c r="E1052" t="s">
        <v>8</v>
      </c>
      <c r="G1052" s="1">
        <v>2</v>
      </c>
      <c r="H1052" s="12" t="str">
        <f t="shared" si="70"/>
        <v>2015_06_035.gif</v>
      </c>
      <c r="L1052" s="12" t="b">
        <v>0</v>
      </c>
      <c r="M1052" s="1">
        <v>0</v>
      </c>
      <c r="N1052" s="1" t="s">
        <v>601</v>
      </c>
      <c r="O1052" s="12">
        <v>1051</v>
      </c>
      <c r="Q1052" s="1">
        <v>458</v>
      </c>
      <c r="R1052" s="1" t="str">
        <f t="shared" si="71"/>
        <v>2015_06</v>
      </c>
      <c r="BD1052" s="1">
        <v>1</v>
      </c>
    </row>
    <row r="1053" spans="1:73" x14ac:dyDescent="0.2">
      <c r="A1053" t="str">
        <f t="shared" si="69"/>
        <v>2015_06_036</v>
      </c>
      <c r="B1053" s="1">
        <v>2015</v>
      </c>
      <c r="C1053" s="1">
        <v>6</v>
      </c>
      <c r="D1053" s="1">
        <v>36</v>
      </c>
      <c r="E1053" t="s">
        <v>1</v>
      </c>
      <c r="G1053" s="1">
        <v>2</v>
      </c>
      <c r="H1053" s="12" t="str">
        <f t="shared" si="70"/>
        <v>2015_06_036.gif</v>
      </c>
      <c r="L1053" s="12" t="b">
        <v>0</v>
      </c>
      <c r="M1053" s="1">
        <v>0</v>
      </c>
      <c r="N1053" s="1" t="s">
        <v>657</v>
      </c>
      <c r="O1053" s="12">
        <v>1052</v>
      </c>
      <c r="Q1053" s="1">
        <v>463</v>
      </c>
      <c r="R1053" s="1" t="str">
        <f t="shared" si="71"/>
        <v>2015_06</v>
      </c>
      <c r="U1053" s="1">
        <v>1</v>
      </c>
    </row>
    <row r="1054" spans="1:73" x14ac:dyDescent="0.2">
      <c r="A1054" t="str">
        <f t="shared" si="69"/>
        <v>2015_06_037</v>
      </c>
      <c r="B1054" s="1">
        <v>2015</v>
      </c>
      <c r="C1054" s="1">
        <v>6</v>
      </c>
      <c r="D1054" s="1">
        <v>37</v>
      </c>
      <c r="E1054" t="s">
        <v>3</v>
      </c>
      <c r="G1054" s="1">
        <v>1</v>
      </c>
      <c r="H1054" s="12" t="str">
        <f t="shared" si="70"/>
        <v>2015_06_037.gif</v>
      </c>
      <c r="L1054" s="12" t="b">
        <v>0</v>
      </c>
      <c r="M1054" s="1">
        <v>0</v>
      </c>
      <c r="N1054" s="1" t="s">
        <v>657</v>
      </c>
      <c r="O1054" s="12">
        <v>1053</v>
      </c>
      <c r="Q1054" s="1">
        <v>472</v>
      </c>
      <c r="R1054" s="1" t="str">
        <f t="shared" si="71"/>
        <v>2015_06</v>
      </c>
      <c r="AE1054" s="1">
        <v>1</v>
      </c>
    </row>
    <row r="1055" spans="1:73" x14ac:dyDescent="0.2">
      <c r="A1055" t="str">
        <f t="shared" si="69"/>
        <v>2015_06_038</v>
      </c>
      <c r="B1055" s="1">
        <v>2015</v>
      </c>
      <c r="C1055" s="1">
        <v>6</v>
      </c>
      <c r="D1055" s="1">
        <v>38</v>
      </c>
      <c r="E1055" t="s">
        <v>4</v>
      </c>
      <c r="G1055" s="1">
        <v>4</v>
      </c>
      <c r="H1055" s="12" t="str">
        <f t="shared" si="70"/>
        <v>2015_06_038.gif</v>
      </c>
      <c r="L1055" s="12" t="b">
        <v>0</v>
      </c>
      <c r="M1055" s="1">
        <v>0</v>
      </c>
      <c r="N1055" s="1" t="s">
        <v>657</v>
      </c>
      <c r="O1055" s="12">
        <v>1054</v>
      </c>
      <c r="Q1055" s="1">
        <v>489</v>
      </c>
      <c r="R1055" s="1" t="str">
        <f t="shared" si="71"/>
        <v>2015_06</v>
      </c>
      <c r="AH1055" s="1">
        <v>1</v>
      </c>
    </row>
    <row r="1056" spans="1:73" x14ac:dyDescent="0.2">
      <c r="A1056" t="str">
        <f t="shared" si="69"/>
        <v>2015_06_039</v>
      </c>
      <c r="B1056" s="1">
        <v>2015</v>
      </c>
      <c r="C1056" s="1">
        <v>6</v>
      </c>
      <c r="D1056" s="1">
        <v>39</v>
      </c>
      <c r="E1056" t="s">
        <v>2</v>
      </c>
      <c r="G1056" s="1">
        <v>4</v>
      </c>
      <c r="H1056" s="12" t="str">
        <f t="shared" si="70"/>
        <v>2015_06_039.gif</v>
      </c>
      <c r="L1056" s="12" t="b">
        <v>0</v>
      </c>
      <c r="M1056" s="1">
        <v>0</v>
      </c>
      <c r="N1056" s="1" t="s">
        <v>657</v>
      </c>
      <c r="O1056" s="12">
        <v>1055</v>
      </c>
      <c r="Q1056" s="1">
        <v>510</v>
      </c>
      <c r="R1056" s="1" t="str">
        <f t="shared" si="71"/>
        <v>2015_06</v>
      </c>
      <c r="Z1056" s="1">
        <v>1</v>
      </c>
    </row>
    <row r="1057" spans="1:76" x14ac:dyDescent="0.2">
      <c r="A1057" t="str">
        <f t="shared" si="69"/>
        <v>2015_06_040</v>
      </c>
      <c r="B1057" s="1">
        <v>2015</v>
      </c>
      <c r="C1057" s="1">
        <v>6</v>
      </c>
      <c r="D1057" s="1">
        <v>40</v>
      </c>
      <c r="E1057" t="s">
        <v>2</v>
      </c>
      <c r="G1057" s="1">
        <v>1</v>
      </c>
      <c r="H1057" s="12" t="str">
        <f t="shared" si="70"/>
        <v>2015_06_040.gif</v>
      </c>
      <c r="L1057" s="12" t="b">
        <v>0</v>
      </c>
      <c r="M1057" s="1">
        <v>0</v>
      </c>
      <c r="N1057" s="1" t="s">
        <v>657</v>
      </c>
      <c r="O1057" s="12">
        <v>1056</v>
      </c>
      <c r="Q1057" s="1">
        <v>511</v>
      </c>
      <c r="R1057" s="1" t="str">
        <f t="shared" si="71"/>
        <v>2015_06</v>
      </c>
      <c r="AB1057" s="1">
        <v>1</v>
      </c>
    </row>
    <row r="1058" spans="1:76" x14ac:dyDescent="0.2">
      <c r="A1058" t="str">
        <f t="shared" si="69"/>
        <v>2015_06_041</v>
      </c>
      <c r="B1058" s="1">
        <v>2015</v>
      </c>
      <c r="C1058" s="1">
        <v>6</v>
      </c>
      <c r="D1058" s="1">
        <v>41</v>
      </c>
      <c r="E1058" t="s">
        <v>5</v>
      </c>
      <c r="G1058" s="1">
        <v>4</v>
      </c>
      <c r="H1058" s="12" t="str">
        <f t="shared" si="70"/>
        <v>2015_06_041.gif</v>
      </c>
      <c r="L1058" s="12" t="b">
        <v>0</v>
      </c>
      <c r="M1058" s="1">
        <v>0</v>
      </c>
      <c r="N1058" s="1" t="s">
        <v>657</v>
      </c>
      <c r="O1058" s="12">
        <v>1057</v>
      </c>
      <c r="Q1058" s="1">
        <v>551</v>
      </c>
      <c r="R1058" s="1" t="str">
        <f t="shared" si="71"/>
        <v>2015_06</v>
      </c>
      <c r="AS1058" s="1">
        <v>1</v>
      </c>
    </row>
    <row r="1059" spans="1:76" x14ac:dyDescent="0.2">
      <c r="A1059" t="str">
        <f t="shared" si="69"/>
        <v>2015_06_042</v>
      </c>
      <c r="B1059" s="1">
        <v>2015</v>
      </c>
      <c r="C1059" s="1">
        <v>6</v>
      </c>
      <c r="D1059" s="1">
        <v>42</v>
      </c>
      <c r="E1059" t="s">
        <v>1</v>
      </c>
      <c r="F1059" t="s">
        <v>7</v>
      </c>
      <c r="G1059" s="1">
        <v>3</v>
      </c>
      <c r="H1059" s="12" t="str">
        <f t="shared" si="70"/>
        <v>2015_06_042.gif</v>
      </c>
      <c r="L1059" s="12" t="b">
        <v>0</v>
      </c>
      <c r="M1059" s="1">
        <v>0</v>
      </c>
      <c r="N1059" s="1" t="s">
        <v>657</v>
      </c>
      <c r="O1059" s="12">
        <v>1058</v>
      </c>
      <c r="Q1059" s="1">
        <v>569</v>
      </c>
      <c r="R1059" s="1" t="str">
        <f t="shared" si="71"/>
        <v>2015_06</v>
      </c>
      <c r="V1059" s="1">
        <v>1</v>
      </c>
      <c r="BB1059" s="1">
        <v>1</v>
      </c>
    </row>
    <row r="1060" spans="1:76" x14ac:dyDescent="0.2">
      <c r="A1060" t="str">
        <f t="shared" si="69"/>
        <v>2015_06_043</v>
      </c>
      <c r="B1060" s="1">
        <v>2015</v>
      </c>
      <c r="C1060" s="1">
        <v>6</v>
      </c>
      <c r="D1060" s="1">
        <v>43</v>
      </c>
      <c r="E1060" t="s">
        <v>7</v>
      </c>
      <c r="G1060" s="1">
        <v>1</v>
      </c>
      <c r="H1060" s="12" t="str">
        <f t="shared" si="70"/>
        <v>2015_06_043.gif</v>
      </c>
      <c r="L1060" s="12" t="b">
        <v>0</v>
      </c>
      <c r="M1060" s="1">
        <v>0</v>
      </c>
      <c r="N1060" s="1" t="s">
        <v>657</v>
      </c>
      <c r="O1060" s="12">
        <v>1059</v>
      </c>
      <c r="Q1060" s="1">
        <v>586</v>
      </c>
      <c r="R1060" s="1" t="str">
        <f t="shared" si="71"/>
        <v>2015_06</v>
      </c>
      <c r="BA1060" s="1">
        <v>1</v>
      </c>
    </row>
    <row r="1061" spans="1:76" x14ac:dyDescent="0.2">
      <c r="A1061" t="str">
        <f t="shared" si="69"/>
        <v>2015_06_044</v>
      </c>
      <c r="B1061" s="1">
        <v>2015</v>
      </c>
      <c r="C1061" s="1">
        <v>6</v>
      </c>
      <c r="D1061" s="1">
        <v>44</v>
      </c>
      <c r="E1061" t="s">
        <v>7</v>
      </c>
      <c r="G1061" s="1">
        <v>2</v>
      </c>
      <c r="H1061" s="12" t="str">
        <f t="shared" si="70"/>
        <v>2015_06_044.gif</v>
      </c>
      <c r="L1061" s="12" t="b">
        <v>0</v>
      </c>
      <c r="M1061" s="1">
        <v>0</v>
      </c>
      <c r="N1061" s="1" t="s">
        <v>657</v>
      </c>
      <c r="O1061" s="12">
        <v>1060</v>
      </c>
      <c r="Q1061" s="1">
        <v>590</v>
      </c>
      <c r="R1061" s="1" t="str">
        <f t="shared" si="71"/>
        <v>2015_06</v>
      </c>
      <c r="BB1061" s="1">
        <v>1</v>
      </c>
    </row>
    <row r="1062" spans="1:76" x14ac:dyDescent="0.2">
      <c r="A1062" t="str">
        <f t="shared" si="69"/>
        <v>2015_06_045</v>
      </c>
      <c r="B1062" s="1">
        <v>2015</v>
      </c>
      <c r="C1062" s="1">
        <v>6</v>
      </c>
      <c r="D1062" s="1">
        <v>45</v>
      </c>
      <c r="E1062" t="s">
        <v>7</v>
      </c>
      <c r="G1062" s="1">
        <v>3</v>
      </c>
      <c r="H1062" s="12" t="str">
        <f t="shared" si="70"/>
        <v>2015_06_045.gif</v>
      </c>
      <c r="L1062" s="12" t="b">
        <v>0</v>
      </c>
      <c r="M1062" s="1">
        <v>0</v>
      </c>
      <c r="N1062" s="1" t="s">
        <v>657</v>
      </c>
      <c r="O1062" s="12">
        <v>1061</v>
      </c>
      <c r="Q1062" s="1">
        <v>596</v>
      </c>
      <c r="R1062" s="1" t="str">
        <f t="shared" si="71"/>
        <v>2015_06</v>
      </c>
      <c r="AX1062" s="1">
        <v>1</v>
      </c>
      <c r="BA1062" s="1">
        <v>1</v>
      </c>
    </row>
    <row r="1063" spans="1:76" x14ac:dyDescent="0.2">
      <c r="A1063" t="str">
        <f t="shared" si="69"/>
        <v>2015_06_046</v>
      </c>
      <c r="B1063" s="1">
        <v>2015</v>
      </c>
      <c r="C1063" s="1">
        <v>6</v>
      </c>
      <c r="D1063" s="1">
        <v>46</v>
      </c>
      <c r="E1063" t="s">
        <v>9</v>
      </c>
      <c r="G1063" s="1">
        <v>4</v>
      </c>
      <c r="H1063" s="12" t="str">
        <f t="shared" si="70"/>
        <v>2015_06_046.gif</v>
      </c>
      <c r="L1063" s="12" t="b">
        <v>0</v>
      </c>
      <c r="M1063" s="1">
        <v>0</v>
      </c>
      <c r="N1063" s="1" t="s">
        <v>657</v>
      </c>
      <c r="O1063" s="12">
        <v>1062</v>
      </c>
      <c r="Q1063" s="1">
        <v>619</v>
      </c>
      <c r="R1063" s="1" t="str">
        <f t="shared" si="71"/>
        <v>2015_06</v>
      </c>
      <c r="BJ1063" s="1">
        <v>1</v>
      </c>
    </row>
    <row r="1064" spans="1:76" x14ac:dyDescent="0.2">
      <c r="A1064" t="str">
        <f t="shared" si="69"/>
        <v>2015_06_047</v>
      </c>
      <c r="B1064" s="1">
        <v>2015</v>
      </c>
      <c r="C1064" s="1">
        <v>6</v>
      </c>
      <c r="D1064" s="1">
        <v>47</v>
      </c>
      <c r="E1064" t="s">
        <v>13</v>
      </c>
      <c r="G1064" s="1">
        <v>3</v>
      </c>
      <c r="H1064" s="12" t="str">
        <f t="shared" si="70"/>
        <v>2015_06_047.gif</v>
      </c>
      <c r="L1064" s="12" t="b">
        <v>0</v>
      </c>
      <c r="M1064" s="1">
        <v>0</v>
      </c>
      <c r="N1064" s="1" t="s">
        <v>657</v>
      </c>
      <c r="O1064" s="12">
        <v>1063</v>
      </c>
      <c r="Q1064" s="1">
        <v>622</v>
      </c>
      <c r="R1064" s="1" t="str">
        <f t="shared" si="71"/>
        <v>2015_06</v>
      </c>
      <c r="BU1064" s="1">
        <v>1</v>
      </c>
    </row>
    <row r="1065" spans="1:76" x14ac:dyDescent="0.2">
      <c r="A1065" t="str">
        <f t="shared" si="69"/>
        <v>2015_06_048</v>
      </c>
      <c r="B1065" s="1">
        <v>2015</v>
      </c>
      <c r="C1065" s="1">
        <v>6</v>
      </c>
      <c r="D1065" s="1">
        <v>48</v>
      </c>
      <c r="E1065" t="s">
        <v>548</v>
      </c>
      <c r="F1065" t="s">
        <v>7</v>
      </c>
      <c r="G1065" s="1">
        <v>3</v>
      </c>
      <c r="H1065" s="12" t="str">
        <f t="shared" si="70"/>
        <v>2015_06_048.gif</v>
      </c>
      <c r="L1065" s="12" t="b">
        <v>0</v>
      </c>
      <c r="M1065" s="1">
        <v>0</v>
      </c>
      <c r="N1065" s="1" t="s">
        <v>657</v>
      </c>
      <c r="O1065" s="12">
        <v>1064</v>
      </c>
      <c r="Q1065" s="1">
        <v>656</v>
      </c>
      <c r="R1065" s="1" t="str">
        <f t="shared" si="71"/>
        <v>2015_06</v>
      </c>
      <c r="BB1065" s="1">
        <v>1</v>
      </c>
      <c r="BX1065" s="1">
        <v>1</v>
      </c>
    </row>
    <row r="1066" spans="1:76" x14ac:dyDescent="0.2">
      <c r="A1066" t="str">
        <f t="shared" si="69"/>
        <v>2015_06_049</v>
      </c>
      <c r="B1066" s="1">
        <v>2015</v>
      </c>
      <c r="C1066" s="1">
        <v>6</v>
      </c>
      <c r="D1066" s="1">
        <v>49</v>
      </c>
      <c r="E1066" t="s">
        <v>8</v>
      </c>
      <c r="G1066" s="1">
        <v>2</v>
      </c>
      <c r="H1066" s="12" t="str">
        <f t="shared" si="70"/>
        <v>2015_06_049.gif</v>
      </c>
      <c r="L1066" s="12" t="b">
        <v>0</v>
      </c>
      <c r="M1066" s="1">
        <v>0</v>
      </c>
      <c r="N1066" s="1" t="s">
        <v>657</v>
      </c>
      <c r="O1066" s="12">
        <v>1065</v>
      </c>
      <c r="Q1066" s="1">
        <v>661</v>
      </c>
      <c r="R1066" s="1" t="str">
        <f t="shared" si="71"/>
        <v>2015_06</v>
      </c>
      <c r="BF1066" s="1">
        <v>1</v>
      </c>
    </row>
    <row r="1067" spans="1:76" x14ac:dyDescent="0.2">
      <c r="A1067" t="str">
        <f t="shared" si="69"/>
        <v>2015_06_050</v>
      </c>
      <c r="B1067" s="1">
        <v>2015</v>
      </c>
      <c r="C1067" s="1">
        <v>6</v>
      </c>
      <c r="D1067" s="1">
        <v>50</v>
      </c>
      <c r="E1067" t="s">
        <v>13</v>
      </c>
      <c r="G1067" s="1">
        <v>1</v>
      </c>
      <c r="H1067" s="12" t="str">
        <f t="shared" si="70"/>
        <v>2015_06_050.gif</v>
      </c>
      <c r="L1067" s="12" t="b">
        <v>0</v>
      </c>
      <c r="M1067" s="1">
        <v>0</v>
      </c>
      <c r="N1067" s="1" t="s">
        <v>657</v>
      </c>
      <c r="O1067" s="12">
        <v>1066</v>
      </c>
      <c r="Q1067" s="1">
        <v>669</v>
      </c>
      <c r="R1067" s="1" t="str">
        <f t="shared" si="71"/>
        <v>2015_06</v>
      </c>
      <c r="BW1067" s="1">
        <v>1</v>
      </c>
    </row>
  </sheetData>
  <dataConsolidate/>
  <hyperlinks>
    <hyperlink ref="A1" location="Instructions!A1" display="Instructions!A1"/>
  </hyperlinks>
  <pageMargins left="0.75" right="0.75" top="1" bottom="1" header="0.5" footer="0.5"/>
  <pageSetup orientation="portrait" r:id="rId1"/>
  <headerFooter alignWithMargins="0"/>
  <drawing r:id="rId2"/>
  <legacyDrawing r:id="rId3"/>
  <controls>
    <mc:AlternateContent xmlns:mc="http://schemas.openxmlformats.org/markup-compatibility/2006">
      <mc:Choice Requires="x14">
        <control shapeId="8193" r:id="rId4" name="CommandButton1">
          <controlPr defaultSize="0" autoLine="0" autoPict="0" r:id="rId5">
            <anchor moveWithCells="1">
              <from>
                <xdr:col>0</xdr:col>
                <xdr:colOff>66675</xdr:colOff>
                <xdr:row>0</xdr:row>
                <xdr:rowOff>85725</xdr:rowOff>
              </from>
              <to>
                <xdr:col>6</xdr:col>
                <xdr:colOff>152400</xdr:colOff>
                <xdr:row>0</xdr:row>
                <xdr:rowOff>533400</xdr:rowOff>
              </to>
            </anchor>
          </controlPr>
        </control>
      </mc:Choice>
      <mc:Fallback>
        <control shapeId="8193" r:id="rId4" name="CommandButton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BZ343"/>
  <sheetViews>
    <sheetView workbookViewId="0">
      <pane xSplit="4" ySplit="1" topLeftCell="E2" activePane="bottomRight" state="frozen"/>
      <selection pane="topRight" activeCell="E1" sqref="E1"/>
      <selection pane="bottomLeft" activeCell="A2" sqref="A2"/>
      <selection pane="bottomRight" activeCell="E23" sqref="E23"/>
    </sheetView>
  </sheetViews>
  <sheetFormatPr defaultRowHeight="12.75" x14ac:dyDescent="0.2"/>
  <cols>
    <col min="1" max="1" width="11.85546875" customWidth="1"/>
    <col min="2" max="2" width="4.7109375" customWidth="1"/>
    <col min="3" max="3" width="2.5703125" customWidth="1"/>
    <col min="4" max="4" width="3.28515625" customWidth="1"/>
    <col min="5" max="5" width="13.28515625" customWidth="1"/>
    <col min="6" max="6" width="8.7109375" customWidth="1"/>
    <col min="7" max="7" width="3.5703125" customWidth="1"/>
    <col min="8" max="8" width="13.85546875" style="12" customWidth="1"/>
    <col min="9" max="10" width="13.85546875" style="12" hidden="1" customWidth="1"/>
    <col min="11" max="11" width="13.85546875" style="12" customWidth="1"/>
    <col min="12" max="12" width="8.28515625" style="12" customWidth="1"/>
    <col min="13" max="13" width="4" style="1" customWidth="1"/>
    <col min="14" max="14" width="6.85546875" style="1" customWidth="1"/>
    <col min="15" max="15" width="4.85546875" style="12" customWidth="1"/>
    <col min="16" max="17" width="13.85546875" style="12" customWidth="1"/>
    <col min="18" max="20" width="13.85546875" style="12" hidden="1" customWidth="1"/>
    <col min="21" max="21" width="10.140625" customWidth="1"/>
    <col min="79" max="16384" width="9.140625" style="16"/>
  </cols>
  <sheetData>
    <row r="1" spans="1:78" s="15" customFormat="1" ht="71.25" customHeight="1" x14ac:dyDescent="0.2">
      <c r="A1" s="23" t="s">
        <v>745</v>
      </c>
      <c r="B1" s="10" t="s">
        <v>14</v>
      </c>
      <c r="C1" s="10" t="s">
        <v>15</v>
      </c>
      <c r="D1" s="10" t="s">
        <v>16</v>
      </c>
      <c r="E1" s="10" t="s">
        <v>544</v>
      </c>
      <c r="F1" s="10" t="s">
        <v>545</v>
      </c>
      <c r="G1" s="10" t="s">
        <v>599</v>
      </c>
      <c r="H1" s="13">
        <f>SUBTOTAL(3,A2:A73)</f>
        <v>72</v>
      </c>
      <c r="I1" s="13" t="s">
        <v>602</v>
      </c>
      <c r="J1" s="13" t="s">
        <v>603</v>
      </c>
      <c r="K1" s="20" t="s">
        <v>610</v>
      </c>
      <c r="L1" s="20" t="s">
        <v>611</v>
      </c>
      <c r="M1" s="20" t="s">
        <v>612</v>
      </c>
      <c r="N1" s="20" t="s">
        <v>613</v>
      </c>
      <c r="O1" s="20" t="s">
        <v>742</v>
      </c>
      <c r="P1" s="21" t="s">
        <v>664</v>
      </c>
      <c r="Q1" s="13"/>
      <c r="R1" s="13" t="s">
        <v>740</v>
      </c>
      <c r="S1" s="13" t="s">
        <v>739</v>
      </c>
      <c r="T1" s="13" t="s">
        <v>741</v>
      </c>
      <c r="U1" s="10" t="s">
        <v>547</v>
      </c>
      <c r="V1" s="10" t="s">
        <v>0</v>
      </c>
      <c r="W1" s="10" t="s">
        <v>553</v>
      </c>
      <c r="X1" s="10" t="s">
        <v>547</v>
      </c>
      <c r="Y1" s="10" t="s">
        <v>0</v>
      </c>
      <c r="Z1" s="10" t="s">
        <v>594</v>
      </c>
      <c r="AA1" s="10" t="s">
        <v>553</v>
      </c>
      <c r="AB1" s="10" t="s">
        <v>551</v>
      </c>
      <c r="AC1" s="10" t="s">
        <v>552</v>
      </c>
      <c r="AD1" s="10" t="s">
        <v>549</v>
      </c>
      <c r="AE1" s="10" t="s">
        <v>550</v>
      </c>
      <c r="AF1" s="10" t="s">
        <v>546</v>
      </c>
      <c r="AG1" s="10" t="s">
        <v>554</v>
      </c>
      <c r="AH1" s="10" t="s">
        <v>600</v>
      </c>
      <c r="AI1" s="10" t="s">
        <v>575</v>
      </c>
      <c r="AJ1" s="10" t="s">
        <v>555</v>
      </c>
      <c r="AK1" s="10" t="s">
        <v>576</v>
      </c>
      <c r="AL1" s="10" t="s">
        <v>592</v>
      </c>
      <c r="AM1" s="10" t="s">
        <v>593</v>
      </c>
      <c r="AN1" s="10" t="s">
        <v>557</v>
      </c>
      <c r="AO1" s="10" t="s">
        <v>598</v>
      </c>
      <c r="AP1" s="10" t="s">
        <v>577</v>
      </c>
      <c r="AQ1" s="10" t="s">
        <v>578</v>
      </c>
      <c r="AR1" s="10" t="s">
        <v>596</v>
      </c>
      <c r="AS1" s="10" t="s">
        <v>595</v>
      </c>
      <c r="AT1" s="10" t="s">
        <v>556</v>
      </c>
      <c r="AU1" s="10" t="s">
        <v>580</v>
      </c>
      <c r="AV1" s="10" t="s">
        <v>558</v>
      </c>
      <c r="AW1" s="10" t="s">
        <v>597</v>
      </c>
      <c r="AX1" s="10" t="s">
        <v>579</v>
      </c>
      <c r="AY1" s="10" t="s">
        <v>581</v>
      </c>
      <c r="AZ1" s="10" t="s">
        <v>559</v>
      </c>
      <c r="BA1" s="10" t="s">
        <v>560</v>
      </c>
      <c r="BB1" s="10" t="s">
        <v>587</v>
      </c>
      <c r="BC1" s="10" t="s">
        <v>571</v>
      </c>
      <c r="BD1" s="10" t="s">
        <v>574</v>
      </c>
      <c r="BE1" s="10" t="s">
        <v>570</v>
      </c>
      <c r="BF1" s="10" t="s">
        <v>568</v>
      </c>
      <c r="BG1" s="10" t="s">
        <v>572</v>
      </c>
      <c r="BH1" s="10" t="s">
        <v>573</v>
      </c>
      <c r="BI1" s="10" t="s">
        <v>569</v>
      </c>
      <c r="BJ1" s="10" t="s">
        <v>583</v>
      </c>
      <c r="BK1" s="10" t="s">
        <v>584</v>
      </c>
      <c r="BL1" s="10" t="s">
        <v>563</v>
      </c>
      <c r="BM1" s="10" t="s">
        <v>561</v>
      </c>
      <c r="BN1" s="10" t="s">
        <v>614</v>
      </c>
      <c r="BO1" s="10" t="s">
        <v>562</v>
      </c>
      <c r="BP1" s="10" t="s">
        <v>586</v>
      </c>
      <c r="BQ1" s="10" t="s">
        <v>582</v>
      </c>
      <c r="BR1" s="10" t="s">
        <v>564</v>
      </c>
      <c r="BS1" s="10" t="s">
        <v>565</v>
      </c>
      <c r="BT1" s="10" t="s">
        <v>663</v>
      </c>
      <c r="BU1" s="10" t="s">
        <v>566</v>
      </c>
      <c r="BV1" s="10" t="s">
        <v>567</v>
      </c>
      <c r="BW1" s="10" t="s">
        <v>585</v>
      </c>
      <c r="BX1" s="10" t="s">
        <v>589</v>
      </c>
      <c r="BY1" s="10" t="s">
        <v>590</v>
      </c>
      <c r="BZ1" s="10" t="s">
        <v>12</v>
      </c>
    </row>
    <row r="2" spans="1:78" x14ac:dyDescent="0.2">
      <c r="A2" t="s">
        <v>537</v>
      </c>
      <c r="B2" s="1">
        <v>2002</v>
      </c>
      <c r="C2" s="1">
        <v>6</v>
      </c>
      <c r="D2" s="1">
        <v>1</v>
      </c>
      <c r="E2" t="s">
        <v>3</v>
      </c>
      <c r="G2" s="1">
        <v>4</v>
      </c>
      <c r="H2" s="11" t="str">
        <f t="shared" ref="H2:H31" si="0">HYPERLINK(A2&amp;".gif")</f>
        <v>2002_06_001.gif</v>
      </c>
      <c r="I2" s="1"/>
      <c r="J2" s="1"/>
      <c r="L2" s="1" t="b">
        <v>0</v>
      </c>
      <c r="M2" s="1">
        <v>0</v>
      </c>
      <c r="N2" s="1" t="s">
        <v>601</v>
      </c>
      <c r="O2" s="1">
        <v>1</v>
      </c>
      <c r="P2" s="12" t="s">
        <v>665</v>
      </c>
      <c r="Q2" s="1"/>
      <c r="R2" s="1" t="b">
        <f t="shared" ref="R2:R31" si="1">OR(S2:T2)</f>
        <v>0</v>
      </c>
      <c r="S2" s="1"/>
      <c r="T2" s="1" t="b">
        <f t="shared" ref="T2:T31" si="2">SUMPRODUCT(BC2:BZ2*1)&gt;0</f>
        <v>0</v>
      </c>
      <c r="Z2" t="b">
        <v>1</v>
      </c>
      <c r="AF2" t="b">
        <v>1</v>
      </c>
    </row>
    <row r="3" spans="1:78" x14ac:dyDescent="0.2">
      <c r="A3" t="s">
        <v>538</v>
      </c>
      <c r="B3" s="1">
        <v>2002</v>
      </c>
      <c r="C3" s="1">
        <v>6</v>
      </c>
      <c r="D3" s="1">
        <v>2</v>
      </c>
      <c r="E3" t="s">
        <v>5</v>
      </c>
      <c r="G3" s="1">
        <v>4</v>
      </c>
      <c r="H3" s="11" t="str">
        <f t="shared" si="0"/>
        <v>2002_06_002.gif</v>
      </c>
      <c r="I3" s="1"/>
      <c r="J3" s="1"/>
      <c r="L3" s="1" t="b">
        <v>0</v>
      </c>
      <c r="M3" s="1">
        <v>0</v>
      </c>
      <c r="N3" s="1" t="s">
        <v>601</v>
      </c>
      <c r="O3" s="1">
        <v>2</v>
      </c>
      <c r="P3" s="12" t="s">
        <v>557</v>
      </c>
      <c r="Q3" s="1"/>
      <c r="R3" s="1" t="b">
        <f t="shared" si="1"/>
        <v>0</v>
      </c>
      <c r="S3" s="1"/>
      <c r="T3" s="1" t="b">
        <f t="shared" si="2"/>
        <v>0</v>
      </c>
      <c r="AN3" t="b">
        <v>1</v>
      </c>
    </row>
    <row r="4" spans="1:78" x14ac:dyDescent="0.2">
      <c r="A4" t="s">
        <v>539</v>
      </c>
      <c r="B4" s="1">
        <v>2002</v>
      </c>
      <c r="C4" s="1">
        <v>6</v>
      </c>
      <c r="D4" s="1">
        <v>3</v>
      </c>
      <c r="E4" t="s">
        <v>2</v>
      </c>
      <c r="G4" s="1">
        <v>1</v>
      </c>
      <c r="H4" s="11" t="str">
        <f t="shared" si="0"/>
        <v>2002_06_003.gif</v>
      </c>
      <c r="I4" s="1"/>
      <c r="J4"/>
      <c r="L4" s="1" t="b">
        <v>0</v>
      </c>
      <c r="M4" s="1">
        <v>0</v>
      </c>
      <c r="N4" s="1" t="s">
        <v>601</v>
      </c>
      <c r="O4" s="1">
        <v>3</v>
      </c>
      <c r="P4" s="12" t="s">
        <v>666</v>
      </c>
      <c r="Q4" s="1"/>
      <c r="R4" s="1" t="b">
        <f t="shared" si="1"/>
        <v>0</v>
      </c>
      <c r="S4" s="1"/>
      <c r="T4" s="1" t="b">
        <f t="shared" si="2"/>
        <v>0</v>
      </c>
      <c r="U4" t="b">
        <v>1</v>
      </c>
      <c r="AB4" t="b">
        <v>1</v>
      </c>
    </row>
    <row r="5" spans="1:78" x14ac:dyDescent="0.2">
      <c r="A5" t="s">
        <v>540</v>
      </c>
      <c r="B5" s="1">
        <v>2002</v>
      </c>
      <c r="C5" s="1">
        <v>6</v>
      </c>
      <c r="D5" s="1">
        <v>4</v>
      </c>
      <c r="E5" t="s">
        <v>2</v>
      </c>
      <c r="G5" s="1">
        <v>3</v>
      </c>
      <c r="H5" s="11" t="str">
        <f t="shared" si="0"/>
        <v>2002_06_004.gif</v>
      </c>
      <c r="J5"/>
      <c r="L5" s="1" t="b">
        <v>0</v>
      </c>
      <c r="M5" s="1">
        <v>0</v>
      </c>
      <c r="N5" s="1" t="s">
        <v>601</v>
      </c>
      <c r="O5" s="1">
        <v>4</v>
      </c>
      <c r="P5" s="12" t="s">
        <v>552</v>
      </c>
      <c r="Q5"/>
      <c r="R5" s="1" t="b">
        <f t="shared" si="1"/>
        <v>0</v>
      </c>
      <c r="S5"/>
      <c r="T5" s="1" t="b">
        <f t="shared" si="2"/>
        <v>0</v>
      </c>
      <c r="AC5" t="b">
        <v>1</v>
      </c>
    </row>
    <row r="6" spans="1:78" x14ac:dyDescent="0.2">
      <c r="A6" t="s">
        <v>541</v>
      </c>
      <c r="B6" s="1">
        <v>2002</v>
      </c>
      <c r="C6" s="1">
        <v>6</v>
      </c>
      <c r="D6" s="1">
        <v>5</v>
      </c>
      <c r="E6" t="s">
        <v>4</v>
      </c>
      <c r="G6" s="1">
        <v>2</v>
      </c>
      <c r="H6" s="11" t="str">
        <f t="shared" si="0"/>
        <v>2002_06_005.gif</v>
      </c>
      <c r="J6"/>
      <c r="L6" s="1" t="b">
        <v>0</v>
      </c>
      <c r="M6" s="1">
        <v>0</v>
      </c>
      <c r="N6" s="1" t="s">
        <v>601</v>
      </c>
      <c r="O6" s="1">
        <v>5</v>
      </c>
      <c r="P6" s="12" t="s">
        <v>575</v>
      </c>
      <c r="Q6"/>
      <c r="R6" s="1" t="b">
        <f t="shared" si="1"/>
        <v>0</v>
      </c>
      <c r="S6"/>
      <c r="T6" s="1" t="b">
        <f t="shared" si="2"/>
        <v>0</v>
      </c>
      <c r="AI6" t="b">
        <v>1</v>
      </c>
      <c r="AM6" t="b">
        <v>0</v>
      </c>
      <c r="AP6" t="b">
        <v>0</v>
      </c>
      <c r="AU6" t="b">
        <v>0</v>
      </c>
    </row>
    <row r="7" spans="1:78" x14ac:dyDescent="0.2">
      <c r="A7" t="s">
        <v>542</v>
      </c>
      <c r="B7" s="1">
        <v>2002</v>
      </c>
      <c r="C7" s="1">
        <v>6</v>
      </c>
      <c r="D7" s="1">
        <v>6</v>
      </c>
      <c r="E7" t="s">
        <v>4</v>
      </c>
      <c r="F7" t="s">
        <v>3</v>
      </c>
      <c r="G7" s="1">
        <v>2</v>
      </c>
      <c r="H7" s="11" t="str">
        <f t="shared" si="0"/>
        <v>2002_06_006.gif</v>
      </c>
      <c r="J7"/>
      <c r="L7" s="1" t="b">
        <v>0</v>
      </c>
      <c r="M7" s="1">
        <v>0</v>
      </c>
      <c r="N7" s="1" t="s">
        <v>601</v>
      </c>
      <c r="O7" s="1">
        <v>6</v>
      </c>
      <c r="P7" s="12" t="s">
        <v>667</v>
      </c>
      <c r="Q7"/>
      <c r="R7" s="1" t="b">
        <f t="shared" si="1"/>
        <v>0</v>
      </c>
      <c r="S7"/>
      <c r="T7" s="1" t="b">
        <f t="shared" si="2"/>
        <v>0</v>
      </c>
      <c r="AE7" t="b">
        <v>1</v>
      </c>
      <c r="AK7" t="b">
        <v>1</v>
      </c>
    </row>
    <row r="8" spans="1:78" x14ac:dyDescent="0.2">
      <c r="A8" t="s">
        <v>18</v>
      </c>
      <c r="B8" s="1">
        <v>2002</v>
      </c>
      <c r="C8" s="1">
        <v>6</v>
      </c>
      <c r="D8" s="1">
        <v>7</v>
      </c>
      <c r="E8" t="s">
        <v>5</v>
      </c>
      <c r="G8" s="1">
        <v>2</v>
      </c>
      <c r="H8" s="11" t="str">
        <f t="shared" si="0"/>
        <v>2002_06_007.gif</v>
      </c>
      <c r="J8"/>
      <c r="L8" s="1" t="b">
        <v>0</v>
      </c>
      <c r="M8" s="1">
        <v>0</v>
      </c>
      <c r="N8" s="1" t="s">
        <v>601</v>
      </c>
      <c r="O8" s="1">
        <v>7</v>
      </c>
      <c r="P8" s="12" t="s">
        <v>668</v>
      </c>
      <c r="Q8"/>
      <c r="R8" s="1" t="b">
        <f t="shared" si="1"/>
        <v>0</v>
      </c>
      <c r="S8"/>
      <c r="T8" s="1" t="b">
        <f t="shared" si="2"/>
        <v>0</v>
      </c>
      <c r="AK8" t="b">
        <v>0</v>
      </c>
      <c r="AS8" t="b">
        <v>1</v>
      </c>
      <c r="AT8" t="b">
        <v>1</v>
      </c>
    </row>
    <row r="9" spans="1:78" x14ac:dyDescent="0.2">
      <c r="A9" t="s">
        <v>19</v>
      </c>
      <c r="B9" s="1">
        <v>2002</v>
      </c>
      <c r="C9" s="1">
        <v>6</v>
      </c>
      <c r="D9" s="1">
        <v>8</v>
      </c>
      <c r="E9" t="s">
        <v>4</v>
      </c>
      <c r="G9" s="1">
        <v>1</v>
      </c>
      <c r="H9" s="11" t="str">
        <f t="shared" si="0"/>
        <v>2002_06_008.gif</v>
      </c>
      <c r="J9"/>
      <c r="L9" s="1" t="b">
        <v>0</v>
      </c>
      <c r="M9" s="1">
        <v>0</v>
      </c>
      <c r="N9" s="1" t="s">
        <v>601</v>
      </c>
      <c r="O9" s="1">
        <v>8</v>
      </c>
      <c r="P9" s="12" t="s">
        <v>592</v>
      </c>
      <c r="Q9"/>
      <c r="R9" s="1" t="b">
        <f t="shared" si="1"/>
        <v>0</v>
      </c>
      <c r="S9"/>
      <c r="T9" s="1" t="b">
        <f t="shared" si="2"/>
        <v>0</v>
      </c>
      <c r="AL9" t="b">
        <v>1</v>
      </c>
    </row>
    <row r="10" spans="1:78" x14ac:dyDescent="0.2">
      <c r="A10" t="s">
        <v>20</v>
      </c>
      <c r="B10" s="1">
        <v>2002</v>
      </c>
      <c r="C10" s="1">
        <v>6</v>
      </c>
      <c r="D10" s="1">
        <v>9</v>
      </c>
      <c r="E10" t="s">
        <v>4</v>
      </c>
      <c r="G10" s="1">
        <v>3</v>
      </c>
      <c r="H10" s="11" t="str">
        <f t="shared" si="0"/>
        <v>2002_06_009.gif</v>
      </c>
      <c r="I10"/>
      <c r="J10"/>
      <c r="L10" s="1" t="b">
        <v>0</v>
      </c>
      <c r="M10" s="1">
        <v>0</v>
      </c>
      <c r="N10" s="1" t="s">
        <v>601</v>
      </c>
      <c r="O10" s="1">
        <v>9</v>
      </c>
      <c r="P10" s="12" t="s">
        <v>593</v>
      </c>
      <c r="Q10"/>
      <c r="R10" s="1" t="b">
        <f t="shared" si="1"/>
        <v>0</v>
      </c>
      <c r="S10"/>
      <c r="T10" s="1" t="b">
        <f t="shared" si="2"/>
        <v>0</v>
      </c>
      <c r="AM10" t="b">
        <v>1</v>
      </c>
    </row>
    <row r="11" spans="1:78" x14ac:dyDescent="0.2">
      <c r="A11" t="s">
        <v>21</v>
      </c>
      <c r="B11" s="1">
        <v>2002</v>
      </c>
      <c r="C11" s="1">
        <v>6</v>
      </c>
      <c r="D11" s="1">
        <v>10</v>
      </c>
      <c r="E11" t="s">
        <v>5</v>
      </c>
      <c r="G11" s="1">
        <v>2</v>
      </c>
      <c r="H11" s="11" t="str">
        <f t="shared" si="0"/>
        <v>2002_06_010.gif</v>
      </c>
      <c r="I11"/>
      <c r="J11"/>
      <c r="L11" s="1" t="b">
        <v>0</v>
      </c>
      <c r="M11" s="1">
        <v>0</v>
      </c>
      <c r="N11" s="1" t="s">
        <v>601</v>
      </c>
      <c r="O11" s="1">
        <v>10</v>
      </c>
      <c r="P11" s="12" t="s">
        <v>595</v>
      </c>
      <c r="Q11"/>
      <c r="R11" s="1" t="b">
        <f t="shared" si="1"/>
        <v>0</v>
      </c>
      <c r="S11"/>
      <c r="T11" s="1" t="b">
        <f t="shared" si="2"/>
        <v>0</v>
      </c>
      <c r="AS11" t="b">
        <v>1</v>
      </c>
    </row>
    <row r="12" spans="1:78" x14ac:dyDescent="0.2">
      <c r="A12" t="s">
        <v>22</v>
      </c>
      <c r="B12" s="1">
        <v>2002</v>
      </c>
      <c r="C12" s="1">
        <v>6</v>
      </c>
      <c r="D12" s="1">
        <v>11</v>
      </c>
      <c r="E12" t="s">
        <v>6</v>
      </c>
      <c r="G12" s="1">
        <v>2</v>
      </c>
      <c r="H12" s="11" t="str">
        <f t="shared" si="0"/>
        <v>2002_06_011.gif</v>
      </c>
      <c r="I12"/>
      <c r="J12"/>
      <c r="L12" s="1" t="b">
        <v>0</v>
      </c>
      <c r="M12" s="1">
        <v>0</v>
      </c>
      <c r="N12" s="1" t="s">
        <v>601</v>
      </c>
      <c r="O12" s="1">
        <v>11</v>
      </c>
      <c r="P12" s="12" t="s">
        <v>558</v>
      </c>
      <c r="Q12"/>
      <c r="R12" s="1" t="b">
        <f t="shared" si="1"/>
        <v>0</v>
      </c>
      <c r="S12"/>
      <c r="T12" s="1" t="b">
        <f t="shared" si="2"/>
        <v>0</v>
      </c>
      <c r="AV12" t="b">
        <v>1</v>
      </c>
    </row>
    <row r="13" spans="1:78" x14ac:dyDescent="0.2">
      <c r="A13" t="s">
        <v>23</v>
      </c>
      <c r="B13" s="1">
        <v>2002</v>
      </c>
      <c r="C13" s="1">
        <v>6</v>
      </c>
      <c r="D13" s="1">
        <v>12</v>
      </c>
      <c r="E13" t="s">
        <v>6</v>
      </c>
      <c r="G13" s="1">
        <v>1</v>
      </c>
      <c r="H13" s="11" t="str">
        <f t="shared" si="0"/>
        <v>2002_06_012.gif</v>
      </c>
      <c r="I13"/>
      <c r="J13"/>
      <c r="L13" s="1" t="b">
        <v>0</v>
      </c>
      <c r="M13" s="1">
        <v>0</v>
      </c>
      <c r="N13" s="1" t="s">
        <v>601</v>
      </c>
      <c r="O13" s="1">
        <v>12</v>
      </c>
      <c r="P13" s="12" t="s">
        <v>669</v>
      </c>
      <c r="Q13"/>
      <c r="R13" s="1" t="b">
        <f t="shared" si="1"/>
        <v>0</v>
      </c>
      <c r="S13"/>
      <c r="T13" s="1" t="b">
        <f t="shared" si="2"/>
        <v>0</v>
      </c>
      <c r="AV13" t="b">
        <v>1</v>
      </c>
      <c r="AW13" t="b">
        <v>1</v>
      </c>
    </row>
    <row r="14" spans="1:78" x14ac:dyDescent="0.2">
      <c r="A14" t="s">
        <v>24</v>
      </c>
      <c r="B14" s="1">
        <v>2002</v>
      </c>
      <c r="C14" s="1">
        <v>6</v>
      </c>
      <c r="D14" s="1">
        <v>13</v>
      </c>
      <c r="E14" t="s">
        <v>6</v>
      </c>
      <c r="G14" s="1">
        <v>1</v>
      </c>
      <c r="H14" s="11" t="str">
        <f t="shared" si="0"/>
        <v>2002_06_013.gif</v>
      </c>
      <c r="I14"/>
      <c r="J14"/>
      <c r="L14" s="1" t="b">
        <v>0</v>
      </c>
      <c r="M14" s="1">
        <v>0</v>
      </c>
      <c r="N14" s="1" t="s">
        <v>601</v>
      </c>
      <c r="O14" s="1">
        <v>13</v>
      </c>
      <c r="P14" s="12" t="s">
        <v>580</v>
      </c>
      <c r="Q14"/>
      <c r="R14" s="1" t="b">
        <f t="shared" si="1"/>
        <v>0</v>
      </c>
      <c r="S14"/>
      <c r="T14" s="1" t="b">
        <f t="shared" si="2"/>
        <v>0</v>
      </c>
      <c r="AU14" t="b">
        <v>1</v>
      </c>
    </row>
    <row r="15" spans="1:78" x14ac:dyDescent="0.2">
      <c r="A15" t="s">
        <v>25</v>
      </c>
      <c r="B15" s="1">
        <v>2002</v>
      </c>
      <c r="C15" s="1">
        <v>6</v>
      </c>
      <c r="D15" s="1">
        <v>14</v>
      </c>
      <c r="E15" t="s">
        <v>7</v>
      </c>
      <c r="G15" s="1">
        <v>2</v>
      </c>
      <c r="H15" s="11" t="str">
        <f t="shared" si="0"/>
        <v>2002_06_014.gif</v>
      </c>
      <c r="I15"/>
      <c r="J15"/>
      <c r="L15" s="1" t="b">
        <v>0</v>
      </c>
      <c r="M15" s="1">
        <v>0</v>
      </c>
      <c r="N15" s="1" t="s">
        <v>601</v>
      </c>
      <c r="O15" s="1">
        <v>14</v>
      </c>
      <c r="P15" s="12" t="s">
        <v>559</v>
      </c>
      <c r="Q15"/>
      <c r="R15" s="1" t="b">
        <f t="shared" si="1"/>
        <v>0</v>
      </c>
      <c r="S15"/>
      <c r="T15" s="1" t="b">
        <f t="shared" si="2"/>
        <v>0</v>
      </c>
      <c r="AZ15" t="b">
        <v>1</v>
      </c>
    </row>
    <row r="16" spans="1:78" x14ac:dyDescent="0.2">
      <c r="A16" t="s">
        <v>26</v>
      </c>
      <c r="B16" s="1">
        <v>2002</v>
      </c>
      <c r="C16" s="1">
        <v>6</v>
      </c>
      <c r="D16" s="1">
        <v>15</v>
      </c>
      <c r="E16" t="s">
        <v>7</v>
      </c>
      <c r="G16" s="1">
        <v>4</v>
      </c>
      <c r="H16" s="11" t="str">
        <f t="shared" si="0"/>
        <v>2002_06_015.gif</v>
      </c>
      <c r="I16"/>
      <c r="J16"/>
      <c r="L16" s="1" t="b">
        <v>0</v>
      </c>
      <c r="M16" s="1">
        <v>0</v>
      </c>
      <c r="N16" s="1" t="s">
        <v>601</v>
      </c>
      <c r="O16" s="1">
        <v>15</v>
      </c>
      <c r="P16" s="12" t="s">
        <v>579</v>
      </c>
      <c r="Q16"/>
      <c r="R16" s="1" t="b">
        <f t="shared" si="1"/>
        <v>0</v>
      </c>
      <c r="S16"/>
      <c r="T16" s="1" t="b">
        <f t="shared" si="2"/>
        <v>0</v>
      </c>
      <c r="AX16" t="b">
        <v>1</v>
      </c>
    </row>
    <row r="17" spans="1:54" x14ac:dyDescent="0.2">
      <c r="A17" t="s">
        <v>27</v>
      </c>
      <c r="B17" s="1">
        <v>2002</v>
      </c>
      <c r="C17" s="1">
        <v>6</v>
      </c>
      <c r="D17" s="1">
        <v>16</v>
      </c>
      <c r="E17" t="s">
        <v>7</v>
      </c>
      <c r="G17" s="1">
        <v>4</v>
      </c>
      <c r="H17" s="11" t="str">
        <f t="shared" si="0"/>
        <v>2002_06_016.gif</v>
      </c>
      <c r="I17"/>
      <c r="J17"/>
      <c r="L17" s="1" t="b">
        <v>0</v>
      </c>
      <c r="M17" s="1">
        <v>0</v>
      </c>
      <c r="N17" s="1" t="s">
        <v>601</v>
      </c>
      <c r="O17" s="1">
        <v>16</v>
      </c>
      <c r="P17" s="12" t="s">
        <v>587</v>
      </c>
      <c r="Q17"/>
      <c r="R17" s="1" t="b">
        <f t="shared" si="1"/>
        <v>0</v>
      </c>
      <c r="S17"/>
      <c r="T17" s="1" t="b">
        <f t="shared" si="2"/>
        <v>0</v>
      </c>
      <c r="BB17" t="b">
        <v>1</v>
      </c>
    </row>
    <row r="18" spans="1:54" x14ac:dyDescent="0.2">
      <c r="A18" t="s">
        <v>31</v>
      </c>
      <c r="B18" s="1">
        <v>2002</v>
      </c>
      <c r="C18" s="1">
        <v>6</v>
      </c>
      <c r="D18" s="1">
        <v>20</v>
      </c>
      <c r="E18" t="s">
        <v>7</v>
      </c>
      <c r="G18" s="1">
        <v>1</v>
      </c>
      <c r="H18" s="11" t="str">
        <f t="shared" si="0"/>
        <v>2002_06_020.gif</v>
      </c>
      <c r="I18"/>
      <c r="J18"/>
      <c r="L18" s="1" t="b">
        <v>0</v>
      </c>
      <c r="M18" s="1">
        <v>0</v>
      </c>
      <c r="N18" s="1" t="s">
        <v>601</v>
      </c>
      <c r="O18" s="1">
        <v>20</v>
      </c>
      <c r="P18" s="12" t="s">
        <v>670</v>
      </c>
      <c r="Q18"/>
      <c r="R18" s="1" t="b">
        <f t="shared" si="1"/>
        <v>0</v>
      </c>
      <c r="S18"/>
      <c r="T18" s="1" t="b">
        <f t="shared" si="2"/>
        <v>0</v>
      </c>
      <c r="AX18" t="b">
        <v>1</v>
      </c>
      <c r="AY18" t="b">
        <v>1</v>
      </c>
    </row>
    <row r="19" spans="1:54" x14ac:dyDescent="0.2">
      <c r="A19" t="s">
        <v>44</v>
      </c>
      <c r="B19" s="1">
        <v>2002</v>
      </c>
      <c r="C19" s="1">
        <v>6</v>
      </c>
      <c r="D19" s="1">
        <v>33</v>
      </c>
      <c r="E19" t="s">
        <v>7</v>
      </c>
      <c r="G19" s="1">
        <v>4</v>
      </c>
      <c r="H19" s="11" t="str">
        <f t="shared" si="0"/>
        <v>2002_06_033.gif</v>
      </c>
      <c r="I19"/>
      <c r="J19"/>
      <c r="L19" s="1" t="b">
        <v>0</v>
      </c>
      <c r="M19" s="1">
        <v>3</v>
      </c>
      <c r="N19" s="1" t="s">
        <v>601</v>
      </c>
      <c r="O19" s="1">
        <v>33</v>
      </c>
      <c r="P19" s="12" t="s">
        <v>560</v>
      </c>
      <c r="Q19"/>
      <c r="R19" s="1" t="b">
        <f t="shared" si="1"/>
        <v>0</v>
      </c>
      <c r="S19"/>
      <c r="T19" s="1" t="b">
        <f t="shared" si="2"/>
        <v>0</v>
      </c>
      <c r="AW19" t="b">
        <v>0</v>
      </c>
      <c r="BA19" t="b">
        <v>1</v>
      </c>
    </row>
    <row r="20" spans="1:54" x14ac:dyDescent="0.2">
      <c r="A20" t="str">
        <f t="shared" ref="A20:A22" si="3">B20 &amp; "_" &amp; TEXT(C20,"00") &amp; "_" &amp; TEXT(D20,"000")</f>
        <v>2002_06_036</v>
      </c>
      <c r="B20" s="1">
        <v>2002</v>
      </c>
      <c r="C20" s="1">
        <v>6</v>
      </c>
      <c r="D20" s="1">
        <v>36</v>
      </c>
      <c r="E20" t="s">
        <v>2</v>
      </c>
      <c r="G20" s="1">
        <v>2</v>
      </c>
      <c r="H20" s="11" t="str">
        <f t="shared" si="0"/>
        <v>2002_06_036.gif</v>
      </c>
      <c r="I20"/>
      <c r="J20"/>
      <c r="L20" s="1" t="b">
        <v>0</v>
      </c>
      <c r="M20" s="1">
        <v>0</v>
      </c>
      <c r="N20" s="1" t="s">
        <v>657</v>
      </c>
      <c r="O20" s="1">
        <v>36</v>
      </c>
      <c r="P20" s="12" t="s">
        <v>553</v>
      </c>
      <c r="Q20"/>
      <c r="R20" s="1" t="b">
        <f t="shared" si="1"/>
        <v>0</v>
      </c>
      <c r="S20"/>
      <c r="T20" s="1" t="b">
        <f t="shared" si="2"/>
        <v>0</v>
      </c>
      <c r="W20" t="b">
        <v>1</v>
      </c>
    </row>
    <row r="21" spans="1:54" x14ac:dyDescent="0.2">
      <c r="A21" t="str">
        <f t="shared" si="3"/>
        <v>2002_06_039</v>
      </c>
      <c r="B21" s="1">
        <v>2002</v>
      </c>
      <c r="C21" s="1">
        <v>6</v>
      </c>
      <c r="D21" s="1">
        <v>39</v>
      </c>
      <c r="E21" t="s">
        <v>1</v>
      </c>
      <c r="G21" s="1">
        <v>1</v>
      </c>
      <c r="H21" s="11" t="str">
        <f t="shared" si="0"/>
        <v>2002_06_039.gif</v>
      </c>
      <c r="I21"/>
      <c r="J21"/>
      <c r="L21" s="1" t="b">
        <v>0</v>
      </c>
      <c r="M21" s="1">
        <v>0</v>
      </c>
      <c r="N21" s="1" t="s">
        <v>657</v>
      </c>
      <c r="O21" s="1">
        <v>39</v>
      </c>
      <c r="P21" s="12" t="s">
        <v>547</v>
      </c>
      <c r="Q21"/>
      <c r="R21" s="1" t="b">
        <f t="shared" si="1"/>
        <v>0</v>
      </c>
      <c r="S21"/>
      <c r="T21" s="1" t="b">
        <f t="shared" si="2"/>
        <v>0</v>
      </c>
      <c r="U21" t="b">
        <v>1</v>
      </c>
    </row>
    <row r="22" spans="1:54" x14ac:dyDescent="0.2">
      <c r="A22" t="str">
        <f t="shared" si="3"/>
        <v>2002_06_044</v>
      </c>
      <c r="B22" s="1">
        <v>2002</v>
      </c>
      <c r="C22" s="1">
        <v>6</v>
      </c>
      <c r="D22" s="1">
        <v>44</v>
      </c>
      <c r="E22" t="s">
        <v>3</v>
      </c>
      <c r="G22" s="1">
        <v>4</v>
      </c>
      <c r="H22" s="11" t="str">
        <f t="shared" si="0"/>
        <v>2002_06_044.gif</v>
      </c>
      <c r="I22"/>
      <c r="J22"/>
      <c r="L22" s="1" t="b">
        <v>0</v>
      </c>
      <c r="M22" s="1">
        <v>0</v>
      </c>
      <c r="N22" s="1" t="s">
        <v>657</v>
      </c>
      <c r="O22" s="1">
        <v>44</v>
      </c>
      <c r="P22" s="12" t="s">
        <v>549</v>
      </c>
      <c r="Q22"/>
      <c r="R22" s="1" t="b">
        <f t="shared" si="1"/>
        <v>0</v>
      </c>
      <c r="S22"/>
      <c r="T22" s="1" t="b">
        <f t="shared" si="2"/>
        <v>0</v>
      </c>
      <c r="AD22" t="b">
        <v>1</v>
      </c>
    </row>
    <row r="23" spans="1:54" x14ac:dyDescent="0.2">
      <c r="A23" t="s">
        <v>47</v>
      </c>
      <c r="B23" s="1">
        <v>2002</v>
      </c>
      <c r="C23" s="1">
        <v>8</v>
      </c>
      <c r="D23" s="1">
        <v>1</v>
      </c>
      <c r="E23" t="s">
        <v>5</v>
      </c>
      <c r="G23" s="1">
        <v>4</v>
      </c>
      <c r="H23" s="11" t="str">
        <f t="shared" si="0"/>
        <v>2002_08_001.gif</v>
      </c>
      <c r="I23"/>
      <c r="J23"/>
      <c r="L23" s="1" t="b">
        <v>0</v>
      </c>
      <c r="M23" s="1">
        <v>0</v>
      </c>
      <c r="N23" s="1" t="s">
        <v>601</v>
      </c>
      <c r="O23" s="1">
        <v>46</v>
      </c>
      <c r="P23" s="12" t="s">
        <v>595</v>
      </c>
      <c r="Q23"/>
      <c r="R23" s="1" t="b">
        <f t="shared" si="1"/>
        <v>0</v>
      </c>
      <c r="S23"/>
      <c r="T23" s="1" t="b">
        <f t="shared" si="2"/>
        <v>0</v>
      </c>
      <c r="AS23" t="b">
        <v>1</v>
      </c>
    </row>
    <row r="24" spans="1:54" x14ac:dyDescent="0.2">
      <c r="A24" t="s">
        <v>48</v>
      </c>
      <c r="B24" s="1">
        <v>2002</v>
      </c>
      <c r="C24" s="1">
        <v>8</v>
      </c>
      <c r="D24" s="1">
        <v>2</v>
      </c>
      <c r="E24" t="s">
        <v>2</v>
      </c>
      <c r="G24" s="1">
        <v>2</v>
      </c>
      <c r="H24" s="11" t="str">
        <f t="shared" si="0"/>
        <v>2002_08_002.gif</v>
      </c>
      <c r="I24"/>
      <c r="J24"/>
      <c r="L24" s="1" t="b">
        <v>0</v>
      </c>
      <c r="M24" s="1">
        <v>0</v>
      </c>
      <c r="N24" s="1" t="s">
        <v>601</v>
      </c>
      <c r="O24" s="1">
        <v>47</v>
      </c>
      <c r="P24" s="12" t="s">
        <v>551</v>
      </c>
      <c r="Q24"/>
      <c r="R24" s="1" t="b">
        <f t="shared" si="1"/>
        <v>0</v>
      </c>
      <c r="S24"/>
      <c r="T24" s="1" t="b">
        <f t="shared" si="2"/>
        <v>0</v>
      </c>
      <c r="AB24" t="b">
        <v>1</v>
      </c>
    </row>
    <row r="25" spans="1:54" x14ac:dyDescent="0.2">
      <c r="A25" t="s">
        <v>49</v>
      </c>
      <c r="B25" s="1">
        <v>2002</v>
      </c>
      <c r="C25" s="1">
        <v>8</v>
      </c>
      <c r="D25" s="1">
        <v>3</v>
      </c>
      <c r="E25" t="s">
        <v>2</v>
      </c>
      <c r="G25" s="1">
        <v>3</v>
      </c>
      <c r="H25" s="11" t="str">
        <f t="shared" si="0"/>
        <v>2002_08_003.gif</v>
      </c>
      <c r="I25"/>
      <c r="J25"/>
      <c r="L25" s="1" t="b">
        <v>0</v>
      </c>
      <c r="M25" s="1">
        <v>0</v>
      </c>
      <c r="N25" s="1" t="s">
        <v>601</v>
      </c>
      <c r="O25" s="1">
        <v>48</v>
      </c>
      <c r="P25" s="12" t="s">
        <v>551</v>
      </c>
      <c r="Q25"/>
      <c r="R25" s="1" t="b">
        <f t="shared" si="1"/>
        <v>0</v>
      </c>
      <c r="S25"/>
      <c r="T25" s="1" t="b">
        <f t="shared" si="2"/>
        <v>0</v>
      </c>
      <c r="AB25" t="b">
        <v>1</v>
      </c>
    </row>
    <row r="26" spans="1:54" x14ac:dyDescent="0.2">
      <c r="A26" t="s">
        <v>50</v>
      </c>
      <c r="B26" s="1">
        <v>2002</v>
      </c>
      <c r="C26" s="1">
        <v>8</v>
      </c>
      <c r="D26" s="1">
        <v>4</v>
      </c>
      <c r="E26" t="s">
        <v>4</v>
      </c>
      <c r="G26" s="1">
        <v>4</v>
      </c>
      <c r="H26" s="11" t="str">
        <f t="shared" si="0"/>
        <v>2002_08_004.gif</v>
      </c>
      <c r="I26"/>
      <c r="J26"/>
      <c r="L26" s="1" t="b">
        <v>0</v>
      </c>
      <c r="M26" s="1">
        <v>0</v>
      </c>
      <c r="N26" s="1" t="s">
        <v>601</v>
      </c>
      <c r="O26" s="1">
        <v>49</v>
      </c>
      <c r="P26" s="12" t="s">
        <v>593</v>
      </c>
      <c r="Q26"/>
      <c r="R26" s="1" t="b">
        <f t="shared" si="1"/>
        <v>0</v>
      </c>
      <c r="S26"/>
      <c r="T26" s="1" t="b">
        <f t="shared" si="2"/>
        <v>0</v>
      </c>
      <c r="AM26" t="b">
        <v>1</v>
      </c>
    </row>
    <row r="27" spans="1:54" x14ac:dyDescent="0.2">
      <c r="A27" t="s">
        <v>51</v>
      </c>
      <c r="B27" s="1">
        <v>2002</v>
      </c>
      <c r="C27" s="1">
        <v>8</v>
      </c>
      <c r="D27" s="1">
        <v>5</v>
      </c>
      <c r="E27" t="s">
        <v>5</v>
      </c>
      <c r="G27" s="1">
        <v>3</v>
      </c>
      <c r="H27" s="11" t="str">
        <f t="shared" si="0"/>
        <v>2002_08_005.gif</v>
      </c>
      <c r="I27"/>
      <c r="J27"/>
      <c r="L27" s="1" t="b">
        <v>0</v>
      </c>
      <c r="M27" s="1">
        <v>0</v>
      </c>
      <c r="N27" s="1" t="s">
        <v>601</v>
      </c>
      <c r="O27" s="1">
        <v>50</v>
      </c>
      <c r="P27" s="12" t="s">
        <v>598</v>
      </c>
      <c r="Q27"/>
      <c r="R27" s="1" t="b">
        <f t="shared" si="1"/>
        <v>0</v>
      </c>
      <c r="S27"/>
      <c r="T27" s="1" t="b">
        <f t="shared" si="2"/>
        <v>0</v>
      </c>
      <c r="AO27" t="b">
        <v>1</v>
      </c>
    </row>
    <row r="28" spans="1:54" x14ac:dyDescent="0.2">
      <c r="A28" t="s">
        <v>53</v>
      </c>
      <c r="B28" s="1">
        <v>2002</v>
      </c>
      <c r="C28" s="1">
        <v>8</v>
      </c>
      <c r="D28" s="1">
        <v>7</v>
      </c>
      <c r="E28" t="s">
        <v>3</v>
      </c>
      <c r="G28" s="1">
        <v>1</v>
      </c>
      <c r="H28" s="11" t="str">
        <f t="shared" si="0"/>
        <v>2002_08_007.gif</v>
      </c>
      <c r="I28"/>
      <c r="J28"/>
      <c r="L28" s="1" t="b">
        <v>0</v>
      </c>
      <c r="M28" s="1">
        <v>0</v>
      </c>
      <c r="N28" s="1" t="s">
        <v>601</v>
      </c>
      <c r="O28" s="1">
        <v>52</v>
      </c>
      <c r="P28" s="12" t="s">
        <v>546</v>
      </c>
      <c r="Q28"/>
      <c r="R28" s="1" t="b">
        <f t="shared" si="1"/>
        <v>0</v>
      </c>
      <c r="S28"/>
      <c r="T28" s="1" t="b">
        <f t="shared" si="2"/>
        <v>0</v>
      </c>
      <c r="AF28" t="b">
        <v>1</v>
      </c>
    </row>
    <row r="29" spans="1:54" x14ac:dyDescent="0.2">
      <c r="A29" t="s">
        <v>54</v>
      </c>
      <c r="B29" s="1">
        <v>2002</v>
      </c>
      <c r="C29" s="1">
        <v>8</v>
      </c>
      <c r="D29" s="1">
        <v>8</v>
      </c>
      <c r="E29" t="s">
        <v>7</v>
      </c>
      <c r="G29" s="1">
        <v>1</v>
      </c>
      <c r="H29" s="11" t="str">
        <f t="shared" si="0"/>
        <v>2002_08_008.gif</v>
      </c>
      <c r="I29"/>
      <c r="J29"/>
      <c r="L29" s="1" t="b">
        <v>0</v>
      </c>
      <c r="M29" s="1">
        <v>0</v>
      </c>
      <c r="N29" s="1" t="s">
        <v>601</v>
      </c>
      <c r="O29" s="1">
        <v>53</v>
      </c>
      <c r="P29" s="12" t="s">
        <v>671</v>
      </c>
      <c r="Q29"/>
      <c r="R29" s="1" t="b">
        <f t="shared" si="1"/>
        <v>0</v>
      </c>
      <c r="S29"/>
      <c r="T29" s="1" t="b">
        <f t="shared" si="2"/>
        <v>0</v>
      </c>
      <c r="AX29" t="b">
        <v>1</v>
      </c>
      <c r="AY29" t="b">
        <v>1</v>
      </c>
      <c r="BB29" t="b">
        <v>1</v>
      </c>
    </row>
    <row r="30" spans="1:54" x14ac:dyDescent="0.2">
      <c r="A30" t="s">
        <v>56</v>
      </c>
      <c r="B30" s="1">
        <v>2002</v>
      </c>
      <c r="C30" s="1">
        <v>8</v>
      </c>
      <c r="D30" s="1">
        <v>10</v>
      </c>
      <c r="E30" t="s">
        <v>7</v>
      </c>
      <c r="G30" s="1">
        <v>2</v>
      </c>
      <c r="H30" s="11" t="str">
        <f t="shared" si="0"/>
        <v>2002_08_010.gif</v>
      </c>
      <c r="I30"/>
      <c r="J30"/>
      <c r="L30" s="1" t="b">
        <v>0</v>
      </c>
      <c r="M30" s="1">
        <v>3</v>
      </c>
      <c r="N30" s="1" t="s">
        <v>601</v>
      </c>
      <c r="O30" s="1">
        <v>55</v>
      </c>
      <c r="P30" s="12" t="s">
        <v>560</v>
      </c>
      <c r="Q30"/>
      <c r="R30" s="1" t="b">
        <f t="shared" si="1"/>
        <v>0</v>
      </c>
      <c r="S30"/>
      <c r="T30" s="1" t="b">
        <f t="shared" si="2"/>
        <v>0</v>
      </c>
      <c r="BA30" t="b">
        <v>1</v>
      </c>
    </row>
    <row r="31" spans="1:54" x14ac:dyDescent="0.2">
      <c r="A31" t="s">
        <v>58</v>
      </c>
      <c r="B31" s="1">
        <v>2002</v>
      </c>
      <c r="C31" s="1">
        <v>8</v>
      </c>
      <c r="D31" s="1">
        <v>12</v>
      </c>
      <c r="E31" t="s">
        <v>7</v>
      </c>
      <c r="G31" s="1">
        <v>1</v>
      </c>
      <c r="H31" s="11" t="str">
        <f t="shared" si="0"/>
        <v>2002_08_012.gif</v>
      </c>
      <c r="I31"/>
      <c r="J31"/>
      <c r="L31" s="1" t="b">
        <v>0</v>
      </c>
      <c r="M31" s="1">
        <v>0</v>
      </c>
      <c r="N31" s="1" t="s">
        <v>601</v>
      </c>
      <c r="O31" s="1">
        <v>57</v>
      </c>
      <c r="P31" s="12" t="s">
        <v>560</v>
      </c>
      <c r="Q31"/>
      <c r="R31" s="1" t="b">
        <f t="shared" si="1"/>
        <v>0</v>
      </c>
      <c r="S31"/>
      <c r="T31" s="1" t="b">
        <f t="shared" si="2"/>
        <v>0</v>
      </c>
      <c r="BA31" t="b">
        <v>1</v>
      </c>
    </row>
    <row r="32" spans="1:54" x14ac:dyDescent="0.2">
      <c r="A32" t="s">
        <v>71</v>
      </c>
      <c r="B32" s="1">
        <v>2002</v>
      </c>
      <c r="C32" s="1">
        <v>8</v>
      </c>
      <c r="D32" s="1">
        <v>25</v>
      </c>
      <c r="E32" t="s">
        <v>1</v>
      </c>
      <c r="F32" t="s">
        <v>6</v>
      </c>
      <c r="G32" s="1">
        <v>4</v>
      </c>
      <c r="H32" s="11" t="str">
        <f t="shared" ref="H32:H54" si="4">HYPERLINK(A32&amp;".gif")</f>
        <v>2002_08_025.gif</v>
      </c>
      <c r="I32"/>
      <c r="J32"/>
      <c r="L32" s="1" t="b">
        <v>0</v>
      </c>
      <c r="M32" s="1">
        <v>0</v>
      </c>
      <c r="N32" s="1" t="s">
        <v>601</v>
      </c>
      <c r="O32" s="1">
        <v>70</v>
      </c>
      <c r="P32" s="12" t="s">
        <v>672</v>
      </c>
      <c r="Q32"/>
      <c r="R32" s="1" t="b">
        <f t="shared" ref="R32:R54" si="5">OR(S32:T32)</f>
        <v>0</v>
      </c>
      <c r="S32"/>
      <c r="T32" s="1" t="b">
        <f t="shared" ref="T32:T54" si="6">SUMPRODUCT(BC32:BZ32*1)&gt;0</f>
        <v>0</v>
      </c>
      <c r="V32" t="b">
        <v>1</v>
      </c>
      <c r="AV32" t="b">
        <v>1</v>
      </c>
    </row>
    <row r="33" spans="1:54" x14ac:dyDescent="0.2">
      <c r="A33" t="s">
        <v>72</v>
      </c>
      <c r="B33" s="1">
        <v>2002</v>
      </c>
      <c r="C33" s="1">
        <v>8</v>
      </c>
      <c r="D33" s="1">
        <v>26</v>
      </c>
      <c r="E33" t="s">
        <v>5</v>
      </c>
      <c r="G33" s="1">
        <v>3</v>
      </c>
      <c r="H33" s="11" t="str">
        <f t="shared" si="4"/>
        <v>2002_08_026.gif</v>
      </c>
      <c r="I33"/>
      <c r="J33"/>
      <c r="L33" s="1" t="b">
        <v>0</v>
      </c>
      <c r="M33" s="1">
        <v>0</v>
      </c>
      <c r="N33" s="1" t="s">
        <v>601</v>
      </c>
      <c r="O33" s="1">
        <v>71</v>
      </c>
      <c r="P33" s="12" t="s">
        <v>578</v>
      </c>
      <c r="Q33"/>
      <c r="R33" s="1" t="b">
        <f t="shared" si="5"/>
        <v>0</v>
      </c>
      <c r="S33"/>
      <c r="T33" s="1" t="b">
        <f t="shared" si="6"/>
        <v>0</v>
      </c>
      <c r="AQ33" t="b">
        <v>1</v>
      </c>
    </row>
    <row r="34" spans="1:54" x14ac:dyDescent="0.2">
      <c r="A34" t="s">
        <v>73</v>
      </c>
      <c r="B34" s="1">
        <v>2002</v>
      </c>
      <c r="C34" s="1">
        <v>8</v>
      </c>
      <c r="D34" s="1">
        <v>27</v>
      </c>
      <c r="E34" t="s">
        <v>6</v>
      </c>
      <c r="G34" s="1">
        <v>3</v>
      </c>
      <c r="H34" s="11" t="str">
        <f t="shared" si="4"/>
        <v>2002_08_027.gif</v>
      </c>
      <c r="I34"/>
      <c r="J34"/>
      <c r="L34" s="1" t="b">
        <v>0</v>
      </c>
      <c r="M34" s="1">
        <v>0</v>
      </c>
      <c r="N34" s="1" t="s">
        <v>601</v>
      </c>
      <c r="O34" s="1">
        <v>72</v>
      </c>
      <c r="P34" s="12" t="s">
        <v>558</v>
      </c>
      <c r="Q34"/>
      <c r="R34" s="1" t="b">
        <f t="shared" si="5"/>
        <v>0</v>
      </c>
      <c r="S34"/>
      <c r="T34" s="1" t="b">
        <f t="shared" si="6"/>
        <v>0</v>
      </c>
      <c r="AV34" t="b">
        <v>1</v>
      </c>
    </row>
    <row r="35" spans="1:54" x14ac:dyDescent="0.2">
      <c r="A35" t="s">
        <v>74</v>
      </c>
      <c r="B35" s="1">
        <v>2002</v>
      </c>
      <c r="C35" s="1">
        <v>8</v>
      </c>
      <c r="D35" s="1">
        <v>28</v>
      </c>
      <c r="E35" t="s">
        <v>5</v>
      </c>
      <c r="G35" s="1">
        <v>1</v>
      </c>
      <c r="H35" s="11" t="str">
        <f t="shared" si="4"/>
        <v>2002_08_028.gif</v>
      </c>
      <c r="I35"/>
      <c r="J35"/>
      <c r="L35" s="1" t="b">
        <v>0</v>
      </c>
      <c r="M35" s="1">
        <v>0</v>
      </c>
      <c r="N35" s="1" t="s">
        <v>601</v>
      </c>
      <c r="O35" s="1">
        <v>73</v>
      </c>
      <c r="P35" s="12" t="s">
        <v>668</v>
      </c>
      <c r="Q35"/>
      <c r="R35" s="1" t="b">
        <f t="shared" si="5"/>
        <v>0</v>
      </c>
      <c r="S35"/>
      <c r="T35" s="1" t="b">
        <f t="shared" si="6"/>
        <v>0</v>
      </c>
      <c r="AS35" t="b">
        <v>1</v>
      </c>
      <c r="AT35" t="b">
        <v>1</v>
      </c>
    </row>
    <row r="36" spans="1:54" x14ac:dyDescent="0.2">
      <c r="A36" t="s">
        <v>75</v>
      </c>
      <c r="B36" s="1">
        <v>2002</v>
      </c>
      <c r="C36" s="1">
        <v>8</v>
      </c>
      <c r="D36" s="1">
        <v>29</v>
      </c>
      <c r="E36" t="s">
        <v>7</v>
      </c>
      <c r="G36" s="1">
        <v>1</v>
      </c>
      <c r="H36" s="11" t="str">
        <f t="shared" si="4"/>
        <v>2002_08_029.gif</v>
      </c>
      <c r="I36"/>
      <c r="J36"/>
      <c r="L36" s="1" t="b">
        <v>0</v>
      </c>
      <c r="M36" s="1">
        <v>0</v>
      </c>
      <c r="N36" s="1" t="s">
        <v>601</v>
      </c>
      <c r="O36" s="1">
        <v>74</v>
      </c>
      <c r="P36" s="12" t="s">
        <v>587</v>
      </c>
      <c r="Q36"/>
      <c r="R36" s="1" t="b">
        <f t="shared" si="5"/>
        <v>0</v>
      </c>
      <c r="S36"/>
      <c r="T36" s="1" t="b">
        <f t="shared" si="6"/>
        <v>0</v>
      </c>
      <c r="BB36" t="b">
        <v>1</v>
      </c>
    </row>
    <row r="37" spans="1:54" x14ac:dyDescent="0.2">
      <c r="A37" t="s">
        <v>77</v>
      </c>
      <c r="B37" s="1">
        <v>2002</v>
      </c>
      <c r="C37" s="1">
        <v>8</v>
      </c>
      <c r="D37" s="1">
        <v>31</v>
      </c>
      <c r="E37" t="s">
        <v>5</v>
      </c>
      <c r="G37" s="1">
        <v>3</v>
      </c>
      <c r="H37" s="11" t="str">
        <f t="shared" si="4"/>
        <v>2002_08_031.gif</v>
      </c>
      <c r="I37"/>
      <c r="J37"/>
      <c r="L37" s="1" t="b">
        <v>0</v>
      </c>
      <c r="M37" s="1">
        <v>0</v>
      </c>
      <c r="N37" s="1" t="s">
        <v>601</v>
      </c>
      <c r="O37" s="1">
        <v>76</v>
      </c>
      <c r="P37" s="12" t="s">
        <v>673</v>
      </c>
      <c r="Q37"/>
      <c r="R37" s="1" t="b">
        <f t="shared" si="5"/>
        <v>0</v>
      </c>
      <c r="S37"/>
      <c r="T37" s="1" t="b">
        <f t="shared" si="6"/>
        <v>0</v>
      </c>
      <c r="AR37" t="b">
        <v>1</v>
      </c>
      <c r="AS37" t="b">
        <v>1</v>
      </c>
    </row>
    <row r="38" spans="1:54" x14ac:dyDescent="0.2">
      <c r="A38" t="str">
        <f t="shared" ref="A38:A41" si="7">B38 &amp; "_" &amp; TEXT(C38,"00") &amp; "_" &amp; TEXT(D38,"000")</f>
        <v>2002_08_036</v>
      </c>
      <c r="B38" s="1">
        <v>2002</v>
      </c>
      <c r="C38" s="1">
        <v>8</v>
      </c>
      <c r="D38" s="1">
        <v>36</v>
      </c>
      <c r="E38" t="s">
        <v>6</v>
      </c>
      <c r="G38" s="1">
        <v>2</v>
      </c>
      <c r="H38" s="11" t="str">
        <f t="shared" si="4"/>
        <v>2002_08_036.gif</v>
      </c>
      <c r="I38"/>
      <c r="J38"/>
      <c r="L38" s="1" t="b">
        <v>0</v>
      </c>
      <c r="M38" s="1">
        <v>0</v>
      </c>
      <c r="N38" s="1" t="s">
        <v>657</v>
      </c>
      <c r="O38" s="1">
        <v>81</v>
      </c>
      <c r="P38" s="12" t="s">
        <v>580</v>
      </c>
      <c r="Q38"/>
      <c r="R38" s="1" t="b">
        <f t="shared" si="5"/>
        <v>0</v>
      </c>
      <c r="S38"/>
      <c r="T38" s="1" t="b">
        <f t="shared" si="6"/>
        <v>0</v>
      </c>
      <c r="AU38" t="b">
        <v>1</v>
      </c>
    </row>
    <row r="39" spans="1:54" x14ac:dyDescent="0.2">
      <c r="A39" t="str">
        <f t="shared" si="7"/>
        <v>2002_08_037</v>
      </c>
      <c r="B39" s="1">
        <v>2002</v>
      </c>
      <c r="C39" s="1">
        <v>8</v>
      </c>
      <c r="D39" s="1">
        <v>37</v>
      </c>
      <c r="E39" t="s">
        <v>5</v>
      </c>
      <c r="G39" s="1">
        <v>2</v>
      </c>
      <c r="H39" s="11" t="str">
        <f t="shared" si="4"/>
        <v>2002_08_037.gif</v>
      </c>
      <c r="I39"/>
      <c r="J39"/>
      <c r="L39" s="1" t="b">
        <v>0</v>
      </c>
      <c r="M39" s="1">
        <v>0</v>
      </c>
      <c r="N39" s="1" t="s">
        <v>657</v>
      </c>
      <c r="O39" s="1">
        <v>82</v>
      </c>
      <c r="P39" s="12" t="s">
        <v>598</v>
      </c>
      <c r="Q39"/>
      <c r="R39" s="1" t="b">
        <f t="shared" si="5"/>
        <v>0</v>
      </c>
      <c r="S39"/>
      <c r="T39" s="1" t="b">
        <f t="shared" si="6"/>
        <v>0</v>
      </c>
      <c r="AO39" t="b">
        <v>1</v>
      </c>
    </row>
    <row r="40" spans="1:54" x14ac:dyDescent="0.2">
      <c r="A40" t="str">
        <f t="shared" si="7"/>
        <v>2002_08_039</v>
      </c>
      <c r="B40" s="1">
        <v>2002</v>
      </c>
      <c r="C40" s="1">
        <v>8</v>
      </c>
      <c r="D40" s="1">
        <v>39</v>
      </c>
      <c r="E40" t="s">
        <v>2</v>
      </c>
      <c r="G40" s="1">
        <v>3</v>
      </c>
      <c r="H40" s="11" t="str">
        <f t="shared" si="4"/>
        <v>2002_08_039.gif</v>
      </c>
      <c r="I40"/>
      <c r="J40"/>
      <c r="L40" s="1" t="b">
        <v>0</v>
      </c>
      <c r="M40" s="1">
        <v>0</v>
      </c>
      <c r="N40" s="1" t="s">
        <v>657</v>
      </c>
      <c r="O40" s="1">
        <v>84</v>
      </c>
      <c r="P40" s="12" t="s">
        <v>553</v>
      </c>
      <c r="Q40"/>
      <c r="R40" s="1" t="b">
        <f t="shared" si="5"/>
        <v>0</v>
      </c>
      <c r="S40"/>
      <c r="T40" s="1" t="b">
        <f t="shared" si="6"/>
        <v>0</v>
      </c>
      <c r="W40" t="b">
        <v>1</v>
      </c>
    </row>
    <row r="41" spans="1:54" x14ac:dyDescent="0.2">
      <c r="A41" t="str">
        <f t="shared" si="7"/>
        <v>2002_08_040</v>
      </c>
      <c r="B41" s="1">
        <v>2002</v>
      </c>
      <c r="C41" s="1">
        <v>8</v>
      </c>
      <c r="D41" s="1">
        <v>40</v>
      </c>
      <c r="E41" t="s">
        <v>2</v>
      </c>
      <c r="G41" s="1">
        <v>2</v>
      </c>
      <c r="H41" s="11" t="str">
        <f t="shared" si="4"/>
        <v>2002_08_040.gif</v>
      </c>
      <c r="I41"/>
      <c r="J41"/>
      <c r="L41" s="1" t="b">
        <v>0</v>
      </c>
      <c r="M41" s="1">
        <v>0</v>
      </c>
      <c r="N41" s="1" t="s">
        <v>657</v>
      </c>
      <c r="O41" s="1">
        <v>85</v>
      </c>
      <c r="P41" s="12" t="s">
        <v>594</v>
      </c>
      <c r="Q41"/>
      <c r="R41" s="1" t="b">
        <f t="shared" si="5"/>
        <v>0</v>
      </c>
      <c r="S41"/>
      <c r="T41" s="1" t="b">
        <f t="shared" si="6"/>
        <v>0</v>
      </c>
      <c r="Z41" t="b">
        <v>1</v>
      </c>
    </row>
    <row r="42" spans="1:54" x14ac:dyDescent="0.2">
      <c r="A42" t="s">
        <v>82</v>
      </c>
      <c r="B42" s="1">
        <v>2003</v>
      </c>
      <c r="C42" s="1">
        <v>1</v>
      </c>
      <c r="D42" s="1">
        <v>1</v>
      </c>
      <c r="E42" t="s">
        <v>3</v>
      </c>
      <c r="G42" s="1">
        <v>3</v>
      </c>
      <c r="H42" s="11" t="str">
        <f t="shared" si="4"/>
        <v>2003_01_001.gif</v>
      </c>
      <c r="I42"/>
      <c r="J42"/>
      <c r="L42" s="1" t="b">
        <v>0</v>
      </c>
      <c r="M42" s="1">
        <v>0</v>
      </c>
      <c r="N42" s="1" t="s">
        <v>601</v>
      </c>
      <c r="O42" s="1">
        <v>93</v>
      </c>
      <c r="P42" s="12" t="s">
        <v>546</v>
      </c>
      <c r="Q42"/>
      <c r="R42" s="1" t="b">
        <f t="shared" si="5"/>
        <v>0</v>
      </c>
      <c r="S42"/>
      <c r="T42" s="1" t="b">
        <f t="shared" si="6"/>
        <v>0</v>
      </c>
      <c r="AF42" t="b">
        <v>1</v>
      </c>
    </row>
    <row r="43" spans="1:54" x14ac:dyDescent="0.2">
      <c r="A43" t="s">
        <v>84</v>
      </c>
      <c r="B43" s="1">
        <v>2003</v>
      </c>
      <c r="C43" s="1">
        <v>1</v>
      </c>
      <c r="D43" s="1">
        <v>3</v>
      </c>
      <c r="E43" t="s">
        <v>2</v>
      </c>
      <c r="G43" s="1">
        <v>3</v>
      </c>
      <c r="H43" s="11" t="str">
        <f t="shared" si="4"/>
        <v>2003_01_003.gif</v>
      </c>
      <c r="I43"/>
      <c r="J43"/>
      <c r="L43" s="1" t="b">
        <v>0</v>
      </c>
      <c r="M43" s="1">
        <v>0</v>
      </c>
      <c r="N43" s="1" t="s">
        <v>601</v>
      </c>
      <c r="O43" s="1">
        <v>95</v>
      </c>
      <c r="P43" s="12" t="s">
        <v>552</v>
      </c>
      <c r="Q43"/>
      <c r="R43" s="1" t="b">
        <f t="shared" si="5"/>
        <v>0</v>
      </c>
      <c r="S43"/>
      <c r="T43" s="1" t="b">
        <f t="shared" si="6"/>
        <v>0</v>
      </c>
      <c r="AC43" t="b">
        <v>1</v>
      </c>
    </row>
    <row r="44" spans="1:54" x14ac:dyDescent="0.2">
      <c r="A44" t="s">
        <v>85</v>
      </c>
      <c r="B44" s="1">
        <v>2003</v>
      </c>
      <c r="C44" s="1">
        <v>1</v>
      </c>
      <c r="D44" s="1">
        <v>4</v>
      </c>
      <c r="E44" t="s">
        <v>5</v>
      </c>
      <c r="G44" s="1">
        <v>4</v>
      </c>
      <c r="H44" s="11" t="str">
        <f t="shared" si="4"/>
        <v>2003_01_004.gif</v>
      </c>
      <c r="I44"/>
      <c r="J44"/>
      <c r="L44" s="1" t="b">
        <v>0</v>
      </c>
      <c r="M44" s="1">
        <v>0</v>
      </c>
      <c r="N44" s="1" t="s">
        <v>601</v>
      </c>
      <c r="O44" s="1">
        <v>96</v>
      </c>
      <c r="P44" s="12" t="s">
        <v>673</v>
      </c>
      <c r="Q44"/>
      <c r="R44" s="1" t="b">
        <f t="shared" si="5"/>
        <v>0</v>
      </c>
      <c r="S44"/>
      <c r="T44" s="1" t="b">
        <f t="shared" si="6"/>
        <v>0</v>
      </c>
      <c r="AR44" t="b">
        <v>1</v>
      </c>
      <c r="AS44" t="b">
        <v>1</v>
      </c>
    </row>
    <row r="45" spans="1:54" x14ac:dyDescent="0.2">
      <c r="A45" t="s">
        <v>86</v>
      </c>
      <c r="B45" s="1">
        <v>2003</v>
      </c>
      <c r="C45" s="1">
        <v>1</v>
      </c>
      <c r="D45" s="1">
        <v>5</v>
      </c>
      <c r="E45" t="s">
        <v>5</v>
      </c>
      <c r="G45" s="1">
        <v>2</v>
      </c>
      <c r="H45" s="11" t="str">
        <f t="shared" si="4"/>
        <v>2003_01_005.gif</v>
      </c>
      <c r="I45"/>
      <c r="J45"/>
      <c r="L45" s="1" t="b">
        <v>0</v>
      </c>
      <c r="M45" s="1">
        <v>0</v>
      </c>
      <c r="N45" s="1" t="s">
        <v>601</v>
      </c>
      <c r="O45" s="1">
        <v>97</v>
      </c>
      <c r="P45" s="12" t="s">
        <v>595</v>
      </c>
      <c r="Q45"/>
      <c r="R45" s="1" t="b">
        <f t="shared" si="5"/>
        <v>0</v>
      </c>
      <c r="S45"/>
      <c r="T45" s="1" t="b">
        <f t="shared" si="6"/>
        <v>0</v>
      </c>
      <c r="AS45" t="b">
        <v>1</v>
      </c>
    </row>
    <row r="46" spans="1:54" x14ac:dyDescent="0.2">
      <c r="A46" t="s">
        <v>88</v>
      </c>
      <c r="B46" s="1">
        <v>2003</v>
      </c>
      <c r="C46" s="1">
        <v>1</v>
      </c>
      <c r="D46" s="1">
        <v>7</v>
      </c>
      <c r="E46" t="s">
        <v>6</v>
      </c>
      <c r="G46" s="1">
        <v>4</v>
      </c>
      <c r="H46" s="11" t="str">
        <f t="shared" si="4"/>
        <v>2003_01_007.gif</v>
      </c>
      <c r="I46"/>
      <c r="J46"/>
      <c r="L46" s="1" t="b">
        <v>0</v>
      </c>
      <c r="M46" s="1">
        <v>0</v>
      </c>
      <c r="N46" s="1" t="s">
        <v>601</v>
      </c>
      <c r="O46" s="1">
        <v>99</v>
      </c>
      <c r="P46" s="12" t="s">
        <v>558</v>
      </c>
      <c r="Q46"/>
      <c r="R46" s="1" t="b">
        <f t="shared" si="5"/>
        <v>0</v>
      </c>
      <c r="S46"/>
      <c r="T46" s="1" t="b">
        <f t="shared" si="6"/>
        <v>0</v>
      </c>
      <c r="AV46" t="b">
        <v>1</v>
      </c>
    </row>
    <row r="47" spans="1:54" x14ac:dyDescent="0.2">
      <c r="A47" t="s">
        <v>89</v>
      </c>
      <c r="B47" s="1">
        <v>2003</v>
      </c>
      <c r="C47" s="1">
        <v>1</v>
      </c>
      <c r="D47" s="1">
        <v>8</v>
      </c>
      <c r="E47" t="s">
        <v>5</v>
      </c>
      <c r="G47" s="1">
        <v>2</v>
      </c>
      <c r="H47" s="11" t="str">
        <f t="shared" si="4"/>
        <v>2003_01_008.gif</v>
      </c>
      <c r="I47"/>
      <c r="J47"/>
      <c r="L47" s="1" t="b">
        <v>0</v>
      </c>
      <c r="M47" s="1">
        <v>0</v>
      </c>
      <c r="N47" s="1" t="s">
        <v>601</v>
      </c>
      <c r="O47" s="1">
        <v>100</v>
      </c>
      <c r="P47" s="12" t="s">
        <v>577</v>
      </c>
      <c r="Q47"/>
      <c r="R47" s="1" t="b">
        <f t="shared" si="5"/>
        <v>0</v>
      </c>
      <c r="S47"/>
      <c r="T47" s="1" t="b">
        <f t="shared" si="6"/>
        <v>0</v>
      </c>
      <c r="AP47" t="b">
        <v>1</v>
      </c>
    </row>
    <row r="48" spans="1:54" x14ac:dyDescent="0.2">
      <c r="A48" t="s">
        <v>90</v>
      </c>
      <c r="B48" s="1">
        <v>2003</v>
      </c>
      <c r="C48" s="1">
        <v>1</v>
      </c>
      <c r="D48" s="1">
        <v>9</v>
      </c>
      <c r="E48" t="s">
        <v>4</v>
      </c>
      <c r="G48" s="1">
        <v>2</v>
      </c>
      <c r="H48" s="11" t="str">
        <f t="shared" si="4"/>
        <v>2003_01_009.gif</v>
      </c>
      <c r="I48"/>
      <c r="J48"/>
      <c r="L48" s="1" t="b">
        <v>0</v>
      </c>
      <c r="M48" s="1">
        <v>0</v>
      </c>
      <c r="N48" s="1" t="s">
        <v>601</v>
      </c>
      <c r="O48" s="1">
        <v>101</v>
      </c>
      <c r="P48" s="12" t="s">
        <v>593</v>
      </c>
      <c r="Q48"/>
      <c r="R48" s="1" t="b">
        <f t="shared" si="5"/>
        <v>0</v>
      </c>
      <c r="S48"/>
      <c r="T48" s="1" t="b">
        <f t="shared" si="6"/>
        <v>0</v>
      </c>
      <c r="AM48" t="b">
        <v>1</v>
      </c>
    </row>
    <row r="49" spans="1:54" x14ac:dyDescent="0.2">
      <c r="A49" t="s">
        <v>91</v>
      </c>
      <c r="B49" s="1">
        <v>2003</v>
      </c>
      <c r="C49" s="1">
        <v>1</v>
      </c>
      <c r="D49" s="1">
        <v>10</v>
      </c>
      <c r="E49" t="s">
        <v>4</v>
      </c>
      <c r="G49" s="1">
        <v>1</v>
      </c>
      <c r="H49" s="11" t="str">
        <f t="shared" si="4"/>
        <v>2003_01_010.gif</v>
      </c>
      <c r="I49"/>
      <c r="J49"/>
      <c r="L49" s="1" t="b">
        <v>0</v>
      </c>
      <c r="M49" s="1">
        <v>0</v>
      </c>
      <c r="N49" s="1" t="s">
        <v>601</v>
      </c>
      <c r="O49" s="1">
        <v>102</v>
      </c>
      <c r="P49" s="12" t="s">
        <v>592</v>
      </c>
      <c r="Q49"/>
      <c r="R49" s="1" t="b">
        <f t="shared" si="5"/>
        <v>0</v>
      </c>
      <c r="S49"/>
      <c r="T49" s="1" t="b">
        <f t="shared" si="6"/>
        <v>0</v>
      </c>
      <c r="AL49" t="b">
        <v>1</v>
      </c>
    </row>
    <row r="50" spans="1:54" x14ac:dyDescent="0.2">
      <c r="A50" t="s">
        <v>92</v>
      </c>
      <c r="B50" s="1">
        <v>2003</v>
      </c>
      <c r="C50" s="1">
        <v>1</v>
      </c>
      <c r="D50" s="1">
        <v>11</v>
      </c>
      <c r="E50" t="s">
        <v>3</v>
      </c>
      <c r="F50" t="s">
        <v>5</v>
      </c>
      <c r="G50" s="1">
        <v>3</v>
      </c>
      <c r="H50" s="11" t="str">
        <f t="shared" si="4"/>
        <v>2003_01_011.gif</v>
      </c>
      <c r="I50"/>
      <c r="J50"/>
      <c r="L50" s="1" t="b">
        <v>0</v>
      </c>
      <c r="M50" s="1">
        <v>0</v>
      </c>
      <c r="N50" s="1" t="s">
        <v>601</v>
      </c>
      <c r="O50" s="1">
        <v>103</v>
      </c>
      <c r="P50" s="12" t="s">
        <v>674</v>
      </c>
      <c r="Q50"/>
      <c r="R50" s="1" t="b">
        <f t="shared" si="5"/>
        <v>0</v>
      </c>
      <c r="S50"/>
      <c r="T50" s="1" t="b">
        <f t="shared" si="6"/>
        <v>0</v>
      </c>
      <c r="AE50" t="b">
        <v>1</v>
      </c>
      <c r="AN50" t="b">
        <v>1</v>
      </c>
    </row>
    <row r="51" spans="1:54" x14ac:dyDescent="0.2">
      <c r="A51" t="s">
        <v>96</v>
      </c>
      <c r="B51" s="1">
        <v>2003</v>
      </c>
      <c r="C51" s="1">
        <v>1</v>
      </c>
      <c r="D51" s="1">
        <v>15</v>
      </c>
      <c r="E51" t="s">
        <v>7</v>
      </c>
      <c r="G51" s="1">
        <v>3</v>
      </c>
      <c r="H51" s="11" t="str">
        <f t="shared" si="4"/>
        <v>2003_01_015.gif</v>
      </c>
      <c r="I51"/>
      <c r="J51"/>
      <c r="L51" s="1" t="b">
        <v>0</v>
      </c>
      <c r="M51" s="1">
        <v>0</v>
      </c>
      <c r="N51" s="1" t="s">
        <v>601</v>
      </c>
      <c r="O51" s="1">
        <v>107</v>
      </c>
      <c r="P51" s="12" t="s">
        <v>581</v>
      </c>
      <c r="Q51"/>
      <c r="R51" s="1" t="b">
        <f t="shared" si="5"/>
        <v>0</v>
      </c>
      <c r="S51"/>
      <c r="T51" s="1" t="b">
        <f t="shared" si="6"/>
        <v>0</v>
      </c>
      <c r="AY51" t="b">
        <v>1</v>
      </c>
    </row>
    <row r="52" spans="1:54" x14ac:dyDescent="0.2">
      <c r="A52" t="s">
        <v>97</v>
      </c>
      <c r="B52" s="1">
        <v>2003</v>
      </c>
      <c r="C52" s="1">
        <v>1</v>
      </c>
      <c r="D52" s="1">
        <v>16</v>
      </c>
      <c r="E52" t="s">
        <v>7</v>
      </c>
      <c r="G52" s="1">
        <v>2</v>
      </c>
      <c r="H52" s="11" t="str">
        <f t="shared" si="4"/>
        <v>2003_01_016.gif</v>
      </c>
      <c r="I52"/>
      <c r="J52"/>
      <c r="L52" s="1" t="b">
        <v>0</v>
      </c>
      <c r="M52" s="1">
        <v>0</v>
      </c>
      <c r="N52" s="1" t="s">
        <v>601</v>
      </c>
      <c r="O52" s="1">
        <v>108</v>
      </c>
      <c r="P52" s="12" t="s">
        <v>579</v>
      </c>
      <c r="Q52"/>
      <c r="R52" s="1" t="b">
        <f t="shared" si="5"/>
        <v>0</v>
      </c>
      <c r="S52"/>
      <c r="T52" s="1" t="b">
        <f t="shared" si="6"/>
        <v>0</v>
      </c>
      <c r="AX52" t="b">
        <v>1</v>
      </c>
    </row>
    <row r="53" spans="1:54" x14ac:dyDescent="0.2">
      <c r="A53" t="s">
        <v>99</v>
      </c>
      <c r="B53" s="1">
        <v>2003</v>
      </c>
      <c r="C53" s="1">
        <v>1</v>
      </c>
      <c r="D53" s="1">
        <v>18</v>
      </c>
      <c r="E53" t="s">
        <v>7</v>
      </c>
      <c r="G53" s="1">
        <v>3</v>
      </c>
      <c r="H53" s="11" t="str">
        <f t="shared" si="4"/>
        <v>2003_01_018.gif</v>
      </c>
      <c r="I53"/>
      <c r="J53"/>
      <c r="L53" s="1" t="b">
        <v>0</v>
      </c>
      <c r="M53" s="1">
        <v>0</v>
      </c>
      <c r="N53" s="1" t="s">
        <v>601</v>
      </c>
      <c r="O53" s="1">
        <v>110</v>
      </c>
      <c r="P53" s="12" t="s">
        <v>587</v>
      </c>
      <c r="Q53"/>
      <c r="R53" s="1" t="b">
        <f t="shared" si="5"/>
        <v>0</v>
      </c>
      <c r="S53"/>
      <c r="T53" s="1" t="b">
        <f t="shared" si="6"/>
        <v>0</v>
      </c>
      <c r="BB53" t="b">
        <v>1</v>
      </c>
    </row>
    <row r="54" spans="1:54" x14ac:dyDescent="0.2">
      <c r="A54" t="str">
        <f t="shared" ref="A54:A58" si="8">B54 &amp; "_" &amp; TEXT(C54,"00") &amp; "_" &amp; TEXT(D54,"000")</f>
        <v>2003_01_036</v>
      </c>
      <c r="B54" s="1">
        <v>2003</v>
      </c>
      <c r="C54" s="1">
        <v>1</v>
      </c>
      <c r="D54" s="1">
        <v>36</v>
      </c>
      <c r="E54" t="s">
        <v>3</v>
      </c>
      <c r="G54" s="1">
        <v>4</v>
      </c>
      <c r="H54" s="11" t="str">
        <f t="shared" si="4"/>
        <v>2003_01_036.gif</v>
      </c>
      <c r="I54"/>
      <c r="J54"/>
      <c r="L54" s="1" t="b">
        <v>0</v>
      </c>
      <c r="M54" s="1">
        <v>0</v>
      </c>
      <c r="N54" s="1" t="s">
        <v>657</v>
      </c>
      <c r="O54" s="1">
        <v>128</v>
      </c>
      <c r="P54" s="12" t="s">
        <v>549</v>
      </c>
      <c r="Q54"/>
      <c r="R54" s="1" t="b">
        <f t="shared" si="5"/>
        <v>0</v>
      </c>
      <c r="S54"/>
      <c r="T54" s="1" t="b">
        <f t="shared" si="6"/>
        <v>0</v>
      </c>
      <c r="AD54" t="b">
        <v>1</v>
      </c>
    </row>
    <row r="55" spans="1:54" x14ac:dyDescent="0.2">
      <c r="A55" t="str">
        <f t="shared" si="8"/>
        <v>2003_01_037</v>
      </c>
      <c r="B55" s="1">
        <v>2003</v>
      </c>
      <c r="C55" s="1">
        <v>1</v>
      </c>
      <c r="D55" s="1">
        <v>37</v>
      </c>
      <c r="E55" t="s">
        <v>3</v>
      </c>
      <c r="G55" s="1">
        <v>1</v>
      </c>
      <c r="H55" s="11" t="str">
        <f t="shared" ref="H55:H75" si="9">HYPERLINK(A55&amp;".gif")</f>
        <v>2003_01_037.gif</v>
      </c>
      <c r="I55"/>
      <c r="J55"/>
      <c r="L55" s="1" t="b">
        <v>0</v>
      </c>
      <c r="M55" s="1">
        <v>0</v>
      </c>
      <c r="N55" s="1" t="s">
        <v>657</v>
      </c>
      <c r="O55" s="1">
        <v>129</v>
      </c>
      <c r="P55" s="12" t="s">
        <v>550</v>
      </c>
      <c r="Q55"/>
      <c r="R55" s="1" t="b">
        <f t="shared" ref="R55:R75" si="10">OR(S55:T55)</f>
        <v>0</v>
      </c>
      <c r="S55"/>
      <c r="T55" s="1" t="b">
        <f t="shared" ref="T55:T75" si="11">SUMPRODUCT(BC55:BZ55*1)&gt;0</f>
        <v>0</v>
      </c>
      <c r="AE55" t="b">
        <v>1</v>
      </c>
    </row>
    <row r="56" spans="1:54" x14ac:dyDescent="0.2">
      <c r="A56" t="str">
        <f t="shared" si="8"/>
        <v>2003_01_038</v>
      </c>
      <c r="B56" s="1">
        <v>2003</v>
      </c>
      <c r="C56" s="1">
        <v>1</v>
      </c>
      <c r="D56" s="1">
        <v>38</v>
      </c>
      <c r="E56" t="s">
        <v>1</v>
      </c>
      <c r="G56" s="1">
        <v>3</v>
      </c>
      <c r="H56" s="11" t="str">
        <f t="shared" si="9"/>
        <v>2003_01_038.gif</v>
      </c>
      <c r="I56"/>
      <c r="J56"/>
      <c r="L56" s="1" t="b">
        <v>0</v>
      </c>
      <c r="M56" s="1">
        <v>0</v>
      </c>
      <c r="N56" s="1" t="s">
        <v>657</v>
      </c>
      <c r="O56" s="1">
        <v>130</v>
      </c>
      <c r="P56" s="12" t="s">
        <v>547</v>
      </c>
      <c r="Q56"/>
      <c r="R56" s="1" t="b">
        <f t="shared" si="10"/>
        <v>0</v>
      </c>
      <c r="S56"/>
      <c r="T56" s="1" t="b">
        <f t="shared" si="11"/>
        <v>0</v>
      </c>
      <c r="U56" t="b">
        <v>1</v>
      </c>
    </row>
    <row r="57" spans="1:54" x14ac:dyDescent="0.2">
      <c r="A57" t="str">
        <f t="shared" si="8"/>
        <v>2003_01_041</v>
      </c>
      <c r="B57" s="1">
        <v>2003</v>
      </c>
      <c r="C57" s="1">
        <v>1</v>
      </c>
      <c r="D57" s="1">
        <v>41</v>
      </c>
      <c r="E57" t="s">
        <v>7</v>
      </c>
      <c r="G57" s="1">
        <v>2</v>
      </c>
      <c r="H57" s="11" t="str">
        <f t="shared" si="9"/>
        <v>2003_01_041.gif</v>
      </c>
      <c r="I57"/>
      <c r="J57"/>
      <c r="L57" s="1" t="b">
        <v>0</v>
      </c>
      <c r="M57" s="1">
        <v>0</v>
      </c>
      <c r="N57" s="1" t="s">
        <v>657</v>
      </c>
      <c r="O57" s="1">
        <v>133</v>
      </c>
      <c r="P57" s="12" t="s">
        <v>560</v>
      </c>
      <c r="Q57"/>
      <c r="R57" s="1" t="b">
        <f t="shared" si="10"/>
        <v>0</v>
      </c>
      <c r="S57"/>
      <c r="T57" s="1" t="b">
        <f t="shared" si="11"/>
        <v>0</v>
      </c>
      <c r="BA57" t="b">
        <v>1</v>
      </c>
    </row>
    <row r="58" spans="1:54" x14ac:dyDescent="0.2">
      <c r="A58" t="str">
        <f t="shared" si="8"/>
        <v>2003_01_045</v>
      </c>
      <c r="B58" s="1">
        <v>2003</v>
      </c>
      <c r="C58" s="1">
        <v>1</v>
      </c>
      <c r="D58" s="1">
        <v>45</v>
      </c>
      <c r="E58" t="s">
        <v>2</v>
      </c>
      <c r="G58" s="1">
        <v>4</v>
      </c>
      <c r="H58" s="11" t="str">
        <f t="shared" si="9"/>
        <v>2003_01_045.gif</v>
      </c>
      <c r="I58"/>
      <c r="J58"/>
      <c r="L58" s="1" t="b">
        <v>0</v>
      </c>
      <c r="M58" s="1">
        <v>0</v>
      </c>
      <c r="N58" s="1" t="s">
        <v>657</v>
      </c>
      <c r="O58" s="1">
        <v>137</v>
      </c>
      <c r="P58" s="12" t="s">
        <v>553</v>
      </c>
      <c r="Q58"/>
      <c r="R58" s="1" t="b">
        <f t="shared" si="10"/>
        <v>0</v>
      </c>
      <c r="S58"/>
      <c r="T58" s="1" t="b">
        <f t="shared" si="11"/>
        <v>0</v>
      </c>
      <c r="W58" t="b">
        <v>1</v>
      </c>
    </row>
    <row r="59" spans="1:54" x14ac:dyDescent="0.2">
      <c r="A59" t="s">
        <v>117</v>
      </c>
      <c r="B59" s="1">
        <v>2003</v>
      </c>
      <c r="C59" s="1">
        <v>6</v>
      </c>
      <c r="D59" s="1">
        <v>1</v>
      </c>
      <c r="E59" t="s">
        <v>7</v>
      </c>
      <c r="F59" t="s">
        <v>5</v>
      </c>
      <c r="G59" s="1">
        <v>4</v>
      </c>
      <c r="H59" s="11" t="str">
        <f t="shared" si="9"/>
        <v>2003_06_001.gif</v>
      </c>
      <c r="I59"/>
      <c r="J59"/>
      <c r="L59" s="1" t="b">
        <v>0</v>
      </c>
      <c r="M59" s="1">
        <v>0</v>
      </c>
      <c r="N59" s="1" t="s">
        <v>601</v>
      </c>
      <c r="O59" s="1">
        <v>143</v>
      </c>
      <c r="P59" s="12" t="s">
        <v>675</v>
      </c>
      <c r="Q59"/>
      <c r="R59" s="1" t="b">
        <f t="shared" si="10"/>
        <v>0</v>
      </c>
      <c r="S59"/>
      <c r="T59" s="1" t="b">
        <f t="shared" si="11"/>
        <v>0</v>
      </c>
      <c r="AO59" t="b">
        <v>1</v>
      </c>
      <c r="BB59" t="b">
        <v>1</v>
      </c>
    </row>
    <row r="60" spans="1:54" x14ac:dyDescent="0.2">
      <c r="A60" t="s">
        <v>118</v>
      </c>
      <c r="B60" s="1">
        <v>2003</v>
      </c>
      <c r="C60" s="1">
        <v>6</v>
      </c>
      <c r="D60" s="1">
        <v>2</v>
      </c>
      <c r="E60" t="s">
        <v>3</v>
      </c>
      <c r="G60" s="1">
        <v>2</v>
      </c>
      <c r="H60" s="11" t="str">
        <f t="shared" si="9"/>
        <v>2003_06_002.gif</v>
      </c>
      <c r="I60"/>
      <c r="J60"/>
      <c r="L60" s="1" t="b">
        <v>0</v>
      </c>
      <c r="M60" s="1">
        <v>0</v>
      </c>
      <c r="N60" s="1" t="s">
        <v>601</v>
      </c>
      <c r="O60" s="1">
        <v>144</v>
      </c>
      <c r="P60" s="12" t="s">
        <v>550</v>
      </c>
      <c r="Q60"/>
      <c r="R60" s="1" t="b">
        <f t="shared" si="10"/>
        <v>0</v>
      </c>
      <c r="S60"/>
      <c r="T60" s="1" t="b">
        <f t="shared" si="11"/>
        <v>0</v>
      </c>
      <c r="AE60" t="b">
        <v>1</v>
      </c>
    </row>
    <row r="61" spans="1:54" x14ac:dyDescent="0.2">
      <c r="A61" t="s">
        <v>119</v>
      </c>
      <c r="B61" s="1">
        <v>2003</v>
      </c>
      <c r="C61" s="1">
        <v>6</v>
      </c>
      <c r="D61" s="1">
        <v>3</v>
      </c>
      <c r="E61" t="s">
        <v>2</v>
      </c>
      <c r="G61" s="1">
        <v>2</v>
      </c>
      <c r="H61" s="11" t="str">
        <f t="shared" si="9"/>
        <v>2003_06_003.gif</v>
      </c>
      <c r="I61"/>
      <c r="J61"/>
      <c r="L61" s="1" t="b">
        <v>0</v>
      </c>
      <c r="M61" s="1">
        <v>0</v>
      </c>
      <c r="N61" s="1" t="s">
        <v>601</v>
      </c>
      <c r="O61" s="1">
        <v>145</v>
      </c>
      <c r="P61" s="12" t="s">
        <v>551</v>
      </c>
      <c r="Q61"/>
      <c r="R61" s="1" t="b">
        <f t="shared" si="10"/>
        <v>0</v>
      </c>
      <c r="S61"/>
      <c r="T61" s="1" t="b">
        <f t="shared" si="11"/>
        <v>0</v>
      </c>
      <c r="AB61" t="b">
        <v>1</v>
      </c>
    </row>
    <row r="62" spans="1:54" x14ac:dyDescent="0.2">
      <c r="A62" t="s">
        <v>120</v>
      </c>
      <c r="B62" s="1">
        <v>2003</v>
      </c>
      <c r="C62" s="1">
        <v>6</v>
      </c>
      <c r="D62" s="1">
        <v>4</v>
      </c>
      <c r="E62" t="s">
        <v>4</v>
      </c>
      <c r="F62" t="s">
        <v>3</v>
      </c>
      <c r="G62" s="1">
        <v>4</v>
      </c>
      <c r="H62" s="11" t="str">
        <f t="shared" si="9"/>
        <v>2003_06_004.gif</v>
      </c>
      <c r="I62"/>
      <c r="J62"/>
      <c r="L62" s="1" t="b">
        <v>0</v>
      </c>
      <c r="M62" s="1">
        <v>0</v>
      </c>
      <c r="N62" s="1" t="s">
        <v>601</v>
      </c>
      <c r="O62" s="1">
        <v>146</v>
      </c>
      <c r="P62" s="12" t="s">
        <v>676</v>
      </c>
      <c r="Q62"/>
      <c r="R62" s="1" t="b">
        <f t="shared" si="10"/>
        <v>0</v>
      </c>
      <c r="S62"/>
      <c r="T62" s="1" t="b">
        <f t="shared" si="11"/>
        <v>0</v>
      </c>
      <c r="AE62" t="b">
        <v>1</v>
      </c>
      <c r="AH62" t="b">
        <v>1</v>
      </c>
    </row>
    <row r="63" spans="1:54" x14ac:dyDescent="0.2">
      <c r="A63" t="s">
        <v>123</v>
      </c>
      <c r="B63" s="1">
        <v>2003</v>
      </c>
      <c r="C63" s="1">
        <v>6</v>
      </c>
      <c r="D63" s="1">
        <v>7</v>
      </c>
      <c r="E63" t="s">
        <v>4</v>
      </c>
      <c r="G63" s="1">
        <v>2</v>
      </c>
      <c r="H63" s="11" t="str">
        <f t="shared" si="9"/>
        <v>2003_06_007.gif</v>
      </c>
      <c r="I63"/>
      <c r="J63"/>
      <c r="L63" s="1" t="b">
        <v>0</v>
      </c>
      <c r="M63" s="1">
        <v>0</v>
      </c>
      <c r="N63" s="1" t="s">
        <v>601</v>
      </c>
      <c r="O63" s="1">
        <v>149</v>
      </c>
      <c r="P63" s="12" t="s">
        <v>576</v>
      </c>
      <c r="Q63"/>
      <c r="R63" s="1" t="b">
        <f t="shared" si="10"/>
        <v>0</v>
      </c>
      <c r="S63"/>
      <c r="T63" s="1" t="b">
        <f t="shared" si="11"/>
        <v>0</v>
      </c>
      <c r="AK63" t="b">
        <v>1</v>
      </c>
    </row>
    <row r="64" spans="1:54" x14ac:dyDescent="0.2">
      <c r="A64" t="s">
        <v>124</v>
      </c>
      <c r="B64" s="1">
        <v>2003</v>
      </c>
      <c r="C64" s="1">
        <v>6</v>
      </c>
      <c r="D64" s="1">
        <v>8</v>
      </c>
      <c r="E64" t="s">
        <v>5</v>
      </c>
      <c r="G64" s="1">
        <v>4</v>
      </c>
      <c r="H64" s="11" t="str">
        <f t="shared" si="9"/>
        <v>2003_06_008.gif</v>
      </c>
      <c r="I64"/>
      <c r="J64"/>
      <c r="L64" s="1" t="b">
        <v>0</v>
      </c>
      <c r="M64" s="1">
        <v>0</v>
      </c>
      <c r="N64" s="1" t="s">
        <v>601</v>
      </c>
      <c r="O64" s="1">
        <v>150</v>
      </c>
      <c r="P64" s="12" t="s">
        <v>673</v>
      </c>
      <c r="Q64"/>
      <c r="R64" s="1" t="b">
        <f t="shared" si="10"/>
        <v>0</v>
      </c>
      <c r="S64"/>
      <c r="T64" s="1" t="b">
        <f t="shared" si="11"/>
        <v>0</v>
      </c>
      <c r="AR64" t="b">
        <v>1</v>
      </c>
      <c r="AS64" t="b">
        <v>1</v>
      </c>
    </row>
    <row r="65" spans="1:54" x14ac:dyDescent="0.2">
      <c r="A65" t="s">
        <v>127</v>
      </c>
      <c r="B65" s="1">
        <v>2003</v>
      </c>
      <c r="C65" s="1">
        <v>6</v>
      </c>
      <c r="D65" s="1">
        <v>11</v>
      </c>
      <c r="E65" t="s">
        <v>5</v>
      </c>
      <c r="G65" s="1">
        <v>3</v>
      </c>
      <c r="H65" s="11" t="str">
        <f t="shared" si="9"/>
        <v>2003_06_011.gif</v>
      </c>
      <c r="I65"/>
      <c r="J65"/>
      <c r="L65" s="1" t="b">
        <v>0</v>
      </c>
      <c r="M65" s="1">
        <v>0</v>
      </c>
      <c r="N65" s="1" t="s">
        <v>601</v>
      </c>
      <c r="O65" s="1">
        <v>153</v>
      </c>
      <c r="P65" s="12" t="s">
        <v>673</v>
      </c>
      <c r="Q65"/>
      <c r="R65" s="1" t="b">
        <f t="shared" si="10"/>
        <v>0</v>
      </c>
      <c r="S65"/>
      <c r="T65" s="1" t="b">
        <f t="shared" si="11"/>
        <v>0</v>
      </c>
      <c r="AR65" t="b">
        <v>1</v>
      </c>
      <c r="AS65" t="b">
        <v>1</v>
      </c>
    </row>
    <row r="66" spans="1:54" x14ac:dyDescent="0.2">
      <c r="A66" t="s">
        <v>128</v>
      </c>
      <c r="B66" s="1">
        <v>2003</v>
      </c>
      <c r="C66" s="1">
        <v>6</v>
      </c>
      <c r="D66" s="1">
        <v>12</v>
      </c>
      <c r="E66" t="s">
        <v>6</v>
      </c>
      <c r="G66" s="1">
        <v>3</v>
      </c>
      <c r="H66" s="11" t="str">
        <f t="shared" si="9"/>
        <v>2003_06_012.gif</v>
      </c>
      <c r="I66"/>
      <c r="J66"/>
      <c r="L66" s="1" t="b">
        <v>0</v>
      </c>
      <c r="M66" s="1">
        <v>0</v>
      </c>
      <c r="N66" s="1" t="s">
        <v>601</v>
      </c>
      <c r="O66" s="1">
        <v>154</v>
      </c>
      <c r="P66" s="12" t="s">
        <v>580</v>
      </c>
      <c r="Q66"/>
      <c r="R66" s="1" t="b">
        <f t="shared" si="10"/>
        <v>0</v>
      </c>
      <c r="S66"/>
      <c r="T66" s="1" t="b">
        <f t="shared" si="11"/>
        <v>0</v>
      </c>
      <c r="AU66" t="b">
        <v>1</v>
      </c>
    </row>
    <row r="67" spans="1:54" x14ac:dyDescent="0.2">
      <c r="A67" t="s">
        <v>129</v>
      </c>
      <c r="B67" s="1">
        <v>2003</v>
      </c>
      <c r="C67" s="1">
        <v>6</v>
      </c>
      <c r="D67" s="1">
        <v>13</v>
      </c>
      <c r="E67" t="s">
        <v>6</v>
      </c>
      <c r="G67" s="1">
        <v>4</v>
      </c>
      <c r="H67" s="11" t="str">
        <f t="shared" si="9"/>
        <v>2003_06_013.gif</v>
      </c>
      <c r="I67"/>
      <c r="J67"/>
      <c r="L67" s="1" t="b">
        <v>0</v>
      </c>
      <c r="M67" s="1">
        <v>0</v>
      </c>
      <c r="N67" s="1" t="s">
        <v>601</v>
      </c>
      <c r="O67" s="1">
        <v>155</v>
      </c>
      <c r="P67" s="12" t="s">
        <v>558</v>
      </c>
      <c r="Q67"/>
      <c r="R67" s="1" t="b">
        <f t="shared" si="10"/>
        <v>0</v>
      </c>
      <c r="S67"/>
      <c r="T67" s="1" t="b">
        <f t="shared" si="11"/>
        <v>0</v>
      </c>
      <c r="AV67" t="b">
        <v>1</v>
      </c>
    </row>
    <row r="68" spans="1:54" x14ac:dyDescent="0.2">
      <c r="A68" t="s">
        <v>131</v>
      </c>
      <c r="B68" s="1">
        <v>2003</v>
      </c>
      <c r="C68" s="1">
        <v>6</v>
      </c>
      <c r="D68" s="1">
        <v>15</v>
      </c>
      <c r="E68" t="s">
        <v>5</v>
      </c>
      <c r="G68" s="1">
        <v>1</v>
      </c>
      <c r="H68" s="11" t="str">
        <f t="shared" si="9"/>
        <v>2003_06_015.gif</v>
      </c>
      <c r="I68"/>
      <c r="J68"/>
      <c r="L68" s="1" t="b">
        <v>0</v>
      </c>
      <c r="M68" s="1">
        <v>0</v>
      </c>
      <c r="N68" s="1" t="s">
        <v>601</v>
      </c>
      <c r="O68" s="1">
        <v>157</v>
      </c>
      <c r="P68" s="12" t="s">
        <v>556</v>
      </c>
      <c r="Q68"/>
      <c r="R68" s="1" t="b">
        <f t="shared" si="10"/>
        <v>0</v>
      </c>
      <c r="S68"/>
      <c r="T68" s="1" t="b">
        <f t="shared" si="11"/>
        <v>0</v>
      </c>
      <c r="AT68" t="b">
        <v>1</v>
      </c>
    </row>
    <row r="69" spans="1:54" x14ac:dyDescent="0.2">
      <c r="A69" t="s">
        <v>134</v>
      </c>
      <c r="B69" s="1">
        <v>2003</v>
      </c>
      <c r="C69" s="1">
        <v>6</v>
      </c>
      <c r="D69" s="1">
        <v>18</v>
      </c>
      <c r="E69" t="s">
        <v>7</v>
      </c>
      <c r="G69" s="1">
        <v>3</v>
      </c>
      <c r="H69" s="11" t="str">
        <f t="shared" si="9"/>
        <v>2003_06_018.gif</v>
      </c>
      <c r="I69"/>
      <c r="J69"/>
      <c r="L69" s="1" t="b">
        <v>0</v>
      </c>
      <c r="M69" s="1">
        <v>4</v>
      </c>
      <c r="N69" s="1" t="s">
        <v>601</v>
      </c>
      <c r="O69" s="1">
        <v>160</v>
      </c>
      <c r="P69" s="12" t="s">
        <v>579</v>
      </c>
      <c r="Q69"/>
      <c r="R69" s="1" t="b">
        <f t="shared" si="10"/>
        <v>0</v>
      </c>
      <c r="S69"/>
      <c r="T69" s="1" t="b">
        <f t="shared" si="11"/>
        <v>0</v>
      </c>
      <c r="AX69" t="b">
        <v>1</v>
      </c>
    </row>
    <row r="70" spans="1:54" x14ac:dyDescent="0.2">
      <c r="A70" t="s">
        <v>135</v>
      </c>
      <c r="B70" s="1">
        <v>2003</v>
      </c>
      <c r="C70" s="1">
        <v>6</v>
      </c>
      <c r="D70" s="1">
        <v>19</v>
      </c>
      <c r="E70" t="s">
        <v>7</v>
      </c>
      <c r="G70" s="1">
        <v>2</v>
      </c>
      <c r="H70" s="11" t="str">
        <f t="shared" si="9"/>
        <v>2003_06_019.gif</v>
      </c>
      <c r="I70"/>
      <c r="J70"/>
      <c r="L70" s="1" t="b">
        <v>0</v>
      </c>
      <c r="M70" s="1">
        <v>0</v>
      </c>
      <c r="N70" s="1" t="s">
        <v>601</v>
      </c>
      <c r="O70" s="1">
        <v>161</v>
      </c>
      <c r="P70" s="12" t="s">
        <v>670</v>
      </c>
      <c r="Q70"/>
      <c r="R70" s="1" t="b">
        <f t="shared" si="10"/>
        <v>0</v>
      </c>
      <c r="S70"/>
      <c r="T70" s="1" t="b">
        <f t="shared" si="11"/>
        <v>0</v>
      </c>
      <c r="AX70" t="b">
        <v>1</v>
      </c>
      <c r="AY70" t="b">
        <v>1</v>
      </c>
    </row>
    <row r="71" spans="1:54" x14ac:dyDescent="0.2">
      <c r="A71" t="s">
        <v>136</v>
      </c>
      <c r="B71" s="1">
        <v>2003</v>
      </c>
      <c r="C71" s="1">
        <v>6</v>
      </c>
      <c r="D71" s="1">
        <v>20</v>
      </c>
      <c r="E71" t="s">
        <v>7</v>
      </c>
      <c r="G71" s="1">
        <v>3</v>
      </c>
      <c r="H71" s="11" t="str">
        <f t="shared" si="9"/>
        <v>2003_06_020.gif</v>
      </c>
      <c r="I71"/>
      <c r="J71"/>
      <c r="L71" s="1" t="b">
        <v>0</v>
      </c>
      <c r="M71" s="1">
        <v>0</v>
      </c>
      <c r="N71" s="1" t="s">
        <v>601</v>
      </c>
      <c r="O71" s="1">
        <v>162</v>
      </c>
      <c r="P71" s="12" t="s">
        <v>587</v>
      </c>
      <c r="Q71"/>
      <c r="R71" s="1" t="b">
        <f t="shared" si="10"/>
        <v>0</v>
      </c>
      <c r="S71"/>
      <c r="T71" s="1" t="b">
        <f t="shared" si="11"/>
        <v>0</v>
      </c>
      <c r="BB71" t="b">
        <v>1</v>
      </c>
    </row>
    <row r="72" spans="1:54" x14ac:dyDescent="0.2">
      <c r="A72" t="str">
        <f t="shared" ref="A72:A73" si="12">B72 &amp; "_" &amp; TEXT(C72,"00") &amp; "_" &amp; TEXT(D72,"000")</f>
        <v>2003_06_036</v>
      </c>
      <c r="B72" s="1">
        <v>2003</v>
      </c>
      <c r="C72" s="1">
        <v>6</v>
      </c>
      <c r="D72" s="1">
        <v>36</v>
      </c>
      <c r="E72" t="s">
        <v>3</v>
      </c>
      <c r="G72" s="1">
        <v>2</v>
      </c>
      <c r="H72" s="11" t="str">
        <f t="shared" si="9"/>
        <v>2003_06_036.gif</v>
      </c>
      <c r="I72"/>
      <c r="J72"/>
      <c r="L72" s="1" t="b">
        <v>0</v>
      </c>
      <c r="M72" s="1">
        <v>0</v>
      </c>
      <c r="N72" s="1" t="s">
        <v>657</v>
      </c>
      <c r="O72" s="1">
        <v>178</v>
      </c>
      <c r="P72" s="12" t="s">
        <v>549</v>
      </c>
      <c r="Q72"/>
      <c r="R72" s="1" t="b">
        <f t="shared" si="10"/>
        <v>0</v>
      </c>
      <c r="S72"/>
      <c r="T72" s="1" t="b">
        <f t="shared" si="11"/>
        <v>0</v>
      </c>
      <c r="AD72" t="b">
        <v>1</v>
      </c>
    </row>
    <row r="73" spans="1:54" x14ac:dyDescent="0.2">
      <c r="A73" t="str">
        <f t="shared" si="12"/>
        <v>2003_06_038</v>
      </c>
      <c r="B73" s="1">
        <v>2003</v>
      </c>
      <c r="C73" s="1">
        <v>6</v>
      </c>
      <c r="D73" s="1">
        <v>38</v>
      </c>
      <c r="E73" t="s">
        <v>1</v>
      </c>
      <c r="G73" s="1">
        <v>3</v>
      </c>
      <c r="H73" s="11" t="str">
        <f t="shared" si="9"/>
        <v>2003_06_038.gif</v>
      </c>
      <c r="I73"/>
      <c r="J73"/>
      <c r="L73" s="1" t="b">
        <v>0</v>
      </c>
      <c r="M73" s="1">
        <v>0</v>
      </c>
      <c r="N73" s="1" t="s">
        <v>657</v>
      </c>
      <c r="O73" s="1">
        <v>180</v>
      </c>
      <c r="P73" s="12" t="s">
        <v>547</v>
      </c>
      <c r="Q73"/>
      <c r="R73" s="1" t="b">
        <f t="shared" si="10"/>
        <v>0</v>
      </c>
      <c r="S73"/>
      <c r="T73" s="1" t="b">
        <f t="shared" si="11"/>
        <v>0</v>
      </c>
      <c r="U73" t="b">
        <v>1</v>
      </c>
    </row>
    <row r="74" spans="1:54" x14ac:dyDescent="0.2">
      <c r="A74" t="s">
        <v>152</v>
      </c>
      <c r="B74" s="1">
        <v>2004</v>
      </c>
      <c r="C74" s="1">
        <v>1</v>
      </c>
      <c r="D74" s="1">
        <v>1</v>
      </c>
      <c r="E74" t="s">
        <v>2</v>
      </c>
      <c r="F74" t="s">
        <v>3</v>
      </c>
      <c r="G74" s="1">
        <v>1</v>
      </c>
      <c r="H74" s="11" t="str">
        <f t="shared" si="9"/>
        <v>2004_01_001.gif</v>
      </c>
      <c r="I74"/>
      <c r="J74"/>
      <c r="L74" s="1" t="b">
        <v>0</v>
      </c>
      <c r="M74" s="1">
        <v>0</v>
      </c>
      <c r="N74" s="1" t="s">
        <v>601</v>
      </c>
      <c r="O74" s="1">
        <v>190</v>
      </c>
      <c r="P74" s="12" t="s">
        <v>665</v>
      </c>
      <c r="Q74"/>
      <c r="R74" s="1" t="b">
        <f t="shared" si="10"/>
        <v>0</v>
      </c>
      <c r="S74"/>
      <c r="T74" s="1" t="b">
        <f t="shared" si="11"/>
        <v>0</v>
      </c>
      <c r="Z74" t="b">
        <v>1</v>
      </c>
      <c r="AF74" t="b">
        <v>1</v>
      </c>
    </row>
    <row r="75" spans="1:54" x14ac:dyDescent="0.2">
      <c r="A75" t="s">
        <v>153</v>
      </c>
      <c r="B75" s="1">
        <v>2004</v>
      </c>
      <c r="C75" s="1">
        <v>1</v>
      </c>
      <c r="D75" s="1">
        <v>2</v>
      </c>
      <c r="E75" t="s">
        <v>2</v>
      </c>
      <c r="G75" s="1">
        <v>4</v>
      </c>
      <c r="H75" s="11" t="str">
        <f t="shared" si="9"/>
        <v>2004_01_002.gif</v>
      </c>
      <c r="I75"/>
      <c r="J75"/>
      <c r="L75" s="1" t="b">
        <v>0</v>
      </c>
      <c r="M75" s="1">
        <v>0</v>
      </c>
      <c r="N75" s="1" t="s">
        <v>601</v>
      </c>
      <c r="O75" s="1">
        <v>191</v>
      </c>
      <c r="P75" s="12" t="s">
        <v>594</v>
      </c>
      <c r="Q75"/>
      <c r="R75" s="1" t="b">
        <f t="shared" si="10"/>
        <v>0</v>
      </c>
      <c r="S75"/>
      <c r="T75" s="1" t="b">
        <f t="shared" si="11"/>
        <v>0</v>
      </c>
      <c r="Z75" t="b">
        <v>1</v>
      </c>
    </row>
    <row r="76" spans="1:54" x14ac:dyDescent="0.2">
      <c r="A76" t="s">
        <v>155</v>
      </c>
      <c r="B76" s="1">
        <v>2004</v>
      </c>
      <c r="C76" s="1">
        <v>1</v>
      </c>
      <c r="D76" s="1">
        <v>4</v>
      </c>
      <c r="E76" t="s">
        <v>2</v>
      </c>
      <c r="G76" s="1">
        <v>1</v>
      </c>
      <c r="H76" s="11" t="str">
        <f t="shared" ref="H76:H103" si="13">HYPERLINK(A76&amp;".gif")</f>
        <v>2004_01_004.gif</v>
      </c>
      <c r="I76"/>
      <c r="J76"/>
      <c r="L76" s="1" t="b">
        <v>0</v>
      </c>
      <c r="M76" s="1">
        <v>0</v>
      </c>
      <c r="N76" s="1" t="s">
        <v>601</v>
      </c>
      <c r="O76" s="1">
        <v>193</v>
      </c>
      <c r="P76" s="12" t="s">
        <v>552</v>
      </c>
      <c r="Q76"/>
      <c r="R76" s="1" t="b">
        <f t="shared" ref="R76:R103" si="14">OR(S76:T76)</f>
        <v>0</v>
      </c>
      <c r="S76"/>
      <c r="T76" s="1" t="b">
        <f t="shared" ref="T76:T103" si="15">SUMPRODUCT(BC76:BZ76*1)&gt;0</f>
        <v>0</v>
      </c>
      <c r="AC76" t="b">
        <v>1</v>
      </c>
    </row>
    <row r="77" spans="1:54" x14ac:dyDescent="0.2">
      <c r="A77" t="s">
        <v>156</v>
      </c>
      <c r="B77" s="1">
        <v>2004</v>
      </c>
      <c r="C77" s="1">
        <v>1</v>
      </c>
      <c r="D77" s="1">
        <v>5</v>
      </c>
      <c r="E77" t="s">
        <v>5</v>
      </c>
      <c r="G77" s="1">
        <v>4</v>
      </c>
      <c r="H77" s="11" t="str">
        <f t="shared" si="13"/>
        <v>2004_01_005.gif</v>
      </c>
      <c r="I77"/>
      <c r="J77"/>
      <c r="L77" s="1" t="b">
        <v>0</v>
      </c>
      <c r="M77" s="1">
        <v>0</v>
      </c>
      <c r="N77" s="1" t="s">
        <v>601</v>
      </c>
      <c r="O77" s="1">
        <v>194</v>
      </c>
      <c r="P77" s="12" t="s">
        <v>556</v>
      </c>
      <c r="Q77"/>
      <c r="R77" s="1" t="b">
        <f t="shared" si="14"/>
        <v>0</v>
      </c>
      <c r="S77"/>
      <c r="T77" s="1" t="b">
        <f t="shared" si="15"/>
        <v>0</v>
      </c>
      <c r="AT77" t="b">
        <v>1</v>
      </c>
    </row>
    <row r="78" spans="1:54" x14ac:dyDescent="0.2">
      <c r="A78" t="s">
        <v>157</v>
      </c>
      <c r="B78" s="1">
        <v>2004</v>
      </c>
      <c r="C78" s="1">
        <v>1</v>
      </c>
      <c r="D78" s="1">
        <v>6</v>
      </c>
      <c r="E78" t="s">
        <v>3</v>
      </c>
      <c r="F78" t="s">
        <v>4</v>
      </c>
      <c r="G78" s="1">
        <v>3</v>
      </c>
      <c r="H78" s="11" t="str">
        <f t="shared" si="13"/>
        <v>2004_01_006.gif</v>
      </c>
      <c r="I78"/>
      <c r="J78"/>
      <c r="L78" s="1" t="b">
        <v>0</v>
      </c>
      <c r="M78" s="1">
        <v>0</v>
      </c>
      <c r="N78" s="1" t="s">
        <v>601</v>
      </c>
      <c r="O78" s="1">
        <v>195</v>
      </c>
      <c r="P78" s="12" t="s">
        <v>676</v>
      </c>
      <c r="Q78"/>
      <c r="R78" s="1" t="b">
        <f t="shared" si="14"/>
        <v>0</v>
      </c>
      <c r="S78"/>
      <c r="T78" s="1" t="b">
        <f t="shared" si="15"/>
        <v>0</v>
      </c>
      <c r="AE78" t="b">
        <v>1</v>
      </c>
      <c r="AH78" t="b">
        <v>1</v>
      </c>
    </row>
    <row r="79" spans="1:54" x14ac:dyDescent="0.2">
      <c r="A79" t="s">
        <v>161</v>
      </c>
      <c r="B79" s="1">
        <v>2004</v>
      </c>
      <c r="C79" s="1">
        <v>1</v>
      </c>
      <c r="D79" s="1">
        <v>10</v>
      </c>
      <c r="E79" t="s">
        <v>5</v>
      </c>
      <c r="G79" s="1">
        <v>1</v>
      </c>
      <c r="H79" s="11" t="str">
        <f t="shared" si="13"/>
        <v>2004_01_010.gif</v>
      </c>
      <c r="I79"/>
      <c r="J79"/>
      <c r="L79" s="1" t="b">
        <v>0</v>
      </c>
      <c r="M79" s="1">
        <v>0</v>
      </c>
      <c r="N79" s="1" t="s">
        <v>601</v>
      </c>
      <c r="O79" s="1">
        <v>199</v>
      </c>
      <c r="P79" s="12" t="s">
        <v>557</v>
      </c>
      <c r="Q79"/>
      <c r="R79" s="1" t="b">
        <f t="shared" si="14"/>
        <v>0</v>
      </c>
      <c r="S79"/>
      <c r="T79" s="1" t="b">
        <f t="shared" si="15"/>
        <v>0</v>
      </c>
      <c r="AN79" t="b">
        <v>1</v>
      </c>
    </row>
    <row r="80" spans="1:54" x14ac:dyDescent="0.2">
      <c r="A80" t="s">
        <v>162</v>
      </c>
      <c r="B80" s="1">
        <v>2004</v>
      </c>
      <c r="C80" s="1">
        <v>1</v>
      </c>
      <c r="D80" s="1">
        <v>11</v>
      </c>
      <c r="E80" t="s">
        <v>6</v>
      </c>
      <c r="G80" s="1">
        <v>3</v>
      </c>
      <c r="H80" s="11" t="str">
        <f t="shared" si="13"/>
        <v>2004_01_011.gif</v>
      </c>
      <c r="I80"/>
      <c r="J80"/>
      <c r="L80" s="1" t="b">
        <v>0</v>
      </c>
      <c r="M80" s="1">
        <v>0</v>
      </c>
      <c r="N80" s="1" t="s">
        <v>601</v>
      </c>
      <c r="O80" s="1">
        <v>200</v>
      </c>
      <c r="P80" s="12" t="s">
        <v>558</v>
      </c>
      <c r="Q80"/>
      <c r="R80" s="1" t="b">
        <f t="shared" si="14"/>
        <v>0</v>
      </c>
      <c r="S80"/>
      <c r="T80" s="1" t="b">
        <f t="shared" si="15"/>
        <v>0</v>
      </c>
      <c r="AV80" t="b">
        <v>1</v>
      </c>
    </row>
    <row r="81" spans="1:54" x14ac:dyDescent="0.2">
      <c r="A81" t="s">
        <v>163</v>
      </c>
      <c r="B81" s="1">
        <v>2004</v>
      </c>
      <c r="C81" s="1">
        <v>1</v>
      </c>
      <c r="D81" s="1">
        <v>12</v>
      </c>
      <c r="E81" t="s">
        <v>6</v>
      </c>
      <c r="G81" s="1">
        <v>2</v>
      </c>
      <c r="H81" s="11" t="str">
        <f t="shared" si="13"/>
        <v>2004_01_012.gif</v>
      </c>
      <c r="I81"/>
      <c r="J81"/>
      <c r="L81" s="1" t="b">
        <v>0</v>
      </c>
      <c r="M81" s="1">
        <v>0</v>
      </c>
      <c r="N81" s="1" t="s">
        <v>601</v>
      </c>
      <c r="O81" s="1">
        <v>201</v>
      </c>
      <c r="P81" s="12" t="s">
        <v>580</v>
      </c>
      <c r="Q81"/>
      <c r="R81" s="1" t="b">
        <f t="shared" si="14"/>
        <v>0</v>
      </c>
      <c r="S81"/>
      <c r="T81" s="1" t="b">
        <f t="shared" si="15"/>
        <v>0</v>
      </c>
      <c r="AU81" t="b">
        <v>1</v>
      </c>
    </row>
    <row r="82" spans="1:54" x14ac:dyDescent="0.2">
      <c r="A82" t="s">
        <v>167</v>
      </c>
      <c r="B82" s="1">
        <v>2004</v>
      </c>
      <c r="C82" s="1">
        <v>1</v>
      </c>
      <c r="D82" s="1">
        <v>16</v>
      </c>
      <c r="E82" t="s">
        <v>7</v>
      </c>
      <c r="G82" s="1">
        <v>4</v>
      </c>
      <c r="H82" s="11" t="str">
        <f t="shared" si="13"/>
        <v>2004_01_016.gif</v>
      </c>
      <c r="I82"/>
      <c r="J82"/>
      <c r="L82" s="1" t="b">
        <v>0</v>
      </c>
      <c r="M82" s="1">
        <v>0</v>
      </c>
      <c r="N82" s="1" t="s">
        <v>601</v>
      </c>
      <c r="O82" s="1">
        <v>205</v>
      </c>
      <c r="P82" s="12" t="s">
        <v>677</v>
      </c>
      <c r="Q82"/>
      <c r="R82" s="1" t="b">
        <f t="shared" si="14"/>
        <v>0</v>
      </c>
      <c r="S82"/>
      <c r="T82" s="1" t="b">
        <f t="shared" si="15"/>
        <v>0</v>
      </c>
      <c r="AX82" t="b">
        <v>1</v>
      </c>
      <c r="AY82" t="b">
        <v>1</v>
      </c>
      <c r="BA82" t="b">
        <v>1</v>
      </c>
    </row>
    <row r="83" spans="1:54" x14ac:dyDescent="0.2">
      <c r="A83" t="s">
        <v>169</v>
      </c>
      <c r="B83" s="1">
        <v>2004</v>
      </c>
      <c r="C83" s="1">
        <v>1</v>
      </c>
      <c r="D83" s="1">
        <v>18</v>
      </c>
      <c r="E83" t="s">
        <v>7</v>
      </c>
      <c r="G83" s="1">
        <v>3</v>
      </c>
      <c r="H83" s="11" t="str">
        <f t="shared" si="13"/>
        <v>2004_01_018.gif</v>
      </c>
      <c r="I83"/>
      <c r="J83"/>
      <c r="L83" s="1" t="b">
        <v>0</v>
      </c>
      <c r="M83" s="1">
        <v>0</v>
      </c>
      <c r="N83" s="1" t="s">
        <v>601</v>
      </c>
      <c r="O83" s="1">
        <v>207</v>
      </c>
      <c r="P83" s="12" t="s">
        <v>587</v>
      </c>
      <c r="Q83"/>
      <c r="R83" s="1" t="b">
        <f t="shared" si="14"/>
        <v>0</v>
      </c>
      <c r="S83"/>
      <c r="T83" s="1" t="b">
        <f t="shared" si="15"/>
        <v>0</v>
      </c>
      <c r="BB83" t="b">
        <v>1</v>
      </c>
    </row>
    <row r="84" spans="1:54" x14ac:dyDescent="0.2">
      <c r="A84" t="s">
        <v>170</v>
      </c>
      <c r="B84" s="1">
        <v>2004</v>
      </c>
      <c r="C84" s="1">
        <v>1</v>
      </c>
      <c r="D84" s="1">
        <v>19</v>
      </c>
      <c r="E84" t="s">
        <v>7</v>
      </c>
      <c r="G84" s="1">
        <v>4</v>
      </c>
      <c r="H84" s="11" t="str">
        <f t="shared" si="13"/>
        <v>2004_01_019.gif</v>
      </c>
      <c r="I84"/>
      <c r="J84"/>
      <c r="L84" s="1" t="b">
        <v>0</v>
      </c>
      <c r="M84" s="1">
        <v>0</v>
      </c>
      <c r="N84" s="1" t="s">
        <v>601</v>
      </c>
      <c r="O84" s="1">
        <v>208</v>
      </c>
      <c r="P84" s="12" t="s">
        <v>587</v>
      </c>
      <c r="Q84"/>
      <c r="R84" s="1" t="b">
        <f t="shared" si="14"/>
        <v>0</v>
      </c>
      <c r="S84"/>
      <c r="T84" s="1" t="b">
        <f t="shared" si="15"/>
        <v>0</v>
      </c>
      <c r="BB84" t="b">
        <v>1</v>
      </c>
    </row>
    <row r="85" spans="1:54" x14ac:dyDescent="0.2">
      <c r="A85" t="s">
        <v>175</v>
      </c>
      <c r="B85" s="1">
        <v>2004</v>
      </c>
      <c r="C85" s="1">
        <v>1</v>
      </c>
      <c r="D85" s="1">
        <v>24</v>
      </c>
      <c r="E85" t="s">
        <v>7</v>
      </c>
      <c r="G85" s="1">
        <v>3</v>
      </c>
      <c r="H85" s="11" t="str">
        <f t="shared" si="13"/>
        <v>2004_01_024.gif</v>
      </c>
      <c r="I85"/>
      <c r="J85"/>
      <c r="L85" s="1" t="b">
        <v>0</v>
      </c>
      <c r="M85" s="1">
        <v>0</v>
      </c>
      <c r="N85" s="1" t="s">
        <v>601</v>
      </c>
      <c r="O85" s="1">
        <v>213</v>
      </c>
      <c r="P85" s="12" t="s">
        <v>587</v>
      </c>
      <c r="Q85"/>
      <c r="R85" s="1" t="b">
        <f t="shared" si="14"/>
        <v>0</v>
      </c>
      <c r="S85"/>
      <c r="T85" s="1" t="b">
        <f t="shared" si="15"/>
        <v>0</v>
      </c>
      <c r="BB85" t="b">
        <v>1</v>
      </c>
    </row>
    <row r="86" spans="1:54" x14ac:dyDescent="0.2">
      <c r="A86" t="str">
        <f t="shared" ref="A86:A89" si="16">B86 &amp; "_" &amp; TEXT(C86,"00") &amp; "_" &amp; TEXT(D86,"000")</f>
        <v>2004_01_036</v>
      </c>
      <c r="B86" s="1">
        <v>2004</v>
      </c>
      <c r="C86" s="1">
        <v>1</v>
      </c>
      <c r="D86" s="1">
        <v>36</v>
      </c>
      <c r="E86" t="s">
        <v>5</v>
      </c>
      <c r="G86" s="1">
        <v>3</v>
      </c>
      <c r="H86" s="11" t="str">
        <f t="shared" si="13"/>
        <v>2004_01_036.gif</v>
      </c>
      <c r="I86"/>
      <c r="J86"/>
      <c r="L86" s="1" t="b">
        <v>0</v>
      </c>
      <c r="M86" s="1">
        <v>0</v>
      </c>
      <c r="N86" s="1" t="s">
        <v>657</v>
      </c>
      <c r="O86" s="1">
        <v>225</v>
      </c>
      <c r="P86" s="12" t="s">
        <v>578</v>
      </c>
      <c r="Q86"/>
      <c r="R86" s="1" t="b">
        <f t="shared" si="14"/>
        <v>0</v>
      </c>
      <c r="S86"/>
      <c r="T86" s="1" t="b">
        <f t="shared" si="15"/>
        <v>0</v>
      </c>
      <c r="AQ86" t="b">
        <v>1</v>
      </c>
    </row>
    <row r="87" spans="1:54" x14ac:dyDescent="0.2">
      <c r="A87" t="str">
        <f t="shared" si="16"/>
        <v>2004_01_037</v>
      </c>
      <c r="B87" s="1">
        <v>2004</v>
      </c>
      <c r="C87" s="1">
        <v>1</v>
      </c>
      <c r="D87" s="1">
        <v>37</v>
      </c>
      <c r="E87" t="s">
        <v>5</v>
      </c>
      <c r="G87" s="1">
        <v>2</v>
      </c>
      <c r="H87" s="11" t="str">
        <f t="shared" si="13"/>
        <v>2004_01_037.gif</v>
      </c>
      <c r="I87"/>
      <c r="J87"/>
      <c r="L87" s="1" t="b">
        <v>0</v>
      </c>
      <c r="M87" s="1">
        <v>0</v>
      </c>
      <c r="N87" s="1" t="s">
        <v>657</v>
      </c>
      <c r="O87" s="1">
        <v>226</v>
      </c>
      <c r="P87" s="12" t="s">
        <v>578</v>
      </c>
      <c r="Q87"/>
      <c r="R87" s="1" t="b">
        <f t="shared" si="14"/>
        <v>0</v>
      </c>
      <c r="S87"/>
      <c r="T87" s="1" t="b">
        <f t="shared" si="15"/>
        <v>0</v>
      </c>
      <c r="AQ87" t="b">
        <v>1</v>
      </c>
    </row>
    <row r="88" spans="1:54" x14ac:dyDescent="0.2">
      <c r="A88" t="str">
        <f t="shared" si="16"/>
        <v>2004_01_038</v>
      </c>
      <c r="B88" s="1">
        <v>2004</v>
      </c>
      <c r="C88" s="1">
        <v>1</v>
      </c>
      <c r="D88" s="1">
        <v>38</v>
      </c>
      <c r="E88" t="s">
        <v>1</v>
      </c>
      <c r="G88" s="1">
        <v>3</v>
      </c>
      <c r="H88" s="11" t="str">
        <f t="shared" si="13"/>
        <v>2004_01_038.gif</v>
      </c>
      <c r="I88"/>
      <c r="J88"/>
      <c r="L88" s="1" t="b">
        <v>0</v>
      </c>
      <c r="M88" s="1">
        <v>0</v>
      </c>
      <c r="N88" s="1" t="s">
        <v>657</v>
      </c>
      <c r="O88" s="1">
        <v>227</v>
      </c>
      <c r="P88" s="12" t="s">
        <v>547</v>
      </c>
      <c r="Q88"/>
      <c r="R88" s="1" t="b">
        <f t="shared" si="14"/>
        <v>0</v>
      </c>
      <c r="S88"/>
      <c r="T88" s="1" t="b">
        <f t="shared" si="15"/>
        <v>0</v>
      </c>
      <c r="U88" t="b">
        <v>1</v>
      </c>
    </row>
    <row r="89" spans="1:54" x14ac:dyDescent="0.2">
      <c r="A89" t="str">
        <f t="shared" si="16"/>
        <v>2004_01_039</v>
      </c>
      <c r="B89" s="1">
        <v>2004</v>
      </c>
      <c r="C89" s="1">
        <v>1</v>
      </c>
      <c r="D89" s="1">
        <v>39</v>
      </c>
      <c r="E89" t="s">
        <v>3</v>
      </c>
      <c r="G89" s="1">
        <v>4</v>
      </c>
      <c r="H89" s="11" t="str">
        <f t="shared" si="13"/>
        <v>2004_01_039.gif</v>
      </c>
      <c r="I89"/>
      <c r="J89"/>
      <c r="L89" s="1" t="b">
        <v>0</v>
      </c>
      <c r="M89" s="1">
        <v>0</v>
      </c>
      <c r="N89" s="1" t="s">
        <v>657</v>
      </c>
      <c r="O89" s="1">
        <v>228</v>
      </c>
      <c r="P89" s="12" t="s">
        <v>549</v>
      </c>
      <c r="Q89"/>
      <c r="R89" s="1" t="b">
        <f t="shared" si="14"/>
        <v>0</v>
      </c>
      <c r="S89"/>
      <c r="T89" s="1" t="b">
        <f t="shared" si="15"/>
        <v>0</v>
      </c>
      <c r="AD89" t="b">
        <v>1</v>
      </c>
    </row>
    <row r="90" spans="1:54" x14ac:dyDescent="0.2">
      <c r="A90" t="s">
        <v>188</v>
      </c>
      <c r="B90" s="1">
        <v>2004</v>
      </c>
      <c r="C90" s="1">
        <v>6</v>
      </c>
      <c r="D90" s="1">
        <v>2</v>
      </c>
      <c r="E90" t="s">
        <v>3</v>
      </c>
      <c r="G90" s="1">
        <v>1</v>
      </c>
      <c r="H90" s="11" t="str">
        <f t="shared" si="13"/>
        <v>2004_06_002.gif</v>
      </c>
      <c r="I90"/>
      <c r="J90"/>
      <c r="L90" s="1" t="b">
        <v>0</v>
      </c>
      <c r="M90" s="1">
        <v>0</v>
      </c>
      <c r="N90" s="1" t="s">
        <v>601</v>
      </c>
      <c r="O90" s="1">
        <v>239</v>
      </c>
      <c r="P90" s="12" t="s">
        <v>549</v>
      </c>
      <c r="Q90"/>
      <c r="R90" s="1" t="b">
        <f t="shared" si="14"/>
        <v>0</v>
      </c>
      <c r="S90"/>
      <c r="T90" s="1" t="b">
        <f t="shared" si="15"/>
        <v>0</v>
      </c>
      <c r="U90" t="b">
        <v>0</v>
      </c>
      <c r="AD90" t="b">
        <v>1</v>
      </c>
    </row>
    <row r="91" spans="1:54" x14ac:dyDescent="0.2">
      <c r="A91" t="s">
        <v>189</v>
      </c>
      <c r="B91" s="1">
        <v>2004</v>
      </c>
      <c r="C91" s="1">
        <v>6</v>
      </c>
      <c r="D91" s="1">
        <v>3</v>
      </c>
      <c r="E91" t="s">
        <v>5</v>
      </c>
      <c r="G91" s="1">
        <v>4</v>
      </c>
      <c r="H91" s="11" t="str">
        <f t="shared" si="13"/>
        <v>2004_06_003.gif</v>
      </c>
      <c r="I91"/>
      <c r="J91"/>
      <c r="L91" s="1" t="b">
        <v>0</v>
      </c>
      <c r="M91" s="1">
        <v>0</v>
      </c>
      <c r="N91" s="1" t="s">
        <v>601</v>
      </c>
      <c r="O91" s="1">
        <v>240</v>
      </c>
      <c r="P91" s="12" t="s">
        <v>668</v>
      </c>
      <c r="Q91"/>
      <c r="R91" s="1" t="b">
        <f t="shared" si="14"/>
        <v>0</v>
      </c>
      <c r="S91"/>
      <c r="T91" s="1" t="b">
        <f t="shared" si="15"/>
        <v>0</v>
      </c>
      <c r="AS91" t="b">
        <v>1</v>
      </c>
      <c r="AT91" t="b">
        <v>1</v>
      </c>
    </row>
    <row r="92" spans="1:54" x14ac:dyDescent="0.2">
      <c r="A92" t="s">
        <v>190</v>
      </c>
      <c r="B92" s="1">
        <v>2004</v>
      </c>
      <c r="C92" s="1">
        <v>6</v>
      </c>
      <c r="D92" s="1">
        <v>4</v>
      </c>
      <c r="E92" t="s">
        <v>4</v>
      </c>
      <c r="G92" s="1">
        <v>3</v>
      </c>
      <c r="H92" s="11" t="str">
        <f t="shared" si="13"/>
        <v>2004_06_004.gif</v>
      </c>
      <c r="I92"/>
      <c r="J92"/>
      <c r="L92" s="1" t="b">
        <v>0</v>
      </c>
      <c r="M92" s="1">
        <v>0</v>
      </c>
      <c r="N92" s="1" t="s">
        <v>601</v>
      </c>
      <c r="O92" s="1">
        <v>241</v>
      </c>
      <c r="P92" s="12" t="s">
        <v>554</v>
      </c>
      <c r="Q92"/>
      <c r="R92" s="1" t="b">
        <f t="shared" si="14"/>
        <v>0</v>
      </c>
      <c r="S92"/>
      <c r="T92" s="1" t="b">
        <f t="shared" si="15"/>
        <v>0</v>
      </c>
      <c r="U92" t="b">
        <v>0</v>
      </c>
      <c r="AG92" t="b">
        <v>1</v>
      </c>
      <c r="AH92" t="b">
        <v>0</v>
      </c>
    </row>
    <row r="93" spans="1:54" x14ac:dyDescent="0.2">
      <c r="A93" t="s">
        <v>191</v>
      </c>
      <c r="B93" s="1">
        <v>2004</v>
      </c>
      <c r="C93" s="1">
        <v>6</v>
      </c>
      <c r="D93" s="1">
        <v>5</v>
      </c>
      <c r="E93" t="s">
        <v>4</v>
      </c>
      <c r="G93" s="1">
        <v>3</v>
      </c>
      <c r="H93" s="11" t="str">
        <f t="shared" si="13"/>
        <v>2004_06_005.gif</v>
      </c>
      <c r="I93"/>
      <c r="J93"/>
      <c r="L93" s="1" t="b">
        <v>0</v>
      </c>
      <c r="M93" s="1">
        <v>0</v>
      </c>
      <c r="N93" s="1" t="s">
        <v>601</v>
      </c>
      <c r="O93" s="1">
        <v>242</v>
      </c>
      <c r="P93" s="12" t="s">
        <v>575</v>
      </c>
      <c r="Q93"/>
      <c r="R93" s="1" t="b">
        <f t="shared" si="14"/>
        <v>0</v>
      </c>
      <c r="S93"/>
      <c r="T93" s="1" t="b">
        <f t="shared" si="15"/>
        <v>0</v>
      </c>
      <c r="AI93" t="b">
        <v>1</v>
      </c>
    </row>
    <row r="94" spans="1:54" x14ac:dyDescent="0.2">
      <c r="A94" t="s">
        <v>192</v>
      </c>
      <c r="B94" s="1">
        <v>2004</v>
      </c>
      <c r="C94" s="1">
        <v>6</v>
      </c>
      <c r="D94" s="1">
        <v>6</v>
      </c>
      <c r="E94" t="s">
        <v>5</v>
      </c>
      <c r="G94" s="1">
        <v>1</v>
      </c>
      <c r="H94" s="11" t="str">
        <f t="shared" si="13"/>
        <v>2004_06_006.gif</v>
      </c>
      <c r="I94"/>
      <c r="J94"/>
      <c r="L94" s="1" t="b">
        <v>0</v>
      </c>
      <c r="M94" s="1">
        <v>0</v>
      </c>
      <c r="N94" s="1" t="s">
        <v>601</v>
      </c>
      <c r="O94" s="1">
        <v>243</v>
      </c>
      <c r="P94" s="12" t="s">
        <v>668</v>
      </c>
      <c r="Q94"/>
      <c r="R94" s="1" t="b">
        <f t="shared" si="14"/>
        <v>0</v>
      </c>
      <c r="S94"/>
      <c r="T94" s="1" t="b">
        <f t="shared" si="15"/>
        <v>0</v>
      </c>
      <c r="AS94" t="b">
        <v>1</v>
      </c>
      <c r="AT94" t="b">
        <v>1</v>
      </c>
    </row>
    <row r="95" spans="1:54" x14ac:dyDescent="0.2">
      <c r="A95" t="s">
        <v>193</v>
      </c>
      <c r="B95" s="1">
        <v>2004</v>
      </c>
      <c r="C95" s="1">
        <v>6</v>
      </c>
      <c r="D95" s="1">
        <v>7</v>
      </c>
      <c r="E95" t="s">
        <v>2</v>
      </c>
      <c r="G95" s="1">
        <v>2</v>
      </c>
      <c r="H95" s="11" t="str">
        <f t="shared" si="13"/>
        <v>2004_06_007.gif</v>
      </c>
      <c r="I95"/>
      <c r="J95"/>
      <c r="L95" s="1" t="b">
        <v>0</v>
      </c>
      <c r="M95" s="1">
        <v>0</v>
      </c>
      <c r="N95" s="1" t="s">
        <v>601</v>
      </c>
      <c r="O95" s="1">
        <v>244</v>
      </c>
      <c r="P95" s="12" t="s">
        <v>552</v>
      </c>
      <c r="Q95"/>
      <c r="R95" s="1" t="b">
        <f t="shared" si="14"/>
        <v>0</v>
      </c>
      <c r="S95"/>
      <c r="T95" s="1" t="b">
        <f t="shared" si="15"/>
        <v>0</v>
      </c>
      <c r="AC95" t="b">
        <v>1</v>
      </c>
    </row>
    <row r="96" spans="1:54" x14ac:dyDescent="0.2">
      <c r="A96" t="s">
        <v>194</v>
      </c>
      <c r="B96" s="1">
        <v>2004</v>
      </c>
      <c r="C96" s="1">
        <v>6</v>
      </c>
      <c r="D96" s="1">
        <v>8</v>
      </c>
      <c r="E96" t="s">
        <v>5</v>
      </c>
      <c r="G96" s="1">
        <v>2</v>
      </c>
      <c r="H96" s="11" t="str">
        <f t="shared" si="13"/>
        <v>2004_06_008.gif</v>
      </c>
      <c r="I96"/>
      <c r="J96"/>
      <c r="L96" s="1" t="b">
        <v>0</v>
      </c>
      <c r="M96" s="1">
        <v>0</v>
      </c>
      <c r="N96" s="1" t="s">
        <v>601</v>
      </c>
      <c r="O96" s="1">
        <v>245</v>
      </c>
      <c r="P96" s="12" t="s">
        <v>557</v>
      </c>
      <c r="Q96"/>
      <c r="R96" s="1" t="b">
        <f t="shared" si="14"/>
        <v>0</v>
      </c>
      <c r="S96"/>
      <c r="T96" s="1" t="b">
        <f t="shared" si="15"/>
        <v>0</v>
      </c>
      <c r="AN96" t="b">
        <v>1</v>
      </c>
    </row>
    <row r="97" spans="1:54" x14ac:dyDescent="0.2">
      <c r="A97" t="s">
        <v>195</v>
      </c>
      <c r="B97" s="1">
        <v>2004</v>
      </c>
      <c r="C97" s="1">
        <v>6</v>
      </c>
      <c r="D97" s="1">
        <v>9</v>
      </c>
      <c r="E97" t="s">
        <v>6</v>
      </c>
      <c r="G97" s="1">
        <v>1</v>
      </c>
      <c r="H97" s="11" t="str">
        <f t="shared" si="13"/>
        <v>2004_06_009.gif</v>
      </c>
      <c r="I97"/>
      <c r="J97"/>
      <c r="L97" s="1" t="b">
        <v>0</v>
      </c>
      <c r="M97" s="1">
        <v>0</v>
      </c>
      <c r="N97" s="1" t="s">
        <v>601</v>
      </c>
      <c r="O97" s="1">
        <v>246</v>
      </c>
      <c r="P97" s="12" t="s">
        <v>558</v>
      </c>
      <c r="Q97"/>
      <c r="R97" s="1" t="b">
        <f t="shared" si="14"/>
        <v>0</v>
      </c>
      <c r="S97"/>
      <c r="T97" s="1" t="b">
        <f t="shared" si="15"/>
        <v>0</v>
      </c>
      <c r="AV97" t="b">
        <v>1</v>
      </c>
    </row>
    <row r="98" spans="1:54" x14ac:dyDescent="0.2">
      <c r="A98" t="s">
        <v>196</v>
      </c>
      <c r="B98" s="1">
        <v>2004</v>
      </c>
      <c r="C98" s="1">
        <v>6</v>
      </c>
      <c r="D98" s="1">
        <v>10</v>
      </c>
      <c r="E98" t="s">
        <v>6</v>
      </c>
      <c r="G98" s="1">
        <v>4</v>
      </c>
      <c r="H98" s="11" t="str">
        <f t="shared" si="13"/>
        <v>2004_06_010.gif</v>
      </c>
      <c r="I98"/>
      <c r="J98"/>
      <c r="L98" s="1" t="b">
        <v>0</v>
      </c>
      <c r="M98" s="1">
        <v>0</v>
      </c>
      <c r="N98" s="1" t="s">
        <v>601</v>
      </c>
      <c r="O98" s="1">
        <v>247</v>
      </c>
      <c r="P98" s="12" t="s">
        <v>597</v>
      </c>
      <c r="Q98"/>
      <c r="R98" s="1" t="b">
        <f t="shared" si="14"/>
        <v>0</v>
      </c>
      <c r="S98"/>
      <c r="T98" s="1" t="b">
        <f t="shared" si="15"/>
        <v>0</v>
      </c>
      <c r="AW98" t="b">
        <v>1</v>
      </c>
    </row>
    <row r="99" spans="1:54" x14ac:dyDescent="0.2">
      <c r="A99" t="s">
        <v>197</v>
      </c>
      <c r="B99" s="1">
        <v>2004</v>
      </c>
      <c r="C99" s="1">
        <v>6</v>
      </c>
      <c r="D99" s="1">
        <v>11</v>
      </c>
      <c r="E99" t="s">
        <v>1</v>
      </c>
      <c r="G99" s="1">
        <v>4</v>
      </c>
      <c r="H99" s="11" t="str">
        <f t="shared" si="13"/>
        <v>2004_06_011.gif</v>
      </c>
      <c r="I99"/>
      <c r="J99"/>
      <c r="L99" s="1" t="b">
        <v>0</v>
      </c>
      <c r="M99" s="1">
        <v>0</v>
      </c>
      <c r="N99" s="1" t="s">
        <v>601</v>
      </c>
      <c r="O99" s="1">
        <v>248</v>
      </c>
      <c r="P99" s="12" t="s">
        <v>0</v>
      </c>
      <c r="Q99"/>
      <c r="R99" s="1" t="b">
        <f t="shared" si="14"/>
        <v>0</v>
      </c>
      <c r="S99"/>
      <c r="T99" s="1" t="b">
        <f t="shared" si="15"/>
        <v>0</v>
      </c>
      <c r="V99" t="b">
        <v>1</v>
      </c>
    </row>
    <row r="100" spans="1:54" x14ac:dyDescent="0.2">
      <c r="A100" t="s">
        <v>198</v>
      </c>
      <c r="B100" s="1">
        <v>2004</v>
      </c>
      <c r="C100" s="1">
        <v>6</v>
      </c>
      <c r="D100" s="1">
        <v>12</v>
      </c>
      <c r="E100" t="s">
        <v>7</v>
      </c>
      <c r="G100" s="1">
        <v>2</v>
      </c>
      <c r="H100" s="11" t="str">
        <f t="shared" si="13"/>
        <v>2004_06_012.gif</v>
      </c>
      <c r="I100"/>
      <c r="J100"/>
      <c r="L100" s="1" t="b">
        <v>0</v>
      </c>
      <c r="M100" s="1">
        <v>0</v>
      </c>
      <c r="N100" s="1" t="s">
        <v>601</v>
      </c>
      <c r="O100" s="1">
        <v>249</v>
      </c>
      <c r="P100" s="12" t="s">
        <v>587</v>
      </c>
      <c r="Q100"/>
      <c r="R100" s="1" t="b">
        <f t="shared" si="14"/>
        <v>0</v>
      </c>
      <c r="S100"/>
      <c r="T100" s="1" t="b">
        <f t="shared" si="15"/>
        <v>0</v>
      </c>
      <c r="AY100" t="b">
        <v>0</v>
      </c>
      <c r="BB100" t="b">
        <v>1</v>
      </c>
    </row>
    <row r="101" spans="1:54" x14ac:dyDescent="0.2">
      <c r="A101" t="s">
        <v>199</v>
      </c>
      <c r="B101" s="1">
        <v>2004</v>
      </c>
      <c r="C101" s="1">
        <v>6</v>
      </c>
      <c r="D101" s="1">
        <v>13</v>
      </c>
      <c r="E101" t="s">
        <v>7</v>
      </c>
      <c r="G101" s="1">
        <v>4</v>
      </c>
      <c r="H101" s="11" t="str">
        <f t="shared" si="13"/>
        <v>2004_06_013.gif</v>
      </c>
      <c r="I101"/>
      <c r="J101"/>
      <c r="L101" s="1" t="b">
        <v>0</v>
      </c>
      <c r="M101" s="1">
        <v>0</v>
      </c>
      <c r="N101" s="1" t="s">
        <v>601</v>
      </c>
      <c r="O101" s="1">
        <v>250</v>
      </c>
      <c r="P101" s="12" t="s">
        <v>559</v>
      </c>
      <c r="Q101"/>
      <c r="R101" s="1" t="b">
        <f t="shared" si="14"/>
        <v>0</v>
      </c>
      <c r="S101"/>
      <c r="T101" s="1" t="b">
        <f t="shared" si="15"/>
        <v>0</v>
      </c>
      <c r="AZ101" t="b">
        <v>1</v>
      </c>
    </row>
    <row r="102" spans="1:54" x14ac:dyDescent="0.2">
      <c r="A102" t="s">
        <v>200</v>
      </c>
      <c r="B102" s="1">
        <v>2004</v>
      </c>
      <c r="C102" s="1">
        <v>6</v>
      </c>
      <c r="D102" s="1">
        <v>14</v>
      </c>
      <c r="E102" t="s">
        <v>7</v>
      </c>
      <c r="G102" s="1">
        <v>2</v>
      </c>
      <c r="H102" s="11" t="str">
        <f t="shared" si="13"/>
        <v>2004_06_014.gif</v>
      </c>
      <c r="I102"/>
      <c r="J102"/>
      <c r="L102" s="1" t="b">
        <v>0</v>
      </c>
      <c r="M102" s="1">
        <v>0</v>
      </c>
      <c r="N102" s="1" t="s">
        <v>601</v>
      </c>
      <c r="O102" s="1">
        <v>251</v>
      </c>
      <c r="P102" s="12" t="s">
        <v>560</v>
      </c>
      <c r="Q102"/>
      <c r="R102" s="1" t="b">
        <f t="shared" si="14"/>
        <v>0</v>
      </c>
      <c r="S102"/>
      <c r="T102" s="1" t="b">
        <f t="shared" si="15"/>
        <v>0</v>
      </c>
      <c r="BA102" t="b">
        <v>1</v>
      </c>
    </row>
    <row r="103" spans="1:54" x14ac:dyDescent="0.2">
      <c r="A103" t="s">
        <v>201</v>
      </c>
      <c r="B103" s="1">
        <v>2004</v>
      </c>
      <c r="C103" s="1">
        <v>6</v>
      </c>
      <c r="D103" s="1">
        <v>15</v>
      </c>
      <c r="E103" t="s">
        <v>7</v>
      </c>
      <c r="G103" s="1">
        <v>2</v>
      </c>
      <c r="H103" s="11" t="str">
        <f t="shared" si="13"/>
        <v>2004_06_015.gif</v>
      </c>
      <c r="I103"/>
      <c r="J103"/>
      <c r="L103" s="1" t="b">
        <v>0</v>
      </c>
      <c r="M103" s="1">
        <v>3</v>
      </c>
      <c r="N103" s="1" t="s">
        <v>601</v>
      </c>
      <c r="O103" s="1">
        <v>252</v>
      </c>
      <c r="P103" s="12" t="s">
        <v>587</v>
      </c>
      <c r="Q103"/>
      <c r="R103" s="1" t="b">
        <f t="shared" si="14"/>
        <v>0</v>
      </c>
      <c r="S103"/>
      <c r="T103" s="1" t="b">
        <f t="shared" si="15"/>
        <v>0</v>
      </c>
      <c r="BB103" t="b">
        <v>1</v>
      </c>
    </row>
    <row r="104" spans="1:54" x14ac:dyDescent="0.2">
      <c r="A104" t="str">
        <f t="shared" ref="A104:A105" si="17">B104 &amp; "_" &amp; TEXT(C104,"00") &amp; "_" &amp; TEXT(D104,"000")</f>
        <v>2004_06_037</v>
      </c>
      <c r="B104" s="1">
        <v>2004</v>
      </c>
      <c r="C104" s="1">
        <v>6</v>
      </c>
      <c r="D104" s="1">
        <v>37</v>
      </c>
      <c r="E104" t="s">
        <v>7</v>
      </c>
      <c r="G104" s="1">
        <v>3</v>
      </c>
      <c r="H104" s="11" t="str">
        <f t="shared" ref="H104:H121" si="18">HYPERLINK(A104&amp;".gif")</f>
        <v>2004_06_037.gif</v>
      </c>
      <c r="I104"/>
      <c r="J104"/>
      <c r="L104" s="1" t="b">
        <v>0</v>
      </c>
      <c r="M104" s="1">
        <v>1</v>
      </c>
      <c r="N104" s="1" t="s">
        <v>657</v>
      </c>
      <c r="O104" s="1">
        <v>274</v>
      </c>
      <c r="P104" s="12" t="s">
        <v>579</v>
      </c>
      <c r="Q104"/>
      <c r="R104" s="1" t="b">
        <f t="shared" ref="R104:R121" si="19">OR(S104:T104)</f>
        <v>0</v>
      </c>
      <c r="S104"/>
      <c r="T104" s="1" t="b">
        <f t="shared" ref="T104:T121" si="20">SUMPRODUCT(BC104:BZ104*1)&gt;0</f>
        <v>0</v>
      </c>
      <c r="AX104" t="b">
        <v>1</v>
      </c>
    </row>
    <row r="105" spans="1:54" x14ac:dyDescent="0.2">
      <c r="A105" t="str">
        <f t="shared" si="17"/>
        <v>2004_06_038</v>
      </c>
      <c r="B105" s="1">
        <v>2004</v>
      </c>
      <c r="C105" s="1">
        <v>6</v>
      </c>
      <c r="D105" s="1">
        <v>38</v>
      </c>
      <c r="E105" t="s">
        <v>1</v>
      </c>
      <c r="G105" s="1">
        <v>3</v>
      </c>
      <c r="H105" s="11" t="str">
        <f t="shared" si="18"/>
        <v>2004_06_038.gif</v>
      </c>
      <c r="I105"/>
      <c r="J105"/>
      <c r="L105" s="1" t="b">
        <v>0</v>
      </c>
      <c r="M105" s="1">
        <v>0</v>
      </c>
      <c r="N105" s="1" t="s">
        <v>657</v>
      </c>
      <c r="O105" s="1">
        <v>275</v>
      </c>
      <c r="P105" s="12" t="s">
        <v>547</v>
      </c>
      <c r="Q105"/>
      <c r="R105" s="1" t="b">
        <f t="shared" si="19"/>
        <v>0</v>
      </c>
      <c r="S105"/>
      <c r="T105" s="1" t="b">
        <f t="shared" si="20"/>
        <v>0</v>
      </c>
      <c r="U105" t="b">
        <v>1</v>
      </c>
    </row>
    <row r="106" spans="1:54" x14ac:dyDescent="0.2">
      <c r="A106" t="s">
        <v>222</v>
      </c>
      <c r="B106" s="1">
        <v>2005</v>
      </c>
      <c r="C106" s="1">
        <v>1</v>
      </c>
      <c r="D106" s="1">
        <v>1</v>
      </c>
      <c r="E106" t="s">
        <v>2</v>
      </c>
      <c r="G106" s="1">
        <v>2</v>
      </c>
      <c r="H106" s="11" t="str">
        <f t="shared" si="18"/>
        <v>2005_01_001.gif</v>
      </c>
      <c r="I106"/>
      <c r="J106"/>
      <c r="L106" s="1" t="b">
        <v>0</v>
      </c>
      <c r="M106" s="1">
        <v>0</v>
      </c>
      <c r="N106" s="1" t="s">
        <v>601</v>
      </c>
      <c r="O106" s="1">
        <v>284</v>
      </c>
      <c r="P106" s="12" t="s">
        <v>552</v>
      </c>
      <c r="Q106"/>
      <c r="R106" s="1" t="b">
        <f t="shared" si="19"/>
        <v>0</v>
      </c>
      <c r="S106"/>
      <c r="T106" s="1" t="b">
        <f t="shared" si="20"/>
        <v>0</v>
      </c>
      <c r="AC106" t="b">
        <v>1</v>
      </c>
    </row>
    <row r="107" spans="1:54" x14ac:dyDescent="0.2">
      <c r="A107" t="s">
        <v>223</v>
      </c>
      <c r="B107" s="1">
        <v>2005</v>
      </c>
      <c r="C107" s="1">
        <v>1</v>
      </c>
      <c r="D107" s="1">
        <v>2</v>
      </c>
      <c r="E107" t="s">
        <v>2</v>
      </c>
      <c r="G107" s="1">
        <v>1</v>
      </c>
      <c r="H107" s="11" t="str">
        <f t="shared" si="18"/>
        <v>2005_01_002.gif</v>
      </c>
      <c r="I107"/>
      <c r="J107"/>
      <c r="L107" s="1" t="b">
        <v>0</v>
      </c>
      <c r="M107" s="1">
        <v>0</v>
      </c>
      <c r="N107" s="1" t="s">
        <v>601</v>
      </c>
      <c r="O107" s="1">
        <v>285</v>
      </c>
      <c r="P107" s="12" t="s">
        <v>594</v>
      </c>
      <c r="Q107"/>
      <c r="R107" s="1" t="b">
        <f t="shared" si="19"/>
        <v>0</v>
      </c>
      <c r="S107"/>
      <c r="T107" s="1" t="b">
        <f t="shared" si="20"/>
        <v>0</v>
      </c>
      <c r="Z107" t="b">
        <v>1</v>
      </c>
    </row>
    <row r="108" spans="1:54" x14ac:dyDescent="0.2">
      <c r="A108" t="s">
        <v>224</v>
      </c>
      <c r="B108" s="1">
        <v>2005</v>
      </c>
      <c r="C108" s="1">
        <v>1</v>
      </c>
      <c r="D108" s="1">
        <v>3</v>
      </c>
      <c r="E108" t="s">
        <v>4</v>
      </c>
      <c r="F108" t="s">
        <v>3</v>
      </c>
      <c r="G108" s="1">
        <v>1</v>
      </c>
      <c r="H108" s="11" t="str">
        <f t="shared" si="18"/>
        <v>2005_01_003.gif</v>
      </c>
      <c r="I108"/>
      <c r="J108"/>
      <c r="L108" s="1" t="b">
        <v>0</v>
      </c>
      <c r="M108" s="1">
        <v>0</v>
      </c>
      <c r="N108" s="1" t="s">
        <v>601</v>
      </c>
      <c r="O108" s="1">
        <v>286</v>
      </c>
      <c r="P108" s="12" t="s">
        <v>676</v>
      </c>
      <c r="Q108"/>
      <c r="R108" s="1" t="b">
        <f t="shared" si="19"/>
        <v>0</v>
      </c>
      <c r="S108"/>
      <c r="T108" s="1" t="b">
        <f t="shared" si="20"/>
        <v>0</v>
      </c>
      <c r="AE108" t="b">
        <v>1</v>
      </c>
      <c r="AH108" t="b">
        <v>1</v>
      </c>
    </row>
    <row r="109" spans="1:54" x14ac:dyDescent="0.2">
      <c r="A109" t="s">
        <v>225</v>
      </c>
      <c r="B109" s="1">
        <v>2005</v>
      </c>
      <c r="C109" s="1">
        <v>1</v>
      </c>
      <c r="D109" s="1">
        <v>4</v>
      </c>
      <c r="E109" t="s">
        <v>6</v>
      </c>
      <c r="G109" s="1">
        <v>2</v>
      </c>
      <c r="H109" s="11" t="str">
        <f t="shared" si="18"/>
        <v>2005_01_004.gif</v>
      </c>
      <c r="I109"/>
      <c r="J109"/>
      <c r="L109" s="1" t="b">
        <v>0</v>
      </c>
      <c r="M109" s="1">
        <v>0</v>
      </c>
      <c r="N109" s="1" t="s">
        <v>601</v>
      </c>
      <c r="O109" s="1">
        <v>287</v>
      </c>
      <c r="P109" s="12" t="s">
        <v>558</v>
      </c>
      <c r="Q109"/>
      <c r="R109" s="1" t="b">
        <f t="shared" si="19"/>
        <v>0</v>
      </c>
      <c r="S109"/>
      <c r="T109" s="1" t="b">
        <f t="shared" si="20"/>
        <v>0</v>
      </c>
      <c r="AV109" t="b">
        <v>1</v>
      </c>
    </row>
    <row r="110" spans="1:54" x14ac:dyDescent="0.2">
      <c r="A110" t="s">
        <v>226</v>
      </c>
      <c r="B110" s="1">
        <v>2005</v>
      </c>
      <c r="C110" s="1">
        <v>1</v>
      </c>
      <c r="D110" s="1">
        <v>5</v>
      </c>
      <c r="E110" t="s">
        <v>5</v>
      </c>
      <c r="G110" s="1">
        <v>3</v>
      </c>
      <c r="H110" s="11" t="str">
        <f t="shared" si="18"/>
        <v>2005_01_005.gif</v>
      </c>
      <c r="I110"/>
      <c r="J110"/>
      <c r="L110" s="1" t="b">
        <v>0</v>
      </c>
      <c r="M110" s="1">
        <v>0</v>
      </c>
      <c r="N110" s="1" t="s">
        <v>601</v>
      </c>
      <c r="O110" s="1">
        <v>288</v>
      </c>
      <c r="P110" s="12" t="s">
        <v>556</v>
      </c>
      <c r="Q110"/>
      <c r="R110" s="1" t="b">
        <f t="shared" si="19"/>
        <v>0</v>
      </c>
      <c r="S110"/>
      <c r="T110" s="1" t="b">
        <f t="shared" si="20"/>
        <v>0</v>
      </c>
      <c r="AT110" t="b">
        <v>1</v>
      </c>
    </row>
    <row r="111" spans="1:54" x14ac:dyDescent="0.2">
      <c r="A111" t="s">
        <v>227</v>
      </c>
      <c r="B111" s="1">
        <v>2005</v>
      </c>
      <c r="C111" s="1">
        <v>1</v>
      </c>
      <c r="D111" s="1">
        <v>6</v>
      </c>
      <c r="E111" t="s">
        <v>2</v>
      </c>
      <c r="F111" t="s">
        <v>3</v>
      </c>
      <c r="G111" s="1">
        <v>4</v>
      </c>
      <c r="H111" s="11" t="str">
        <f t="shared" si="18"/>
        <v>2005_01_006.gif</v>
      </c>
      <c r="I111"/>
      <c r="J111"/>
      <c r="L111" s="1" t="b">
        <v>0</v>
      </c>
      <c r="M111" s="1">
        <v>0</v>
      </c>
      <c r="N111" s="1" t="s">
        <v>601</v>
      </c>
      <c r="O111" s="1">
        <v>289</v>
      </c>
      <c r="P111" s="12" t="s">
        <v>665</v>
      </c>
      <c r="Q111"/>
      <c r="R111" s="1" t="b">
        <f t="shared" si="19"/>
        <v>0</v>
      </c>
      <c r="S111"/>
      <c r="T111" s="1" t="b">
        <f t="shared" si="20"/>
        <v>0</v>
      </c>
      <c r="Z111" t="b">
        <v>1</v>
      </c>
      <c r="AF111" t="b">
        <v>1</v>
      </c>
    </row>
    <row r="112" spans="1:54" x14ac:dyDescent="0.2">
      <c r="A112" t="s">
        <v>228</v>
      </c>
      <c r="B112" s="1">
        <v>2005</v>
      </c>
      <c r="C112" s="1">
        <v>1</v>
      </c>
      <c r="D112" s="1">
        <v>7</v>
      </c>
      <c r="E112" t="s">
        <v>6</v>
      </c>
      <c r="G112" s="1">
        <v>1</v>
      </c>
      <c r="H112" s="11" t="str">
        <f t="shared" si="18"/>
        <v>2005_01_007.gif</v>
      </c>
      <c r="I112"/>
      <c r="J112"/>
      <c r="L112" s="1" t="b">
        <v>0</v>
      </c>
      <c r="M112" s="1">
        <v>0</v>
      </c>
      <c r="N112" s="1" t="s">
        <v>601</v>
      </c>
      <c r="O112" s="1">
        <v>290</v>
      </c>
      <c r="P112" s="12" t="s">
        <v>597</v>
      </c>
      <c r="Q112"/>
      <c r="R112" s="1" t="b">
        <f t="shared" si="19"/>
        <v>0</v>
      </c>
      <c r="S112"/>
      <c r="T112" s="1" t="b">
        <f t="shared" si="20"/>
        <v>0</v>
      </c>
      <c r="AW112" t="b">
        <v>1</v>
      </c>
    </row>
    <row r="113" spans="1:54" x14ac:dyDescent="0.2">
      <c r="A113" t="s">
        <v>229</v>
      </c>
      <c r="B113" s="1">
        <v>2005</v>
      </c>
      <c r="C113" s="1">
        <v>1</v>
      </c>
      <c r="D113" s="1">
        <v>8</v>
      </c>
      <c r="E113" t="s">
        <v>5</v>
      </c>
      <c r="G113" s="1">
        <v>4</v>
      </c>
      <c r="H113" s="11" t="str">
        <f t="shared" si="18"/>
        <v>2005_01_008.gif</v>
      </c>
      <c r="I113"/>
      <c r="J113"/>
      <c r="L113" s="1" t="b">
        <v>0</v>
      </c>
      <c r="M113" s="1">
        <v>0</v>
      </c>
      <c r="N113" s="1" t="s">
        <v>601</v>
      </c>
      <c r="O113" s="1">
        <v>291</v>
      </c>
      <c r="P113" s="12" t="s">
        <v>678</v>
      </c>
      <c r="Q113"/>
      <c r="R113" s="1" t="b">
        <f t="shared" si="19"/>
        <v>0</v>
      </c>
      <c r="S113"/>
      <c r="T113" s="1" t="b">
        <f t="shared" si="20"/>
        <v>0</v>
      </c>
      <c r="AR113" t="b">
        <v>1</v>
      </c>
      <c r="AT113" t="b">
        <v>1</v>
      </c>
    </row>
    <row r="114" spans="1:54" x14ac:dyDescent="0.2">
      <c r="A114" t="s">
        <v>230</v>
      </c>
      <c r="B114" s="1">
        <v>2005</v>
      </c>
      <c r="C114" s="1">
        <v>1</v>
      </c>
      <c r="D114" s="1">
        <v>9</v>
      </c>
      <c r="E114" t="s">
        <v>5</v>
      </c>
      <c r="G114" s="1">
        <v>3</v>
      </c>
      <c r="H114" s="11" t="str">
        <f t="shared" si="18"/>
        <v>2005_01_009.gif</v>
      </c>
      <c r="I114"/>
      <c r="J114"/>
      <c r="L114" s="1" t="b">
        <v>0</v>
      </c>
      <c r="M114" s="1">
        <v>0</v>
      </c>
      <c r="N114" s="1" t="s">
        <v>601</v>
      </c>
      <c r="O114" s="1">
        <v>292</v>
      </c>
      <c r="P114" s="12" t="s">
        <v>598</v>
      </c>
      <c r="Q114"/>
      <c r="R114" s="1" t="b">
        <f t="shared" si="19"/>
        <v>0</v>
      </c>
      <c r="S114"/>
      <c r="T114" s="1" t="b">
        <f t="shared" si="20"/>
        <v>0</v>
      </c>
      <c r="AO114" t="b">
        <v>1</v>
      </c>
    </row>
    <row r="115" spans="1:54" x14ac:dyDescent="0.2">
      <c r="A115" t="s">
        <v>241</v>
      </c>
      <c r="B115" s="1">
        <v>2005</v>
      </c>
      <c r="C115" s="1">
        <v>1</v>
      </c>
      <c r="D115" s="1">
        <v>20</v>
      </c>
      <c r="E115" t="s">
        <v>7</v>
      </c>
      <c r="G115" s="1">
        <v>2</v>
      </c>
      <c r="H115" s="11" t="str">
        <f t="shared" si="18"/>
        <v>2005_01_020.gif</v>
      </c>
      <c r="I115"/>
      <c r="J115"/>
      <c r="L115" s="1" t="b">
        <v>0</v>
      </c>
      <c r="M115" s="1">
        <v>3</v>
      </c>
      <c r="N115" s="1" t="s">
        <v>601</v>
      </c>
      <c r="O115" s="1">
        <v>303</v>
      </c>
      <c r="P115" s="12" t="s">
        <v>581</v>
      </c>
      <c r="Q115"/>
      <c r="R115" s="1" t="b">
        <f t="shared" si="19"/>
        <v>0</v>
      </c>
      <c r="S115"/>
      <c r="T115" s="1" t="b">
        <f t="shared" si="20"/>
        <v>0</v>
      </c>
      <c r="AY115" t="b">
        <v>1</v>
      </c>
    </row>
    <row r="116" spans="1:54" x14ac:dyDescent="0.2">
      <c r="A116" t="s">
        <v>242</v>
      </c>
      <c r="B116" s="1">
        <v>2005</v>
      </c>
      <c r="C116" s="1">
        <v>1</v>
      </c>
      <c r="D116" s="1">
        <v>21</v>
      </c>
      <c r="E116" t="s">
        <v>7</v>
      </c>
      <c r="G116" s="1">
        <v>2</v>
      </c>
      <c r="H116" s="11" t="str">
        <f t="shared" si="18"/>
        <v>2005_01_021.gif</v>
      </c>
      <c r="I116"/>
      <c r="J116"/>
      <c r="L116" s="1" t="b">
        <v>0</v>
      </c>
      <c r="M116" s="1">
        <v>0</v>
      </c>
      <c r="N116" s="1" t="s">
        <v>601</v>
      </c>
      <c r="O116" s="1">
        <v>304</v>
      </c>
      <c r="P116" s="12" t="s">
        <v>559</v>
      </c>
      <c r="Q116"/>
      <c r="R116" s="1" t="b">
        <f t="shared" si="19"/>
        <v>0</v>
      </c>
      <c r="S116"/>
      <c r="T116" s="1" t="b">
        <f t="shared" si="20"/>
        <v>0</v>
      </c>
      <c r="AZ116" t="b">
        <v>1</v>
      </c>
    </row>
    <row r="117" spans="1:54" x14ac:dyDescent="0.2">
      <c r="A117" t="s">
        <v>243</v>
      </c>
      <c r="B117" s="1">
        <v>2005</v>
      </c>
      <c r="C117" s="1">
        <v>1</v>
      </c>
      <c r="D117" s="1">
        <v>22</v>
      </c>
      <c r="E117" t="s">
        <v>7</v>
      </c>
      <c r="G117" s="1">
        <v>1</v>
      </c>
      <c r="H117" s="11" t="str">
        <f t="shared" si="18"/>
        <v>2005_01_022.gif</v>
      </c>
      <c r="I117"/>
      <c r="J117"/>
      <c r="L117" s="1" t="b">
        <v>0</v>
      </c>
      <c r="M117" s="1">
        <v>0</v>
      </c>
      <c r="N117" s="1" t="s">
        <v>601</v>
      </c>
      <c r="O117" s="1">
        <v>305</v>
      </c>
      <c r="P117" s="12" t="s">
        <v>679</v>
      </c>
      <c r="Q117"/>
      <c r="R117" s="1" t="b">
        <f t="shared" si="19"/>
        <v>0</v>
      </c>
      <c r="S117"/>
      <c r="T117" s="1" t="b">
        <f t="shared" si="20"/>
        <v>0</v>
      </c>
      <c r="AY117" t="b">
        <v>1</v>
      </c>
      <c r="BB117" t="b">
        <v>1</v>
      </c>
    </row>
    <row r="118" spans="1:54" x14ac:dyDescent="0.2">
      <c r="A118" t="s">
        <v>244</v>
      </c>
      <c r="B118" s="1">
        <v>2005</v>
      </c>
      <c r="C118" s="1">
        <v>1</v>
      </c>
      <c r="D118" s="1">
        <v>23</v>
      </c>
      <c r="E118" t="s">
        <v>7</v>
      </c>
      <c r="G118" s="1">
        <v>4</v>
      </c>
      <c r="H118" s="11" t="str">
        <f t="shared" si="18"/>
        <v>2005_01_023.gif</v>
      </c>
      <c r="I118"/>
      <c r="J118"/>
      <c r="L118" s="1" t="b">
        <v>0</v>
      </c>
      <c r="M118" s="1">
        <v>0</v>
      </c>
      <c r="N118" s="1" t="s">
        <v>601</v>
      </c>
      <c r="O118" s="1">
        <v>306</v>
      </c>
      <c r="P118" s="12" t="s">
        <v>579</v>
      </c>
      <c r="Q118"/>
      <c r="R118" s="1" t="b">
        <f t="shared" si="19"/>
        <v>0</v>
      </c>
      <c r="S118"/>
      <c r="T118" s="1" t="b">
        <f t="shared" si="20"/>
        <v>0</v>
      </c>
      <c r="AX118" t="b">
        <v>1</v>
      </c>
    </row>
    <row r="119" spans="1:54" x14ac:dyDescent="0.2">
      <c r="A119" t="s">
        <v>245</v>
      </c>
      <c r="B119" s="1">
        <v>2005</v>
      </c>
      <c r="C119" s="1">
        <v>1</v>
      </c>
      <c r="D119" s="1">
        <v>24</v>
      </c>
      <c r="E119" t="s">
        <v>7</v>
      </c>
      <c r="G119" s="1">
        <v>3</v>
      </c>
      <c r="H119" s="11" t="str">
        <f t="shared" si="18"/>
        <v>2005_01_024.gif</v>
      </c>
      <c r="I119"/>
      <c r="J119"/>
      <c r="L119" s="1" t="b">
        <v>0</v>
      </c>
      <c r="M119" s="1">
        <v>0</v>
      </c>
      <c r="N119" s="1" t="s">
        <v>601</v>
      </c>
      <c r="O119" s="1">
        <v>307</v>
      </c>
      <c r="P119" s="12" t="s">
        <v>679</v>
      </c>
      <c r="Q119"/>
      <c r="R119" s="1" t="b">
        <f t="shared" si="19"/>
        <v>0</v>
      </c>
      <c r="S119"/>
      <c r="T119" s="1" t="b">
        <f t="shared" si="20"/>
        <v>0</v>
      </c>
      <c r="AY119" t="b">
        <v>1</v>
      </c>
      <c r="BB119" t="b">
        <v>1</v>
      </c>
    </row>
    <row r="120" spans="1:54" x14ac:dyDescent="0.2">
      <c r="A120" t="str">
        <f t="shared" ref="A120:A124" si="21">B120 &amp; "_" &amp; TEXT(C120,"00") &amp; "_" &amp; TEXT(D120,"000")</f>
        <v>2005_01_036</v>
      </c>
      <c r="B120" s="1">
        <v>2005</v>
      </c>
      <c r="C120" s="1">
        <v>1</v>
      </c>
      <c r="D120" s="1">
        <v>36</v>
      </c>
      <c r="E120" t="s">
        <v>2</v>
      </c>
      <c r="G120" s="1">
        <v>1</v>
      </c>
      <c r="H120" s="11" t="str">
        <f t="shared" si="18"/>
        <v>2005_01_036.gif</v>
      </c>
      <c r="I120"/>
      <c r="J120"/>
      <c r="L120" s="1" t="b">
        <v>0</v>
      </c>
      <c r="M120" s="1">
        <v>0</v>
      </c>
      <c r="N120" s="1" t="s">
        <v>657</v>
      </c>
      <c r="O120" s="1">
        <v>319</v>
      </c>
      <c r="P120" s="12" t="s">
        <v>553</v>
      </c>
      <c r="Q120"/>
      <c r="R120" s="1" t="b">
        <f t="shared" si="19"/>
        <v>0</v>
      </c>
      <c r="S120"/>
      <c r="T120" s="1" t="b">
        <f t="shared" si="20"/>
        <v>0</v>
      </c>
      <c r="W120" t="b">
        <v>1</v>
      </c>
    </row>
    <row r="121" spans="1:54" x14ac:dyDescent="0.2">
      <c r="A121" t="str">
        <f t="shared" si="21"/>
        <v>2005_01_037</v>
      </c>
      <c r="B121" s="1">
        <v>2005</v>
      </c>
      <c r="C121" s="1">
        <v>1</v>
      </c>
      <c r="D121" s="1">
        <v>37</v>
      </c>
      <c r="E121" t="s">
        <v>3</v>
      </c>
      <c r="G121" s="1">
        <v>2</v>
      </c>
      <c r="H121" s="11" t="str">
        <f t="shared" si="18"/>
        <v>2005_01_037.gif</v>
      </c>
      <c r="I121"/>
      <c r="J121"/>
      <c r="L121" s="1" t="b">
        <v>0</v>
      </c>
      <c r="M121" s="1">
        <v>0</v>
      </c>
      <c r="N121" s="1" t="s">
        <v>657</v>
      </c>
      <c r="O121" s="1">
        <v>320</v>
      </c>
      <c r="P121" s="12" t="s">
        <v>549</v>
      </c>
      <c r="Q121"/>
      <c r="R121" s="1" t="b">
        <f t="shared" si="19"/>
        <v>0</v>
      </c>
      <c r="S121"/>
      <c r="T121" s="1" t="b">
        <f t="shared" si="20"/>
        <v>0</v>
      </c>
      <c r="AD121" t="b">
        <v>1</v>
      </c>
    </row>
    <row r="122" spans="1:54" x14ac:dyDescent="0.2">
      <c r="A122" t="str">
        <f t="shared" si="21"/>
        <v>2005_01_038</v>
      </c>
      <c r="B122" s="1">
        <v>2005</v>
      </c>
      <c r="C122" s="1">
        <v>1</v>
      </c>
      <c r="D122" s="1">
        <v>38</v>
      </c>
      <c r="E122" t="s">
        <v>1</v>
      </c>
      <c r="G122" s="1">
        <v>2</v>
      </c>
      <c r="H122" s="11" t="str">
        <f t="shared" ref="H122:H150" si="22">HYPERLINK(A122&amp;".gif")</f>
        <v>2005_01_038.gif</v>
      </c>
      <c r="I122"/>
      <c r="J122"/>
      <c r="L122" s="1" t="b">
        <v>0</v>
      </c>
      <c r="M122" s="1">
        <v>0</v>
      </c>
      <c r="N122" s="1" t="s">
        <v>657</v>
      </c>
      <c r="O122" s="1">
        <v>321</v>
      </c>
      <c r="P122" s="12" t="s">
        <v>547</v>
      </c>
      <c r="Q122"/>
      <c r="R122" s="1" t="b">
        <f t="shared" ref="R122:R150" si="23">OR(S122:T122)</f>
        <v>0</v>
      </c>
      <c r="S122"/>
      <c r="T122" s="1" t="b">
        <f t="shared" ref="T122:T150" si="24">SUMPRODUCT(BC122:BZ122*1)&gt;0</f>
        <v>0</v>
      </c>
      <c r="U122" t="b">
        <v>1</v>
      </c>
    </row>
    <row r="123" spans="1:54" x14ac:dyDescent="0.2">
      <c r="A123" t="str">
        <f t="shared" si="21"/>
        <v>2005_01_039</v>
      </c>
      <c r="B123" s="1">
        <v>2005</v>
      </c>
      <c r="C123" s="1">
        <v>1</v>
      </c>
      <c r="D123" s="1">
        <v>39</v>
      </c>
      <c r="E123" t="s">
        <v>1</v>
      </c>
      <c r="G123" s="1">
        <v>1</v>
      </c>
      <c r="H123" s="11" t="str">
        <f t="shared" si="22"/>
        <v>2005_01_039.gif</v>
      </c>
      <c r="I123"/>
      <c r="J123"/>
      <c r="L123" s="1" t="b">
        <v>0</v>
      </c>
      <c r="M123" s="1">
        <v>0</v>
      </c>
      <c r="N123" s="1" t="s">
        <v>657</v>
      </c>
      <c r="O123" s="1">
        <v>322</v>
      </c>
      <c r="P123" s="12" t="s">
        <v>0</v>
      </c>
      <c r="Q123"/>
      <c r="R123" s="1" t="b">
        <f t="shared" si="23"/>
        <v>0</v>
      </c>
      <c r="S123"/>
      <c r="T123" s="1" t="b">
        <f t="shared" si="24"/>
        <v>0</v>
      </c>
      <c r="V123" t="b">
        <v>1</v>
      </c>
    </row>
    <row r="124" spans="1:54" x14ac:dyDescent="0.2">
      <c r="A124" t="str">
        <f t="shared" si="21"/>
        <v>2005_01_046</v>
      </c>
      <c r="B124" s="1">
        <v>2005</v>
      </c>
      <c r="C124" s="1">
        <v>1</v>
      </c>
      <c r="D124" s="1">
        <v>46</v>
      </c>
      <c r="E124" t="s">
        <v>5</v>
      </c>
      <c r="G124" s="1">
        <v>3</v>
      </c>
      <c r="H124" s="11" t="str">
        <f t="shared" si="22"/>
        <v>2005_01_046.gif</v>
      </c>
      <c r="I124"/>
      <c r="J124"/>
      <c r="L124" s="1" t="b">
        <v>0</v>
      </c>
      <c r="M124" s="1">
        <v>0</v>
      </c>
      <c r="N124" s="1" t="s">
        <v>657</v>
      </c>
      <c r="O124" s="1">
        <v>329</v>
      </c>
      <c r="P124" s="12" t="s">
        <v>577</v>
      </c>
      <c r="Q124"/>
      <c r="R124" s="1" t="b">
        <f t="shared" si="23"/>
        <v>0</v>
      </c>
      <c r="S124"/>
      <c r="T124" s="1" t="b">
        <f t="shared" si="24"/>
        <v>0</v>
      </c>
      <c r="AP124" t="b">
        <v>1</v>
      </c>
    </row>
    <row r="125" spans="1:54" x14ac:dyDescent="0.2">
      <c r="A125" t="s">
        <v>257</v>
      </c>
      <c r="B125" s="1">
        <v>2005</v>
      </c>
      <c r="C125" s="1">
        <v>6</v>
      </c>
      <c r="D125" s="1">
        <v>1</v>
      </c>
      <c r="E125" t="s">
        <v>6</v>
      </c>
      <c r="G125" s="1">
        <v>3</v>
      </c>
      <c r="H125" s="11" t="str">
        <f t="shared" si="22"/>
        <v>2005_06_001.gif</v>
      </c>
      <c r="I125"/>
      <c r="J125"/>
      <c r="L125" s="1" t="b">
        <v>0</v>
      </c>
      <c r="M125" s="1">
        <v>0</v>
      </c>
      <c r="N125" s="1" t="s">
        <v>601</v>
      </c>
      <c r="O125" s="1">
        <v>332</v>
      </c>
      <c r="P125" s="12" t="s">
        <v>558</v>
      </c>
      <c r="Q125"/>
      <c r="R125" s="1" t="b">
        <f t="shared" si="23"/>
        <v>0</v>
      </c>
      <c r="S125"/>
      <c r="T125" s="1" t="b">
        <f t="shared" si="24"/>
        <v>0</v>
      </c>
      <c r="AV125" t="b">
        <v>1</v>
      </c>
    </row>
    <row r="126" spans="1:54" x14ac:dyDescent="0.2">
      <c r="A126" t="s">
        <v>258</v>
      </c>
      <c r="B126" s="1">
        <v>2005</v>
      </c>
      <c r="C126" s="1">
        <v>6</v>
      </c>
      <c r="D126" s="1">
        <v>2</v>
      </c>
      <c r="E126" t="s">
        <v>2</v>
      </c>
      <c r="G126" s="1">
        <v>2</v>
      </c>
      <c r="H126" s="11" t="str">
        <f t="shared" si="22"/>
        <v>2005_06_002.gif</v>
      </c>
      <c r="I126"/>
      <c r="J126"/>
      <c r="L126" s="1" t="b">
        <v>0</v>
      </c>
      <c r="M126" s="1">
        <v>0</v>
      </c>
      <c r="N126" s="1" t="s">
        <v>601</v>
      </c>
      <c r="O126" s="1">
        <v>333</v>
      </c>
      <c r="P126" s="12" t="s">
        <v>552</v>
      </c>
      <c r="Q126"/>
      <c r="R126" s="1" t="b">
        <f t="shared" si="23"/>
        <v>0</v>
      </c>
      <c r="S126"/>
      <c r="T126" s="1" t="b">
        <f t="shared" si="24"/>
        <v>0</v>
      </c>
      <c r="AC126" t="b">
        <v>1</v>
      </c>
    </row>
    <row r="127" spans="1:54" x14ac:dyDescent="0.2">
      <c r="A127" t="s">
        <v>259</v>
      </c>
      <c r="B127" s="1">
        <v>2005</v>
      </c>
      <c r="C127" s="1">
        <v>6</v>
      </c>
      <c r="D127" s="1">
        <v>3</v>
      </c>
      <c r="E127" t="s">
        <v>3</v>
      </c>
      <c r="G127" s="1">
        <v>3</v>
      </c>
      <c r="H127" s="11" t="str">
        <f t="shared" si="22"/>
        <v>2005_06_003.gif</v>
      </c>
      <c r="I127"/>
      <c r="J127"/>
      <c r="L127" s="1" t="b">
        <v>0</v>
      </c>
      <c r="M127" s="1">
        <v>0</v>
      </c>
      <c r="N127" s="1" t="s">
        <v>601</v>
      </c>
      <c r="O127" s="1">
        <v>334</v>
      </c>
      <c r="P127" s="12" t="s">
        <v>549</v>
      </c>
      <c r="Q127"/>
      <c r="R127" s="1" t="b">
        <f t="shared" si="23"/>
        <v>0</v>
      </c>
      <c r="S127"/>
      <c r="T127" s="1" t="b">
        <f t="shared" si="24"/>
        <v>0</v>
      </c>
      <c r="AD127" t="b">
        <v>1</v>
      </c>
    </row>
    <row r="128" spans="1:54" x14ac:dyDescent="0.2">
      <c r="A128" t="s">
        <v>260</v>
      </c>
      <c r="B128" s="1">
        <v>2005</v>
      </c>
      <c r="C128" s="1">
        <v>6</v>
      </c>
      <c r="D128" s="1">
        <v>4</v>
      </c>
      <c r="E128" t="s">
        <v>3</v>
      </c>
      <c r="G128" s="1">
        <v>3</v>
      </c>
      <c r="H128" s="11" t="str">
        <f t="shared" si="22"/>
        <v>2005_06_004.gif</v>
      </c>
      <c r="I128"/>
      <c r="J128"/>
      <c r="L128" s="1" t="b">
        <v>0</v>
      </c>
      <c r="M128" s="1">
        <v>0</v>
      </c>
      <c r="N128" s="1" t="s">
        <v>601</v>
      </c>
      <c r="O128" s="1">
        <v>335</v>
      </c>
      <c r="P128" s="12" t="s">
        <v>550</v>
      </c>
      <c r="Q128"/>
      <c r="R128" s="1" t="b">
        <f t="shared" si="23"/>
        <v>0</v>
      </c>
      <c r="S128"/>
      <c r="T128" s="1" t="b">
        <f t="shared" si="24"/>
        <v>0</v>
      </c>
      <c r="AE128" t="b">
        <v>1</v>
      </c>
    </row>
    <row r="129" spans="1:54" x14ac:dyDescent="0.2">
      <c r="A129" t="s">
        <v>261</v>
      </c>
      <c r="B129" s="1">
        <v>2005</v>
      </c>
      <c r="C129" s="1">
        <v>6</v>
      </c>
      <c r="D129" s="1">
        <v>5</v>
      </c>
      <c r="E129" t="s">
        <v>4</v>
      </c>
      <c r="G129" s="1">
        <v>2</v>
      </c>
      <c r="H129" s="11" t="str">
        <f t="shared" si="22"/>
        <v>2005_06_005.gif</v>
      </c>
      <c r="I129"/>
      <c r="J129"/>
      <c r="L129" s="1" t="b">
        <v>0</v>
      </c>
      <c r="M129" s="1">
        <v>0</v>
      </c>
      <c r="N129" s="1" t="s">
        <v>601</v>
      </c>
      <c r="O129" s="1">
        <v>336</v>
      </c>
      <c r="P129" s="12" t="s">
        <v>554</v>
      </c>
      <c r="Q129"/>
      <c r="R129" s="1" t="b">
        <f t="shared" si="23"/>
        <v>0</v>
      </c>
      <c r="S129"/>
      <c r="T129" s="1" t="b">
        <f t="shared" si="24"/>
        <v>0</v>
      </c>
      <c r="AG129" t="b">
        <v>1</v>
      </c>
    </row>
    <row r="130" spans="1:54" x14ac:dyDescent="0.2">
      <c r="A130" t="s">
        <v>262</v>
      </c>
      <c r="B130" s="1">
        <v>2005</v>
      </c>
      <c r="C130" s="1">
        <v>6</v>
      </c>
      <c r="D130" s="1">
        <v>6</v>
      </c>
      <c r="E130" t="s">
        <v>6</v>
      </c>
      <c r="G130" s="1">
        <v>3</v>
      </c>
      <c r="H130" s="11" t="str">
        <f t="shared" si="22"/>
        <v>2005_06_006.gif</v>
      </c>
      <c r="I130"/>
      <c r="J130"/>
      <c r="L130" s="1" t="b">
        <v>0</v>
      </c>
      <c r="M130" s="1">
        <v>0</v>
      </c>
      <c r="N130" s="1" t="s">
        <v>601</v>
      </c>
      <c r="O130" s="1">
        <v>337</v>
      </c>
      <c r="P130" s="12" t="s">
        <v>580</v>
      </c>
      <c r="Q130"/>
      <c r="R130" s="1" t="b">
        <f t="shared" si="23"/>
        <v>0</v>
      </c>
      <c r="S130"/>
      <c r="T130" s="1" t="b">
        <f t="shared" si="24"/>
        <v>0</v>
      </c>
      <c r="AU130" t="b">
        <v>1</v>
      </c>
    </row>
    <row r="131" spans="1:54" x14ac:dyDescent="0.2">
      <c r="A131" t="s">
        <v>263</v>
      </c>
      <c r="B131" s="1">
        <v>2005</v>
      </c>
      <c r="C131" s="1">
        <v>6</v>
      </c>
      <c r="D131" s="1">
        <v>7</v>
      </c>
      <c r="E131" t="s">
        <v>4</v>
      </c>
      <c r="G131" s="1">
        <v>3</v>
      </c>
      <c r="H131" s="11" t="str">
        <f t="shared" si="22"/>
        <v>2005_06_007.gif</v>
      </c>
      <c r="I131"/>
      <c r="J131"/>
      <c r="L131" s="1" t="b">
        <v>0</v>
      </c>
      <c r="M131" s="1">
        <v>0</v>
      </c>
      <c r="N131" s="1" t="s">
        <v>601</v>
      </c>
      <c r="O131" s="1">
        <v>338</v>
      </c>
      <c r="P131" s="12" t="s">
        <v>576</v>
      </c>
      <c r="Q131"/>
      <c r="R131" s="1" t="b">
        <f t="shared" si="23"/>
        <v>0</v>
      </c>
      <c r="S131"/>
      <c r="T131" s="1" t="b">
        <f t="shared" si="24"/>
        <v>0</v>
      </c>
      <c r="AK131" t="b">
        <v>1</v>
      </c>
    </row>
    <row r="132" spans="1:54" x14ac:dyDescent="0.2">
      <c r="A132" t="s">
        <v>264</v>
      </c>
      <c r="B132" s="1">
        <v>2005</v>
      </c>
      <c r="C132" s="1">
        <v>6</v>
      </c>
      <c r="D132" s="1">
        <v>8</v>
      </c>
      <c r="E132" t="s">
        <v>5</v>
      </c>
      <c r="G132" s="1">
        <v>4</v>
      </c>
      <c r="H132" s="11" t="str">
        <f t="shared" si="22"/>
        <v>2005_06_008.gif</v>
      </c>
      <c r="I132"/>
      <c r="J132"/>
      <c r="L132" s="1" t="b">
        <v>0</v>
      </c>
      <c r="M132" s="1">
        <v>0</v>
      </c>
      <c r="N132" s="1" t="s">
        <v>601</v>
      </c>
      <c r="O132" s="1">
        <v>339</v>
      </c>
      <c r="P132" s="12" t="s">
        <v>678</v>
      </c>
      <c r="Q132"/>
      <c r="R132" s="1" t="b">
        <f t="shared" si="23"/>
        <v>0</v>
      </c>
      <c r="S132"/>
      <c r="T132" s="1" t="b">
        <f t="shared" si="24"/>
        <v>0</v>
      </c>
      <c r="AR132" t="b">
        <v>1</v>
      </c>
      <c r="AT132" t="b">
        <v>1</v>
      </c>
    </row>
    <row r="133" spans="1:54" x14ac:dyDescent="0.2">
      <c r="A133" t="s">
        <v>265</v>
      </c>
      <c r="B133" s="1">
        <v>2005</v>
      </c>
      <c r="C133" s="1">
        <v>6</v>
      </c>
      <c r="D133" s="1">
        <v>9</v>
      </c>
      <c r="E133" t="s">
        <v>5</v>
      </c>
      <c r="G133" s="1">
        <v>1</v>
      </c>
      <c r="H133" s="11" t="str">
        <f t="shared" si="22"/>
        <v>2005_06_009.gif</v>
      </c>
      <c r="I133"/>
      <c r="J133"/>
      <c r="L133" s="1" t="b">
        <v>0</v>
      </c>
      <c r="M133" s="1">
        <v>0</v>
      </c>
      <c r="N133" s="1" t="s">
        <v>601</v>
      </c>
      <c r="O133" s="1">
        <v>340</v>
      </c>
      <c r="P133" s="12" t="s">
        <v>556</v>
      </c>
      <c r="Q133"/>
      <c r="R133" s="1" t="b">
        <f t="shared" si="23"/>
        <v>0</v>
      </c>
      <c r="S133"/>
      <c r="T133" s="1" t="b">
        <f t="shared" si="24"/>
        <v>0</v>
      </c>
      <c r="AT133" t="b">
        <v>1</v>
      </c>
    </row>
    <row r="134" spans="1:54" x14ac:dyDescent="0.2">
      <c r="A134" t="s">
        <v>266</v>
      </c>
      <c r="B134" s="1">
        <v>2005</v>
      </c>
      <c r="C134" s="1">
        <v>6</v>
      </c>
      <c r="D134" s="1">
        <v>10</v>
      </c>
      <c r="E134" t="s">
        <v>2</v>
      </c>
      <c r="G134" s="1">
        <v>3</v>
      </c>
      <c r="H134" s="11" t="str">
        <f t="shared" si="22"/>
        <v>2005_06_010.gif</v>
      </c>
      <c r="I134"/>
      <c r="J134"/>
      <c r="L134" s="1" t="b">
        <v>0</v>
      </c>
      <c r="M134" s="1">
        <v>0</v>
      </c>
      <c r="N134" s="1" t="s">
        <v>601</v>
      </c>
      <c r="O134" s="1">
        <v>341</v>
      </c>
      <c r="P134" s="12" t="s">
        <v>552</v>
      </c>
      <c r="Q134"/>
      <c r="R134" s="1" t="b">
        <f t="shared" si="23"/>
        <v>0</v>
      </c>
      <c r="S134"/>
      <c r="T134" s="1" t="b">
        <f t="shared" si="24"/>
        <v>0</v>
      </c>
      <c r="AC134" t="b">
        <v>1</v>
      </c>
    </row>
    <row r="135" spans="1:54" x14ac:dyDescent="0.2">
      <c r="A135" t="s">
        <v>267</v>
      </c>
      <c r="B135" s="1">
        <v>2005</v>
      </c>
      <c r="C135" s="1">
        <v>6</v>
      </c>
      <c r="D135" s="1">
        <v>11</v>
      </c>
      <c r="E135" t="s">
        <v>5</v>
      </c>
      <c r="G135" s="1">
        <v>2</v>
      </c>
      <c r="H135" s="11" t="str">
        <f t="shared" si="22"/>
        <v>2005_06_011.gif</v>
      </c>
      <c r="I135"/>
      <c r="J135"/>
      <c r="L135" s="1" t="b">
        <v>0</v>
      </c>
      <c r="M135" s="1">
        <v>0</v>
      </c>
      <c r="N135" s="1" t="s">
        <v>601</v>
      </c>
      <c r="O135" s="1">
        <v>342</v>
      </c>
      <c r="P135" s="12" t="s">
        <v>577</v>
      </c>
      <c r="Q135"/>
      <c r="R135" s="1" t="b">
        <f t="shared" si="23"/>
        <v>0</v>
      </c>
      <c r="S135"/>
      <c r="T135" s="1" t="b">
        <f t="shared" si="24"/>
        <v>0</v>
      </c>
      <c r="AP135" t="b">
        <v>1</v>
      </c>
    </row>
    <row r="136" spans="1:54" x14ac:dyDescent="0.2">
      <c r="A136" t="s">
        <v>269</v>
      </c>
      <c r="B136" s="1">
        <v>2005</v>
      </c>
      <c r="C136" s="1">
        <v>6</v>
      </c>
      <c r="D136" s="1">
        <v>13</v>
      </c>
      <c r="E136" t="s">
        <v>5</v>
      </c>
      <c r="G136" s="1">
        <v>1</v>
      </c>
      <c r="H136" s="11" t="str">
        <f t="shared" si="22"/>
        <v>2005_06_013.gif</v>
      </c>
      <c r="I136"/>
      <c r="J136"/>
      <c r="L136" s="1" t="b">
        <v>0</v>
      </c>
      <c r="M136" s="1">
        <v>0</v>
      </c>
      <c r="N136" s="1" t="s">
        <v>601</v>
      </c>
      <c r="O136" s="1">
        <v>344</v>
      </c>
      <c r="P136" s="12" t="s">
        <v>668</v>
      </c>
      <c r="Q136"/>
      <c r="R136" s="1" t="b">
        <f t="shared" si="23"/>
        <v>0</v>
      </c>
      <c r="S136"/>
      <c r="T136" s="1" t="b">
        <f t="shared" si="24"/>
        <v>0</v>
      </c>
      <c r="AS136" t="b">
        <v>1</v>
      </c>
      <c r="AT136" t="b">
        <v>1</v>
      </c>
    </row>
    <row r="137" spans="1:54" x14ac:dyDescent="0.2">
      <c r="A137" t="s">
        <v>272</v>
      </c>
      <c r="B137" s="1">
        <v>2005</v>
      </c>
      <c r="C137" s="1">
        <v>6</v>
      </c>
      <c r="D137" s="1">
        <v>16</v>
      </c>
      <c r="E137" t="s">
        <v>7</v>
      </c>
      <c r="G137" s="1">
        <v>2</v>
      </c>
      <c r="H137" s="11" t="str">
        <f t="shared" si="22"/>
        <v>2005_06_016.gif</v>
      </c>
      <c r="I137"/>
      <c r="J137"/>
      <c r="L137" s="1" t="b">
        <v>0</v>
      </c>
      <c r="M137" s="1">
        <v>0</v>
      </c>
      <c r="N137" s="1" t="s">
        <v>601</v>
      </c>
      <c r="O137" s="1">
        <v>347</v>
      </c>
      <c r="P137" s="12" t="s">
        <v>680</v>
      </c>
      <c r="Q137"/>
      <c r="R137" s="1" t="b">
        <f t="shared" si="23"/>
        <v>0</v>
      </c>
      <c r="S137"/>
      <c r="T137" s="1" t="b">
        <f t="shared" si="24"/>
        <v>0</v>
      </c>
      <c r="AX137" t="b">
        <v>1</v>
      </c>
      <c r="BB137" t="b">
        <v>1</v>
      </c>
    </row>
    <row r="138" spans="1:54" x14ac:dyDescent="0.2">
      <c r="A138" t="s">
        <v>273</v>
      </c>
      <c r="B138" s="1">
        <v>2005</v>
      </c>
      <c r="C138" s="1">
        <v>6</v>
      </c>
      <c r="D138" s="1">
        <v>17</v>
      </c>
      <c r="E138" t="s">
        <v>7</v>
      </c>
      <c r="G138" s="1">
        <v>4</v>
      </c>
      <c r="H138" s="11" t="str">
        <f t="shared" si="22"/>
        <v>2005_06_017.gif</v>
      </c>
      <c r="I138"/>
      <c r="J138"/>
      <c r="L138" s="1" t="b">
        <v>0</v>
      </c>
      <c r="M138" s="1">
        <v>0</v>
      </c>
      <c r="N138" s="1" t="s">
        <v>601</v>
      </c>
      <c r="O138" s="1">
        <v>348</v>
      </c>
      <c r="P138" s="12" t="s">
        <v>581</v>
      </c>
      <c r="Q138"/>
      <c r="R138" s="1" t="b">
        <f t="shared" si="23"/>
        <v>0</v>
      </c>
      <c r="S138"/>
      <c r="T138" s="1" t="b">
        <f t="shared" si="24"/>
        <v>0</v>
      </c>
      <c r="AY138" t="b">
        <v>1</v>
      </c>
    </row>
    <row r="139" spans="1:54" x14ac:dyDescent="0.2">
      <c r="A139" t="s">
        <v>274</v>
      </c>
      <c r="B139" s="1">
        <v>2005</v>
      </c>
      <c r="C139" s="1">
        <v>6</v>
      </c>
      <c r="D139" s="1">
        <v>18</v>
      </c>
      <c r="E139" t="s">
        <v>7</v>
      </c>
      <c r="G139" s="1">
        <v>3</v>
      </c>
      <c r="H139" s="11" t="str">
        <f t="shared" si="22"/>
        <v>2005_06_018.gif</v>
      </c>
      <c r="I139"/>
      <c r="J139"/>
      <c r="L139" s="1" t="b">
        <v>0</v>
      </c>
      <c r="M139" s="1">
        <v>0</v>
      </c>
      <c r="N139" s="1" t="s">
        <v>601</v>
      </c>
      <c r="O139" s="1">
        <v>349</v>
      </c>
      <c r="P139" s="12" t="s">
        <v>587</v>
      </c>
      <c r="Q139"/>
      <c r="R139" s="1" t="b">
        <f t="shared" si="23"/>
        <v>0</v>
      </c>
      <c r="S139"/>
      <c r="T139" s="1" t="b">
        <f t="shared" si="24"/>
        <v>0</v>
      </c>
      <c r="BB139" t="b">
        <v>1</v>
      </c>
    </row>
    <row r="140" spans="1:54" x14ac:dyDescent="0.2">
      <c r="A140" t="str">
        <f t="shared" ref="A140:A144" si="25">B140 &amp; "_" &amp; TEXT(C140,"00") &amp; "_" &amp; TEXT(D140,"000")</f>
        <v>2005_06_036</v>
      </c>
      <c r="B140" s="1">
        <v>2005</v>
      </c>
      <c r="C140" s="1">
        <v>6</v>
      </c>
      <c r="D140" s="1">
        <v>36</v>
      </c>
      <c r="E140" t="s">
        <v>1</v>
      </c>
      <c r="G140" s="1">
        <v>2</v>
      </c>
      <c r="H140" s="11" t="str">
        <f t="shared" si="22"/>
        <v>2005_06_036.gif</v>
      </c>
      <c r="I140"/>
      <c r="J140"/>
      <c r="L140" s="1" t="b">
        <v>0</v>
      </c>
      <c r="M140" s="1">
        <v>0</v>
      </c>
      <c r="N140" s="1" t="s">
        <v>657</v>
      </c>
      <c r="O140" s="1">
        <v>367</v>
      </c>
      <c r="P140" s="12" t="s">
        <v>547</v>
      </c>
      <c r="Q140"/>
      <c r="R140" s="1" t="b">
        <f t="shared" si="23"/>
        <v>0</v>
      </c>
      <c r="S140"/>
      <c r="T140" s="1" t="b">
        <f t="shared" si="24"/>
        <v>0</v>
      </c>
      <c r="U140" t="b">
        <v>1</v>
      </c>
    </row>
    <row r="141" spans="1:54" x14ac:dyDescent="0.2">
      <c r="A141" t="str">
        <f t="shared" si="25"/>
        <v>2005_06_037</v>
      </c>
      <c r="B141" s="1">
        <v>2005</v>
      </c>
      <c r="C141" s="1">
        <v>6</v>
      </c>
      <c r="D141" s="1">
        <v>37</v>
      </c>
      <c r="E141" t="s">
        <v>1</v>
      </c>
      <c r="G141" s="1">
        <v>4</v>
      </c>
      <c r="H141" s="11" t="str">
        <f t="shared" si="22"/>
        <v>2005_06_037.gif</v>
      </c>
      <c r="I141"/>
      <c r="J141"/>
      <c r="L141" s="1" t="b">
        <v>0</v>
      </c>
      <c r="M141" s="1">
        <v>0</v>
      </c>
      <c r="N141" s="1" t="s">
        <v>657</v>
      </c>
      <c r="O141" s="1">
        <v>368</v>
      </c>
      <c r="P141" s="12" t="s">
        <v>0</v>
      </c>
      <c r="Q141"/>
      <c r="R141" s="1" t="b">
        <f t="shared" si="23"/>
        <v>0</v>
      </c>
      <c r="S141"/>
      <c r="T141" s="1" t="b">
        <f t="shared" si="24"/>
        <v>0</v>
      </c>
      <c r="V141" t="b">
        <v>1</v>
      </c>
    </row>
    <row r="142" spans="1:54" x14ac:dyDescent="0.2">
      <c r="A142" t="str">
        <f t="shared" si="25"/>
        <v>2005_06_039</v>
      </c>
      <c r="B142" s="1">
        <v>2005</v>
      </c>
      <c r="C142" s="1">
        <v>6</v>
      </c>
      <c r="D142" s="1">
        <v>39</v>
      </c>
      <c r="E142" t="s">
        <v>7</v>
      </c>
      <c r="G142" s="1">
        <v>1</v>
      </c>
      <c r="H142" s="11" t="str">
        <f t="shared" si="22"/>
        <v>2005_06_039.gif</v>
      </c>
      <c r="I142"/>
      <c r="J142"/>
      <c r="L142" s="1" t="b">
        <v>0</v>
      </c>
      <c r="M142" s="1">
        <v>0</v>
      </c>
      <c r="N142" s="1" t="s">
        <v>657</v>
      </c>
      <c r="O142" s="1">
        <v>370</v>
      </c>
      <c r="P142" s="12" t="s">
        <v>560</v>
      </c>
      <c r="Q142"/>
      <c r="R142" s="1" t="b">
        <f t="shared" si="23"/>
        <v>0</v>
      </c>
      <c r="S142"/>
      <c r="T142" s="1" t="b">
        <f t="shared" si="24"/>
        <v>0</v>
      </c>
      <c r="BA142" t="b">
        <v>1</v>
      </c>
      <c r="BB142" t="b">
        <v>0</v>
      </c>
    </row>
    <row r="143" spans="1:54" x14ac:dyDescent="0.2">
      <c r="A143" t="str">
        <f t="shared" si="25"/>
        <v>2005_06_045</v>
      </c>
      <c r="B143" s="1">
        <v>2005</v>
      </c>
      <c r="C143" s="1">
        <v>6</v>
      </c>
      <c r="D143" s="1">
        <v>45</v>
      </c>
      <c r="E143" t="s">
        <v>5</v>
      </c>
      <c r="G143" s="1">
        <v>4</v>
      </c>
      <c r="H143" s="11" t="str">
        <f t="shared" si="22"/>
        <v>2005_06_045.gif</v>
      </c>
      <c r="I143"/>
      <c r="J143"/>
      <c r="L143" s="1" t="b">
        <v>0</v>
      </c>
      <c r="M143" s="1">
        <v>0</v>
      </c>
      <c r="N143" s="1" t="s">
        <v>657</v>
      </c>
      <c r="O143" s="1">
        <v>376</v>
      </c>
      <c r="P143" s="12" t="s">
        <v>598</v>
      </c>
      <c r="Q143"/>
      <c r="R143" s="1" t="b">
        <f t="shared" si="23"/>
        <v>0</v>
      </c>
      <c r="S143"/>
      <c r="T143" s="1" t="b">
        <f t="shared" si="24"/>
        <v>0</v>
      </c>
      <c r="AO143" t="b">
        <v>1</v>
      </c>
    </row>
    <row r="144" spans="1:54" x14ac:dyDescent="0.2">
      <c r="A144" t="str">
        <f t="shared" si="25"/>
        <v>2005_06_046</v>
      </c>
      <c r="B144" s="1">
        <v>2005</v>
      </c>
      <c r="C144" s="1">
        <v>6</v>
      </c>
      <c r="D144" s="1">
        <v>46</v>
      </c>
      <c r="E144" t="s">
        <v>4</v>
      </c>
      <c r="G144" s="1">
        <v>1</v>
      </c>
      <c r="H144" s="11" t="str">
        <f t="shared" si="22"/>
        <v>2005_06_046.gif</v>
      </c>
      <c r="I144"/>
      <c r="J144"/>
      <c r="L144" s="1" t="b">
        <v>0</v>
      </c>
      <c r="M144" s="1">
        <v>0</v>
      </c>
      <c r="N144" s="1" t="s">
        <v>657</v>
      </c>
      <c r="O144" s="1">
        <v>377</v>
      </c>
      <c r="P144" s="12" t="s">
        <v>592</v>
      </c>
      <c r="Q144"/>
      <c r="R144" s="1" t="b">
        <f t="shared" si="23"/>
        <v>0</v>
      </c>
      <c r="S144"/>
      <c r="T144" s="1" t="b">
        <f t="shared" si="24"/>
        <v>0</v>
      </c>
      <c r="AL144" t="b">
        <v>1</v>
      </c>
    </row>
    <row r="145" spans="1:54" x14ac:dyDescent="0.2">
      <c r="A145" t="s">
        <v>292</v>
      </c>
      <c r="B145" s="1">
        <v>2006</v>
      </c>
      <c r="C145" s="1">
        <v>1</v>
      </c>
      <c r="D145" s="1">
        <v>1</v>
      </c>
      <c r="E145" t="s">
        <v>2</v>
      </c>
      <c r="G145" s="1">
        <v>2</v>
      </c>
      <c r="H145" s="11" t="str">
        <f t="shared" si="22"/>
        <v>2006_01_001.gif</v>
      </c>
      <c r="I145"/>
      <c r="J145"/>
      <c r="L145" s="1" t="b">
        <v>0</v>
      </c>
      <c r="M145" s="1">
        <v>0</v>
      </c>
      <c r="N145" s="1" t="s">
        <v>601</v>
      </c>
      <c r="O145" s="1">
        <v>379</v>
      </c>
      <c r="P145" s="12" t="s">
        <v>551</v>
      </c>
      <c r="Q145"/>
      <c r="R145" s="1" t="b">
        <f t="shared" si="23"/>
        <v>0</v>
      </c>
      <c r="S145"/>
      <c r="T145" s="1" t="b">
        <f t="shared" si="24"/>
        <v>0</v>
      </c>
      <c r="AB145" t="b">
        <v>1</v>
      </c>
    </row>
    <row r="146" spans="1:54" x14ac:dyDescent="0.2">
      <c r="A146" t="s">
        <v>293</v>
      </c>
      <c r="B146" s="1">
        <v>2006</v>
      </c>
      <c r="C146" s="1">
        <v>1</v>
      </c>
      <c r="D146" s="1">
        <v>2</v>
      </c>
      <c r="E146" t="s">
        <v>2</v>
      </c>
      <c r="G146" s="1">
        <v>1</v>
      </c>
      <c r="H146" s="11" t="str">
        <f t="shared" si="22"/>
        <v>2006_01_002.gif</v>
      </c>
      <c r="I146"/>
      <c r="J146"/>
      <c r="L146" s="1" t="b">
        <v>0</v>
      </c>
      <c r="M146" s="1">
        <v>0</v>
      </c>
      <c r="N146" s="1" t="s">
        <v>601</v>
      </c>
      <c r="O146" s="1">
        <v>380</v>
      </c>
      <c r="P146" s="12" t="s">
        <v>552</v>
      </c>
      <c r="Q146"/>
      <c r="R146" s="1" t="b">
        <f t="shared" si="23"/>
        <v>0</v>
      </c>
      <c r="S146"/>
      <c r="T146" s="1" t="b">
        <f t="shared" si="24"/>
        <v>0</v>
      </c>
      <c r="AC146" t="b">
        <v>1</v>
      </c>
    </row>
    <row r="147" spans="1:54" x14ac:dyDescent="0.2">
      <c r="A147" t="s">
        <v>294</v>
      </c>
      <c r="B147" s="1">
        <v>2006</v>
      </c>
      <c r="C147" s="1">
        <v>1</v>
      </c>
      <c r="D147" s="1">
        <v>3</v>
      </c>
      <c r="E147" t="s">
        <v>3</v>
      </c>
      <c r="G147" s="1">
        <v>3</v>
      </c>
      <c r="H147" s="11" t="str">
        <f t="shared" si="22"/>
        <v>2006_01_003.gif</v>
      </c>
      <c r="I147"/>
      <c r="J147"/>
      <c r="L147" s="1" t="b">
        <v>0</v>
      </c>
      <c r="M147" s="1">
        <v>0</v>
      </c>
      <c r="N147" s="1" t="s">
        <v>601</v>
      </c>
      <c r="O147" s="1">
        <v>381</v>
      </c>
      <c r="P147" s="12" t="s">
        <v>546</v>
      </c>
      <c r="Q147"/>
      <c r="R147" s="1" t="b">
        <f t="shared" si="23"/>
        <v>0</v>
      </c>
      <c r="S147"/>
      <c r="T147" s="1" t="b">
        <f t="shared" si="24"/>
        <v>0</v>
      </c>
      <c r="AF147" t="b">
        <v>1</v>
      </c>
    </row>
    <row r="148" spans="1:54" x14ac:dyDescent="0.2">
      <c r="A148" t="s">
        <v>295</v>
      </c>
      <c r="B148" s="1">
        <v>2006</v>
      </c>
      <c r="C148" s="1">
        <v>1</v>
      </c>
      <c r="D148" s="1">
        <v>4</v>
      </c>
      <c r="E148" t="s">
        <v>3</v>
      </c>
      <c r="F148" t="s">
        <v>4</v>
      </c>
      <c r="G148" s="1">
        <v>3</v>
      </c>
      <c r="H148" s="11" t="str">
        <f t="shared" si="22"/>
        <v>2006_01_004.gif</v>
      </c>
      <c r="I148"/>
      <c r="J148"/>
      <c r="L148" s="1" t="b">
        <v>0</v>
      </c>
      <c r="M148" s="1">
        <v>0</v>
      </c>
      <c r="N148" s="1" t="s">
        <v>601</v>
      </c>
      <c r="O148" s="1">
        <v>382</v>
      </c>
      <c r="P148" s="12" t="s">
        <v>676</v>
      </c>
      <c r="Q148"/>
      <c r="R148" s="1" t="b">
        <f t="shared" si="23"/>
        <v>0</v>
      </c>
      <c r="S148"/>
      <c r="T148" s="1" t="b">
        <f t="shared" si="24"/>
        <v>0</v>
      </c>
      <c r="AE148" t="b">
        <v>1</v>
      </c>
      <c r="AH148" t="b">
        <v>1</v>
      </c>
    </row>
    <row r="149" spans="1:54" x14ac:dyDescent="0.2">
      <c r="A149" t="s">
        <v>296</v>
      </c>
      <c r="B149" s="1">
        <v>2006</v>
      </c>
      <c r="C149" s="1">
        <v>1</v>
      </c>
      <c r="D149" s="1">
        <v>5</v>
      </c>
      <c r="E149" t="s">
        <v>6</v>
      </c>
      <c r="G149" s="1">
        <v>2</v>
      </c>
      <c r="H149" s="11" t="str">
        <f t="shared" si="22"/>
        <v>2006_01_005.gif</v>
      </c>
      <c r="I149"/>
      <c r="J149"/>
      <c r="L149" s="1" t="b">
        <v>0</v>
      </c>
      <c r="M149" s="1">
        <v>0</v>
      </c>
      <c r="N149" s="1" t="s">
        <v>601</v>
      </c>
      <c r="O149" s="1">
        <v>383</v>
      </c>
      <c r="P149" s="12" t="s">
        <v>558</v>
      </c>
      <c r="Q149"/>
      <c r="R149" s="1" t="b">
        <f t="shared" si="23"/>
        <v>0</v>
      </c>
      <c r="S149"/>
      <c r="T149" s="1" t="b">
        <f t="shared" si="24"/>
        <v>0</v>
      </c>
      <c r="AV149" t="b">
        <v>1</v>
      </c>
    </row>
    <row r="150" spans="1:54" x14ac:dyDescent="0.2">
      <c r="A150" t="s">
        <v>297</v>
      </c>
      <c r="B150" s="1">
        <v>2006</v>
      </c>
      <c r="C150" s="1">
        <v>1</v>
      </c>
      <c r="D150" s="1">
        <v>6</v>
      </c>
      <c r="E150" t="s">
        <v>5</v>
      </c>
      <c r="G150" s="1">
        <v>3</v>
      </c>
      <c r="H150" s="11" t="str">
        <f t="shared" si="22"/>
        <v>2006_01_006.gif</v>
      </c>
      <c r="I150"/>
      <c r="J150"/>
      <c r="L150" s="1" t="b">
        <v>0</v>
      </c>
      <c r="M150" s="1">
        <v>0</v>
      </c>
      <c r="N150" s="1" t="s">
        <v>601</v>
      </c>
      <c r="O150" s="1">
        <v>384</v>
      </c>
      <c r="P150" s="12" t="s">
        <v>556</v>
      </c>
      <c r="Q150"/>
      <c r="R150" s="1" t="b">
        <f t="shared" si="23"/>
        <v>0</v>
      </c>
      <c r="S150"/>
      <c r="T150" s="1" t="b">
        <f t="shared" si="24"/>
        <v>0</v>
      </c>
      <c r="AT150" t="b">
        <v>1</v>
      </c>
    </row>
    <row r="151" spans="1:54" x14ac:dyDescent="0.2">
      <c r="A151" t="s">
        <v>298</v>
      </c>
      <c r="B151" s="1">
        <v>2006</v>
      </c>
      <c r="C151" s="1">
        <v>1</v>
      </c>
      <c r="D151" s="1">
        <v>7</v>
      </c>
      <c r="E151" t="s">
        <v>5</v>
      </c>
      <c r="G151" s="1">
        <v>3</v>
      </c>
      <c r="H151" s="11" t="str">
        <f t="shared" ref="H151:H186" si="26">HYPERLINK(A151&amp;".gif")</f>
        <v>2006_01_007.gif</v>
      </c>
      <c r="I151"/>
      <c r="J151"/>
      <c r="L151" s="1" t="b">
        <v>0</v>
      </c>
      <c r="M151" s="1">
        <v>0</v>
      </c>
      <c r="N151" s="1" t="s">
        <v>601</v>
      </c>
      <c r="O151" s="1">
        <v>385</v>
      </c>
      <c r="P151" s="12" t="s">
        <v>596</v>
      </c>
      <c r="Q151"/>
      <c r="R151" s="1" t="b">
        <f t="shared" ref="R151:R186" si="27">OR(S151:T151)</f>
        <v>0</v>
      </c>
      <c r="S151"/>
      <c r="T151" s="1" t="b">
        <f t="shared" ref="T151:T186" si="28">SUMPRODUCT(BC151:BZ151*1)&gt;0</f>
        <v>0</v>
      </c>
      <c r="AR151" t="b">
        <v>1</v>
      </c>
    </row>
    <row r="152" spans="1:54" x14ac:dyDescent="0.2">
      <c r="A152" t="s">
        <v>299</v>
      </c>
      <c r="B152" s="1">
        <v>2006</v>
      </c>
      <c r="C152" s="1">
        <v>1</v>
      </c>
      <c r="D152" s="1">
        <v>8</v>
      </c>
      <c r="E152" t="s">
        <v>5</v>
      </c>
      <c r="G152" s="1">
        <v>1</v>
      </c>
      <c r="H152" s="11" t="str">
        <f t="shared" si="26"/>
        <v>2006_01_008.gif</v>
      </c>
      <c r="I152"/>
      <c r="J152"/>
      <c r="L152" s="1" t="b">
        <v>0</v>
      </c>
      <c r="M152" s="1">
        <v>0</v>
      </c>
      <c r="N152" s="1" t="s">
        <v>601</v>
      </c>
      <c r="O152" s="1">
        <v>386</v>
      </c>
      <c r="P152" s="12" t="s">
        <v>596</v>
      </c>
      <c r="Q152"/>
      <c r="R152" s="1" t="b">
        <f t="shared" si="27"/>
        <v>0</v>
      </c>
      <c r="S152"/>
      <c r="T152" s="1" t="b">
        <f t="shared" si="28"/>
        <v>0</v>
      </c>
      <c r="AR152" t="b">
        <v>1</v>
      </c>
    </row>
    <row r="153" spans="1:54" x14ac:dyDescent="0.2">
      <c r="A153" t="s">
        <v>300</v>
      </c>
      <c r="B153" s="1">
        <v>2006</v>
      </c>
      <c r="C153" s="1">
        <v>1</v>
      </c>
      <c r="D153" s="1">
        <v>9</v>
      </c>
      <c r="E153" t="s">
        <v>5</v>
      </c>
      <c r="G153" s="1">
        <v>4</v>
      </c>
      <c r="H153" s="11" t="str">
        <f t="shared" si="26"/>
        <v>2006_01_009.gif</v>
      </c>
      <c r="I153"/>
      <c r="J153"/>
      <c r="L153" s="1" t="b">
        <v>0</v>
      </c>
      <c r="M153" s="1">
        <v>0</v>
      </c>
      <c r="N153" s="1" t="s">
        <v>601</v>
      </c>
      <c r="O153" s="1">
        <v>387</v>
      </c>
      <c r="P153" s="12" t="s">
        <v>577</v>
      </c>
      <c r="Q153"/>
      <c r="R153" s="1" t="b">
        <f t="shared" si="27"/>
        <v>0</v>
      </c>
      <c r="S153"/>
      <c r="T153" s="1" t="b">
        <f t="shared" si="28"/>
        <v>0</v>
      </c>
      <c r="AP153" t="b">
        <v>1</v>
      </c>
    </row>
    <row r="154" spans="1:54" x14ac:dyDescent="0.2">
      <c r="A154" t="s">
        <v>301</v>
      </c>
      <c r="B154" s="1">
        <v>2006</v>
      </c>
      <c r="C154" s="1">
        <v>1</v>
      </c>
      <c r="D154" s="1">
        <v>10</v>
      </c>
      <c r="E154" t="s">
        <v>5</v>
      </c>
      <c r="G154" s="1">
        <v>1</v>
      </c>
      <c r="H154" s="11" t="str">
        <f t="shared" si="26"/>
        <v>2006_01_010.gif</v>
      </c>
      <c r="I154"/>
      <c r="J154"/>
      <c r="L154" s="1" t="b">
        <v>0</v>
      </c>
      <c r="M154" s="1">
        <v>0</v>
      </c>
      <c r="N154" s="1" t="s">
        <v>601</v>
      </c>
      <c r="O154" s="1">
        <v>388</v>
      </c>
      <c r="P154" s="12" t="s">
        <v>557</v>
      </c>
      <c r="Q154"/>
      <c r="R154" s="1" t="b">
        <f t="shared" si="27"/>
        <v>0</v>
      </c>
      <c r="S154"/>
      <c r="T154" s="1" t="b">
        <f t="shared" si="28"/>
        <v>0</v>
      </c>
      <c r="AN154" t="b">
        <v>1</v>
      </c>
    </row>
    <row r="155" spans="1:54" x14ac:dyDescent="0.2">
      <c r="A155" t="s">
        <v>302</v>
      </c>
      <c r="B155" s="1">
        <v>2006</v>
      </c>
      <c r="C155" s="1">
        <v>1</v>
      </c>
      <c r="D155" s="1">
        <v>11</v>
      </c>
      <c r="E155" t="s">
        <v>6</v>
      </c>
      <c r="G155" s="1">
        <v>2</v>
      </c>
      <c r="H155" s="11" t="str">
        <f t="shared" si="26"/>
        <v>2006_01_011.gif</v>
      </c>
      <c r="I155"/>
      <c r="J155"/>
      <c r="L155" s="1" t="b">
        <v>0</v>
      </c>
      <c r="M155" s="1">
        <v>0</v>
      </c>
      <c r="N155" s="1" t="s">
        <v>601</v>
      </c>
      <c r="O155" s="1">
        <v>389</v>
      </c>
      <c r="P155" s="12" t="s">
        <v>597</v>
      </c>
      <c r="Q155"/>
      <c r="R155" s="1" t="b">
        <f t="shared" si="27"/>
        <v>0</v>
      </c>
      <c r="S155"/>
      <c r="T155" s="1" t="b">
        <f t="shared" si="28"/>
        <v>0</v>
      </c>
      <c r="AW155" t="b">
        <v>1</v>
      </c>
    </row>
    <row r="156" spans="1:54" x14ac:dyDescent="0.2">
      <c r="A156" t="s">
        <v>303</v>
      </c>
      <c r="B156" s="1">
        <v>2006</v>
      </c>
      <c r="C156" s="1">
        <v>1</v>
      </c>
      <c r="D156" s="1">
        <v>12</v>
      </c>
      <c r="E156" t="s">
        <v>2</v>
      </c>
      <c r="G156" s="1">
        <v>1</v>
      </c>
      <c r="H156" s="11" t="str">
        <f t="shared" si="26"/>
        <v>2006_01_012.gif</v>
      </c>
      <c r="I156"/>
      <c r="J156"/>
      <c r="L156" s="1" t="b">
        <v>0</v>
      </c>
      <c r="M156" s="1">
        <v>0</v>
      </c>
      <c r="N156" s="1" t="s">
        <v>601</v>
      </c>
      <c r="O156" s="1">
        <v>390</v>
      </c>
      <c r="P156" s="12" t="s">
        <v>553</v>
      </c>
      <c r="Q156"/>
      <c r="R156" s="1" t="b">
        <f t="shared" si="27"/>
        <v>0</v>
      </c>
      <c r="S156"/>
      <c r="T156" s="1" t="b">
        <f t="shared" si="28"/>
        <v>0</v>
      </c>
      <c r="W156" t="b">
        <v>1</v>
      </c>
    </row>
    <row r="157" spans="1:54" x14ac:dyDescent="0.2">
      <c r="A157" t="s">
        <v>305</v>
      </c>
      <c r="B157" s="1">
        <v>2006</v>
      </c>
      <c r="C157" s="1">
        <v>1</v>
      </c>
      <c r="D157" s="1">
        <v>14</v>
      </c>
      <c r="E157" t="s">
        <v>4</v>
      </c>
      <c r="G157" s="1">
        <v>3</v>
      </c>
      <c r="H157" s="11" t="str">
        <f t="shared" si="26"/>
        <v>2006_01_014.gif</v>
      </c>
      <c r="I157"/>
      <c r="J157"/>
      <c r="L157" s="1" t="b">
        <v>0</v>
      </c>
      <c r="M157" s="1">
        <v>0</v>
      </c>
      <c r="N157" s="1" t="s">
        <v>601</v>
      </c>
      <c r="O157" s="1">
        <v>392</v>
      </c>
      <c r="P157" s="12" t="s">
        <v>593</v>
      </c>
      <c r="Q157"/>
      <c r="R157" s="1" t="b">
        <f t="shared" si="27"/>
        <v>0</v>
      </c>
      <c r="S157"/>
      <c r="T157" s="1" t="b">
        <f t="shared" si="28"/>
        <v>0</v>
      </c>
      <c r="AL157" t="b">
        <v>0</v>
      </c>
      <c r="AM157" t="b">
        <v>1</v>
      </c>
    </row>
    <row r="158" spans="1:54" x14ac:dyDescent="0.2">
      <c r="A158" t="s">
        <v>306</v>
      </c>
      <c r="B158" s="1">
        <v>2006</v>
      </c>
      <c r="C158" s="1">
        <v>1</v>
      </c>
      <c r="D158" s="1">
        <v>15</v>
      </c>
      <c r="E158" t="s">
        <v>7</v>
      </c>
      <c r="G158" s="1">
        <v>3</v>
      </c>
      <c r="H158" s="11" t="str">
        <f t="shared" si="26"/>
        <v>2006_01_015.gif</v>
      </c>
      <c r="I158"/>
      <c r="J158"/>
      <c r="L158" s="1" t="b">
        <v>0</v>
      </c>
      <c r="M158" s="1">
        <v>0</v>
      </c>
      <c r="N158" s="1" t="s">
        <v>601</v>
      </c>
      <c r="O158" s="1">
        <v>393</v>
      </c>
      <c r="P158" s="12" t="s">
        <v>559</v>
      </c>
      <c r="Q158"/>
      <c r="R158" s="1" t="b">
        <f t="shared" si="27"/>
        <v>0</v>
      </c>
      <c r="S158"/>
      <c r="T158" s="1" t="b">
        <f t="shared" si="28"/>
        <v>0</v>
      </c>
      <c r="AZ158" t="b">
        <v>1</v>
      </c>
    </row>
    <row r="159" spans="1:54" x14ac:dyDescent="0.2">
      <c r="A159" t="s">
        <v>307</v>
      </c>
      <c r="B159" s="1">
        <v>2006</v>
      </c>
      <c r="C159" s="1">
        <v>1</v>
      </c>
      <c r="D159" s="1">
        <v>16</v>
      </c>
      <c r="E159" t="s">
        <v>7</v>
      </c>
      <c r="G159" s="1">
        <v>2</v>
      </c>
      <c r="H159" s="11" t="str">
        <f t="shared" si="26"/>
        <v>2006_01_016.gif</v>
      </c>
      <c r="I159"/>
      <c r="J159"/>
      <c r="L159" s="1" t="b">
        <v>0</v>
      </c>
      <c r="M159" s="1">
        <v>5</v>
      </c>
      <c r="N159" s="1" t="s">
        <v>601</v>
      </c>
      <c r="O159" s="1">
        <v>394</v>
      </c>
      <c r="P159" s="12" t="s">
        <v>679</v>
      </c>
      <c r="Q159"/>
      <c r="R159" s="1" t="b">
        <f t="shared" si="27"/>
        <v>0</v>
      </c>
      <c r="S159"/>
      <c r="T159" s="1" t="b">
        <f t="shared" si="28"/>
        <v>0</v>
      </c>
      <c r="AY159" t="b">
        <v>1</v>
      </c>
      <c r="BB159" t="b">
        <v>1</v>
      </c>
    </row>
    <row r="160" spans="1:54" x14ac:dyDescent="0.2">
      <c r="A160" t="s">
        <v>308</v>
      </c>
      <c r="B160" s="1">
        <v>2006</v>
      </c>
      <c r="C160" s="1">
        <v>1</v>
      </c>
      <c r="D160" s="1">
        <v>17</v>
      </c>
      <c r="E160" t="s">
        <v>7</v>
      </c>
      <c r="G160" s="1">
        <v>1</v>
      </c>
      <c r="H160" s="11" t="str">
        <f t="shared" si="26"/>
        <v>2006_01_017.gif</v>
      </c>
      <c r="I160"/>
      <c r="J160"/>
      <c r="L160" s="1" t="b">
        <v>0</v>
      </c>
      <c r="M160" s="1">
        <v>2</v>
      </c>
      <c r="N160" s="1" t="s">
        <v>601</v>
      </c>
      <c r="O160" s="1">
        <v>395</v>
      </c>
      <c r="P160" s="12" t="s">
        <v>560</v>
      </c>
      <c r="Q160"/>
      <c r="R160" s="1" t="b">
        <f t="shared" si="27"/>
        <v>0</v>
      </c>
      <c r="S160"/>
      <c r="T160" s="1" t="b">
        <f t="shared" si="28"/>
        <v>0</v>
      </c>
      <c r="BA160" t="b">
        <v>1</v>
      </c>
    </row>
    <row r="161" spans="1:54" x14ac:dyDescent="0.2">
      <c r="A161" t="s">
        <v>309</v>
      </c>
      <c r="B161" s="1">
        <v>2006</v>
      </c>
      <c r="C161" s="1">
        <v>1</v>
      </c>
      <c r="D161" s="1">
        <v>18</v>
      </c>
      <c r="E161" t="s">
        <v>7</v>
      </c>
      <c r="G161" s="1">
        <v>3</v>
      </c>
      <c r="H161" s="11" t="str">
        <f t="shared" si="26"/>
        <v>2006_01_018.gif</v>
      </c>
      <c r="I161"/>
      <c r="J161"/>
      <c r="L161" s="1" t="b">
        <v>0</v>
      </c>
      <c r="M161" s="1">
        <v>0</v>
      </c>
      <c r="N161" s="1" t="s">
        <v>601</v>
      </c>
      <c r="O161" s="1">
        <v>396</v>
      </c>
      <c r="P161" s="12" t="s">
        <v>581</v>
      </c>
      <c r="Q161"/>
      <c r="R161" s="1" t="b">
        <f t="shared" si="27"/>
        <v>0</v>
      </c>
      <c r="S161"/>
      <c r="T161" s="1" t="b">
        <f t="shared" si="28"/>
        <v>0</v>
      </c>
      <c r="AY161" t="b">
        <v>1</v>
      </c>
    </row>
    <row r="162" spans="1:54" x14ac:dyDescent="0.2">
      <c r="A162" t="s">
        <v>310</v>
      </c>
      <c r="B162" s="1">
        <v>2006</v>
      </c>
      <c r="C162" s="1">
        <v>1</v>
      </c>
      <c r="D162" s="1">
        <v>19</v>
      </c>
      <c r="E162" t="s">
        <v>7</v>
      </c>
      <c r="G162" s="1">
        <v>4</v>
      </c>
      <c r="H162" s="11" t="str">
        <f t="shared" si="26"/>
        <v>2006_01_019.gif</v>
      </c>
      <c r="I162"/>
      <c r="J162"/>
      <c r="L162" s="1" t="b">
        <v>0</v>
      </c>
      <c r="M162" s="1">
        <v>0</v>
      </c>
      <c r="N162" s="1" t="s">
        <v>601</v>
      </c>
      <c r="O162" s="1">
        <v>397</v>
      </c>
      <c r="P162" s="12" t="s">
        <v>670</v>
      </c>
      <c r="Q162"/>
      <c r="R162" s="1" t="b">
        <f t="shared" si="27"/>
        <v>0</v>
      </c>
      <c r="S162"/>
      <c r="T162" s="1" t="b">
        <f t="shared" si="28"/>
        <v>0</v>
      </c>
      <c r="AX162" t="b">
        <v>1</v>
      </c>
      <c r="AY162" t="b">
        <v>1</v>
      </c>
    </row>
    <row r="163" spans="1:54" x14ac:dyDescent="0.2">
      <c r="A163" t="s">
        <v>311</v>
      </c>
      <c r="B163" s="1">
        <v>2006</v>
      </c>
      <c r="C163" s="1">
        <v>1</v>
      </c>
      <c r="D163" s="1">
        <v>20</v>
      </c>
      <c r="E163" t="s">
        <v>2</v>
      </c>
      <c r="G163" s="1">
        <v>2</v>
      </c>
      <c r="H163" s="11" t="str">
        <f t="shared" si="26"/>
        <v>2006_01_020.gif</v>
      </c>
      <c r="I163"/>
      <c r="J163"/>
      <c r="L163" s="1" t="b">
        <v>0</v>
      </c>
      <c r="M163" s="1">
        <v>0</v>
      </c>
      <c r="N163" s="1" t="s">
        <v>601</v>
      </c>
      <c r="O163" s="1">
        <v>398</v>
      </c>
      <c r="P163" s="12" t="s">
        <v>552</v>
      </c>
      <c r="Q163"/>
      <c r="R163" s="1" t="b">
        <f t="shared" si="27"/>
        <v>0</v>
      </c>
      <c r="S163"/>
      <c r="T163" s="1" t="b">
        <f t="shared" si="28"/>
        <v>0</v>
      </c>
      <c r="AC163" t="b">
        <v>1</v>
      </c>
    </row>
    <row r="164" spans="1:54" x14ac:dyDescent="0.2">
      <c r="A164" t="s">
        <v>312</v>
      </c>
      <c r="B164" s="1">
        <v>2006</v>
      </c>
      <c r="C164" s="1">
        <v>1</v>
      </c>
      <c r="D164" s="1">
        <v>21</v>
      </c>
      <c r="E164" t="s">
        <v>7</v>
      </c>
      <c r="G164" s="1">
        <v>1</v>
      </c>
      <c r="H164" s="11" t="str">
        <f t="shared" si="26"/>
        <v>2006_01_021.gif</v>
      </c>
      <c r="I164"/>
      <c r="J164"/>
      <c r="L164" s="1" t="b">
        <v>0</v>
      </c>
      <c r="M164" s="1">
        <v>0</v>
      </c>
      <c r="N164" s="1" t="s">
        <v>601</v>
      </c>
      <c r="O164" s="1">
        <v>399</v>
      </c>
      <c r="P164" s="12" t="s">
        <v>587</v>
      </c>
      <c r="Q164"/>
      <c r="R164" s="1" t="b">
        <f t="shared" si="27"/>
        <v>0</v>
      </c>
      <c r="S164"/>
      <c r="T164" s="1" t="b">
        <f t="shared" si="28"/>
        <v>0</v>
      </c>
      <c r="BB164" t="b">
        <v>1</v>
      </c>
    </row>
    <row r="165" spans="1:54" x14ac:dyDescent="0.2">
      <c r="A165" t="str">
        <f t="shared" ref="A165:A171" si="29">B165 &amp; "_" &amp; TEXT(C165,"00") &amp; "_" &amp; TEXT(D165,"000")</f>
        <v>2006_01_036</v>
      </c>
      <c r="B165" s="1">
        <v>2006</v>
      </c>
      <c r="C165" s="1">
        <v>1</v>
      </c>
      <c r="D165" s="1">
        <v>36</v>
      </c>
      <c r="E165" t="s">
        <v>1</v>
      </c>
      <c r="G165" s="1">
        <v>3</v>
      </c>
      <c r="H165" s="11" t="str">
        <f t="shared" si="26"/>
        <v>2006_01_036.gif</v>
      </c>
      <c r="I165"/>
      <c r="J165"/>
      <c r="L165" s="1" t="b">
        <v>0</v>
      </c>
      <c r="M165" s="1">
        <v>0</v>
      </c>
      <c r="N165" s="1" t="s">
        <v>657</v>
      </c>
      <c r="O165" s="1">
        <v>414</v>
      </c>
      <c r="P165" s="12" t="s">
        <v>547</v>
      </c>
      <c r="Q165"/>
      <c r="R165" s="1" t="b">
        <f t="shared" si="27"/>
        <v>0</v>
      </c>
      <c r="S165"/>
      <c r="T165" s="1" t="b">
        <f t="shared" si="28"/>
        <v>0</v>
      </c>
      <c r="U165" t="b">
        <v>1</v>
      </c>
    </row>
    <row r="166" spans="1:54" x14ac:dyDescent="0.2">
      <c r="A166" t="str">
        <f t="shared" si="29"/>
        <v>2006_01_037</v>
      </c>
      <c r="B166" s="1">
        <v>2006</v>
      </c>
      <c r="C166" s="1">
        <v>1</v>
      </c>
      <c r="D166" s="1">
        <v>37</v>
      </c>
      <c r="E166" t="s">
        <v>1</v>
      </c>
      <c r="G166" s="1">
        <v>1</v>
      </c>
      <c r="H166" s="11" t="str">
        <f t="shared" si="26"/>
        <v>2006_01_037.gif</v>
      </c>
      <c r="I166"/>
      <c r="J166"/>
      <c r="L166" s="1" t="b">
        <v>0</v>
      </c>
      <c r="M166" s="1">
        <v>0</v>
      </c>
      <c r="N166" s="1" t="s">
        <v>657</v>
      </c>
      <c r="O166" s="1">
        <v>415</v>
      </c>
      <c r="P166" s="12" t="s">
        <v>0</v>
      </c>
      <c r="Q166"/>
      <c r="R166" s="1" t="b">
        <f t="shared" si="27"/>
        <v>0</v>
      </c>
      <c r="S166"/>
      <c r="T166" s="1" t="b">
        <f t="shared" si="28"/>
        <v>0</v>
      </c>
      <c r="V166" t="b">
        <v>1</v>
      </c>
    </row>
    <row r="167" spans="1:54" x14ac:dyDescent="0.2">
      <c r="A167" t="str">
        <f t="shared" si="29"/>
        <v>2006_01_038</v>
      </c>
      <c r="B167" s="1">
        <v>2006</v>
      </c>
      <c r="C167" s="1">
        <v>1</v>
      </c>
      <c r="D167" s="1">
        <v>38</v>
      </c>
      <c r="E167" t="s">
        <v>2</v>
      </c>
      <c r="G167" s="1">
        <v>3</v>
      </c>
      <c r="H167" s="11" t="str">
        <f t="shared" si="26"/>
        <v>2006_01_038.gif</v>
      </c>
      <c r="I167"/>
      <c r="J167"/>
      <c r="L167" s="1" t="b">
        <v>0</v>
      </c>
      <c r="M167" s="1">
        <v>0</v>
      </c>
      <c r="N167" s="1" t="s">
        <v>657</v>
      </c>
      <c r="O167" s="1">
        <v>416</v>
      </c>
      <c r="P167" s="12" t="s">
        <v>553</v>
      </c>
      <c r="Q167"/>
      <c r="R167" s="1" t="b">
        <f t="shared" si="27"/>
        <v>0</v>
      </c>
      <c r="S167"/>
      <c r="T167" s="1" t="b">
        <f t="shared" si="28"/>
        <v>0</v>
      </c>
      <c r="W167" t="b">
        <v>1</v>
      </c>
    </row>
    <row r="168" spans="1:54" x14ac:dyDescent="0.2">
      <c r="A168" t="str">
        <f t="shared" si="29"/>
        <v>2006_01_039</v>
      </c>
      <c r="B168" s="1">
        <v>2006</v>
      </c>
      <c r="C168" s="1">
        <v>1</v>
      </c>
      <c r="D168" s="1">
        <v>39</v>
      </c>
      <c r="E168" t="s">
        <v>7</v>
      </c>
      <c r="G168" s="1">
        <v>2</v>
      </c>
      <c r="H168" s="11" t="str">
        <f t="shared" si="26"/>
        <v>2006_01_039.gif</v>
      </c>
      <c r="I168"/>
      <c r="J168"/>
      <c r="L168" s="1" t="b">
        <v>0</v>
      </c>
      <c r="M168" s="1">
        <v>0</v>
      </c>
      <c r="N168" s="1" t="s">
        <v>657</v>
      </c>
      <c r="O168" s="1">
        <v>417</v>
      </c>
      <c r="P168" s="12" t="s">
        <v>579</v>
      </c>
      <c r="Q168"/>
      <c r="R168" s="1" t="b">
        <f t="shared" si="27"/>
        <v>0</v>
      </c>
      <c r="S168"/>
      <c r="T168" s="1" t="b">
        <f t="shared" si="28"/>
        <v>0</v>
      </c>
      <c r="AX168" t="b">
        <v>1</v>
      </c>
    </row>
    <row r="169" spans="1:54" x14ac:dyDescent="0.2">
      <c r="A169" t="str">
        <f t="shared" si="29"/>
        <v>2006_01_040</v>
      </c>
      <c r="B169" s="1">
        <v>2006</v>
      </c>
      <c r="C169" s="1">
        <v>1</v>
      </c>
      <c r="D169" s="1">
        <v>40</v>
      </c>
      <c r="E169" t="s">
        <v>4</v>
      </c>
      <c r="G169" s="1">
        <v>1</v>
      </c>
      <c r="H169" s="11" t="str">
        <f t="shared" si="26"/>
        <v>2006_01_040.gif</v>
      </c>
      <c r="I169"/>
      <c r="J169"/>
      <c r="L169" s="1" t="b">
        <v>0</v>
      </c>
      <c r="M169" s="1">
        <v>0</v>
      </c>
      <c r="N169" s="1" t="s">
        <v>657</v>
      </c>
      <c r="O169" s="1">
        <v>418</v>
      </c>
      <c r="P169" s="12" t="s">
        <v>592</v>
      </c>
      <c r="Q169"/>
      <c r="R169" s="1" t="b">
        <f t="shared" si="27"/>
        <v>0</v>
      </c>
      <c r="S169"/>
      <c r="T169" s="1" t="b">
        <f t="shared" si="28"/>
        <v>0</v>
      </c>
      <c r="AL169" t="b">
        <v>1</v>
      </c>
    </row>
    <row r="170" spans="1:54" x14ac:dyDescent="0.2">
      <c r="A170" t="str">
        <f t="shared" si="29"/>
        <v>2006_01_043</v>
      </c>
      <c r="B170" s="1">
        <v>2006</v>
      </c>
      <c r="C170" s="1">
        <v>1</v>
      </c>
      <c r="D170" s="1">
        <v>43</v>
      </c>
      <c r="E170" t="s">
        <v>5</v>
      </c>
      <c r="G170" s="1">
        <v>2</v>
      </c>
      <c r="H170" s="11" t="str">
        <f t="shared" si="26"/>
        <v>2006_01_043.gif</v>
      </c>
      <c r="I170"/>
      <c r="J170"/>
      <c r="L170" s="1" t="b">
        <v>0</v>
      </c>
      <c r="M170" s="1">
        <v>0</v>
      </c>
      <c r="N170" s="1" t="s">
        <v>657</v>
      </c>
      <c r="O170" s="1">
        <v>421</v>
      </c>
      <c r="P170" s="12" t="s">
        <v>595</v>
      </c>
      <c r="Q170"/>
      <c r="R170" s="1" t="b">
        <f t="shared" si="27"/>
        <v>0</v>
      </c>
      <c r="S170"/>
      <c r="T170" s="1" t="b">
        <f t="shared" si="28"/>
        <v>0</v>
      </c>
      <c r="AS170" t="b">
        <v>1</v>
      </c>
    </row>
    <row r="171" spans="1:54" x14ac:dyDescent="0.2">
      <c r="A171" t="str">
        <f t="shared" si="29"/>
        <v>2006_01_046</v>
      </c>
      <c r="B171" s="1">
        <v>2006</v>
      </c>
      <c r="C171" s="1">
        <v>1</v>
      </c>
      <c r="D171" s="1">
        <v>46</v>
      </c>
      <c r="E171" t="s">
        <v>3</v>
      </c>
      <c r="G171" s="1">
        <v>3</v>
      </c>
      <c r="H171" s="11" t="str">
        <f t="shared" si="26"/>
        <v>2006_01_046.gif</v>
      </c>
      <c r="I171"/>
      <c r="J171"/>
      <c r="L171" s="1" t="b">
        <v>0</v>
      </c>
      <c r="M171" s="1">
        <v>0</v>
      </c>
      <c r="N171" s="1" t="s">
        <v>657</v>
      </c>
      <c r="O171" s="1">
        <v>424</v>
      </c>
      <c r="P171" s="12" t="s">
        <v>549</v>
      </c>
      <c r="Q171"/>
      <c r="R171" s="1" t="b">
        <f t="shared" si="27"/>
        <v>0</v>
      </c>
      <c r="S171"/>
      <c r="T171" s="1" t="b">
        <f t="shared" si="28"/>
        <v>0</v>
      </c>
      <c r="AD171" t="b">
        <v>1</v>
      </c>
    </row>
    <row r="172" spans="1:54" x14ac:dyDescent="0.2">
      <c r="A172" t="s">
        <v>327</v>
      </c>
      <c r="B172" s="1">
        <v>2006</v>
      </c>
      <c r="C172" s="1">
        <v>6</v>
      </c>
      <c r="D172" s="1">
        <v>1</v>
      </c>
      <c r="E172" t="s">
        <v>2</v>
      </c>
      <c r="G172" s="1">
        <v>3</v>
      </c>
      <c r="H172" s="11" t="str">
        <f t="shared" si="26"/>
        <v>2006_06_001.gif</v>
      </c>
      <c r="I172"/>
      <c r="J172"/>
      <c r="L172" s="1" t="b">
        <v>0</v>
      </c>
      <c r="M172" s="1">
        <v>0</v>
      </c>
      <c r="N172" s="1" t="s">
        <v>601</v>
      </c>
      <c r="O172" s="1">
        <v>426</v>
      </c>
      <c r="P172" s="12" t="s">
        <v>552</v>
      </c>
      <c r="Q172"/>
      <c r="R172" s="1" t="b">
        <f t="shared" si="27"/>
        <v>0</v>
      </c>
      <c r="S172"/>
      <c r="T172" s="1" t="b">
        <f t="shared" si="28"/>
        <v>0</v>
      </c>
      <c r="AC172" t="b">
        <v>1</v>
      </c>
    </row>
    <row r="173" spans="1:54" x14ac:dyDescent="0.2">
      <c r="A173" t="s">
        <v>328</v>
      </c>
      <c r="B173" s="1">
        <v>2006</v>
      </c>
      <c r="C173" s="1">
        <v>6</v>
      </c>
      <c r="D173" s="1">
        <v>2</v>
      </c>
      <c r="E173" t="s">
        <v>2</v>
      </c>
      <c r="G173" s="1">
        <v>1</v>
      </c>
      <c r="H173" s="11" t="str">
        <f t="shared" si="26"/>
        <v>2006_06_002.gif</v>
      </c>
      <c r="I173"/>
      <c r="J173"/>
      <c r="L173" s="1" t="b">
        <v>0</v>
      </c>
      <c r="M173" s="1">
        <v>0</v>
      </c>
      <c r="N173" s="1" t="s">
        <v>601</v>
      </c>
      <c r="O173" s="1">
        <v>427</v>
      </c>
      <c r="P173" s="12" t="s">
        <v>552</v>
      </c>
      <c r="Q173"/>
      <c r="R173" s="1" t="b">
        <f t="shared" si="27"/>
        <v>0</v>
      </c>
      <c r="S173"/>
      <c r="T173" s="1" t="b">
        <f t="shared" si="28"/>
        <v>0</v>
      </c>
      <c r="AC173" t="b">
        <v>1</v>
      </c>
    </row>
    <row r="174" spans="1:54" x14ac:dyDescent="0.2">
      <c r="A174" t="s">
        <v>329</v>
      </c>
      <c r="B174" s="1">
        <v>2006</v>
      </c>
      <c r="C174" s="1">
        <v>6</v>
      </c>
      <c r="D174" s="1">
        <v>3</v>
      </c>
      <c r="E174" t="s">
        <v>3</v>
      </c>
      <c r="G174" s="1">
        <v>1</v>
      </c>
      <c r="H174" s="11" t="str">
        <f t="shared" si="26"/>
        <v>2006_06_003.gif</v>
      </c>
      <c r="I174"/>
      <c r="J174"/>
      <c r="L174" s="1" t="b">
        <v>0</v>
      </c>
      <c r="M174" s="1">
        <v>0</v>
      </c>
      <c r="N174" s="1" t="s">
        <v>601</v>
      </c>
      <c r="O174" s="1">
        <v>428</v>
      </c>
      <c r="P174" s="12" t="s">
        <v>549</v>
      </c>
      <c r="Q174"/>
      <c r="R174" s="1" t="b">
        <f t="shared" si="27"/>
        <v>0</v>
      </c>
      <c r="S174"/>
      <c r="T174" s="1" t="b">
        <f t="shared" si="28"/>
        <v>0</v>
      </c>
      <c r="AD174" t="b">
        <v>1</v>
      </c>
    </row>
    <row r="175" spans="1:54" x14ac:dyDescent="0.2">
      <c r="A175" t="s">
        <v>330</v>
      </c>
      <c r="B175" s="1">
        <v>2006</v>
      </c>
      <c r="C175" s="1">
        <v>6</v>
      </c>
      <c r="D175" s="1">
        <v>4</v>
      </c>
      <c r="E175" t="s">
        <v>3</v>
      </c>
      <c r="F175" t="s">
        <v>4</v>
      </c>
      <c r="G175" s="1">
        <v>4</v>
      </c>
      <c r="H175" s="11" t="str">
        <f t="shared" si="26"/>
        <v>2006_06_004.gif</v>
      </c>
      <c r="I175"/>
      <c r="J175"/>
      <c r="L175" s="1" t="b">
        <v>0</v>
      </c>
      <c r="M175" s="1">
        <v>0</v>
      </c>
      <c r="N175" s="1" t="s">
        <v>601</v>
      </c>
      <c r="O175" s="1">
        <v>429</v>
      </c>
      <c r="P175" s="12" t="s">
        <v>676</v>
      </c>
      <c r="Q175"/>
      <c r="R175" s="1" t="b">
        <f t="shared" si="27"/>
        <v>0</v>
      </c>
      <c r="S175"/>
      <c r="T175" s="1" t="b">
        <f t="shared" si="28"/>
        <v>0</v>
      </c>
      <c r="AE175" t="b">
        <v>1</v>
      </c>
      <c r="AH175" t="b">
        <v>1</v>
      </c>
    </row>
    <row r="176" spans="1:54" x14ac:dyDescent="0.2">
      <c r="A176" t="s">
        <v>331</v>
      </c>
      <c r="B176" s="1">
        <v>2006</v>
      </c>
      <c r="C176" s="1">
        <v>6</v>
      </c>
      <c r="D176" s="1">
        <v>5</v>
      </c>
      <c r="E176" t="s">
        <v>5</v>
      </c>
      <c r="G176" s="1">
        <v>4</v>
      </c>
      <c r="H176" s="11" t="str">
        <f t="shared" si="26"/>
        <v>2006_06_005.gif</v>
      </c>
      <c r="I176"/>
      <c r="J176"/>
      <c r="L176" s="1" t="b">
        <v>0</v>
      </c>
      <c r="M176" s="1">
        <v>0</v>
      </c>
      <c r="N176" s="1" t="s">
        <v>601</v>
      </c>
      <c r="O176" s="1">
        <v>430</v>
      </c>
      <c r="P176" s="12" t="s">
        <v>596</v>
      </c>
      <c r="Q176"/>
      <c r="R176" s="1" t="b">
        <f t="shared" si="27"/>
        <v>0</v>
      </c>
      <c r="S176"/>
      <c r="T176" s="1" t="b">
        <f t="shared" si="28"/>
        <v>0</v>
      </c>
      <c r="AR176" t="b">
        <v>1</v>
      </c>
      <c r="AT176" t="b">
        <v>0</v>
      </c>
    </row>
    <row r="177" spans="1:54" x14ac:dyDescent="0.2">
      <c r="A177" t="s">
        <v>332</v>
      </c>
      <c r="B177" s="1">
        <v>2006</v>
      </c>
      <c r="C177" s="1">
        <v>6</v>
      </c>
      <c r="D177" s="1">
        <v>6</v>
      </c>
      <c r="E177" t="s">
        <v>3</v>
      </c>
      <c r="G177" s="1">
        <v>3</v>
      </c>
      <c r="H177" s="11" t="str">
        <f t="shared" si="26"/>
        <v>2006_06_006.gif</v>
      </c>
      <c r="I177"/>
      <c r="J177"/>
      <c r="L177" s="1" t="b">
        <v>0</v>
      </c>
      <c r="M177" s="1">
        <v>0</v>
      </c>
      <c r="N177" s="1" t="s">
        <v>601</v>
      </c>
      <c r="O177" s="1">
        <v>431</v>
      </c>
      <c r="P177" s="12" t="s">
        <v>549</v>
      </c>
      <c r="Q177"/>
      <c r="R177" s="1" t="b">
        <f t="shared" si="27"/>
        <v>0</v>
      </c>
      <c r="S177"/>
      <c r="T177" s="1" t="b">
        <f t="shared" si="28"/>
        <v>0</v>
      </c>
      <c r="AD177" t="b">
        <v>1</v>
      </c>
    </row>
    <row r="178" spans="1:54" x14ac:dyDescent="0.2">
      <c r="A178" t="s">
        <v>333</v>
      </c>
      <c r="B178" s="1">
        <v>2006</v>
      </c>
      <c r="C178" s="1">
        <v>6</v>
      </c>
      <c r="D178" s="1">
        <v>7</v>
      </c>
      <c r="E178" t="s">
        <v>4</v>
      </c>
      <c r="G178" s="1">
        <v>1</v>
      </c>
      <c r="H178" s="11" t="str">
        <f t="shared" si="26"/>
        <v>2006_06_007.gif</v>
      </c>
      <c r="I178"/>
      <c r="J178"/>
      <c r="L178" s="1" t="b">
        <v>0</v>
      </c>
      <c r="M178" s="1">
        <v>0</v>
      </c>
      <c r="N178" s="1" t="s">
        <v>601</v>
      </c>
      <c r="O178" s="1">
        <v>432</v>
      </c>
      <c r="P178" s="12" t="s">
        <v>592</v>
      </c>
      <c r="Q178"/>
      <c r="R178" s="1" t="b">
        <f t="shared" si="27"/>
        <v>0</v>
      </c>
      <c r="S178"/>
      <c r="T178" s="1" t="b">
        <f t="shared" si="28"/>
        <v>0</v>
      </c>
      <c r="AL178" t="b">
        <v>1</v>
      </c>
    </row>
    <row r="179" spans="1:54" x14ac:dyDescent="0.2">
      <c r="A179" t="s">
        <v>334</v>
      </c>
      <c r="B179" s="1">
        <v>2006</v>
      </c>
      <c r="C179" s="1">
        <v>6</v>
      </c>
      <c r="D179" s="1">
        <v>8</v>
      </c>
      <c r="E179" t="s">
        <v>4</v>
      </c>
      <c r="G179" s="1">
        <v>2</v>
      </c>
      <c r="H179" s="11" t="str">
        <f t="shared" si="26"/>
        <v>2006_06_008.gif</v>
      </c>
      <c r="I179"/>
      <c r="J179"/>
      <c r="L179" s="1" t="b">
        <v>0</v>
      </c>
      <c r="M179" s="1">
        <v>0</v>
      </c>
      <c r="N179" s="1" t="s">
        <v>601</v>
      </c>
      <c r="O179" s="1">
        <v>433</v>
      </c>
      <c r="P179" s="12" t="s">
        <v>593</v>
      </c>
      <c r="Q179"/>
      <c r="R179" s="1" t="b">
        <f t="shared" si="27"/>
        <v>0</v>
      </c>
      <c r="S179"/>
      <c r="T179" s="1" t="b">
        <f t="shared" si="28"/>
        <v>0</v>
      </c>
      <c r="AM179" t="b">
        <v>1</v>
      </c>
    </row>
    <row r="180" spans="1:54" x14ac:dyDescent="0.2">
      <c r="A180" t="s">
        <v>335</v>
      </c>
      <c r="B180" s="1">
        <v>2006</v>
      </c>
      <c r="C180" s="1">
        <v>6</v>
      </c>
      <c r="D180" s="1">
        <v>9</v>
      </c>
      <c r="E180" t="s">
        <v>6</v>
      </c>
      <c r="G180" s="1">
        <v>3</v>
      </c>
      <c r="H180" s="11" t="str">
        <f t="shared" si="26"/>
        <v>2006_06_009.gif</v>
      </c>
      <c r="I180"/>
      <c r="J180"/>
      <c r="L180" s="1" t="b">
        <v>0</v>
      </c>
      <c r="M180" s="1">
        <v>0</v>
      </c>
      <c r="N180" s="1" t="s">
        <v>601</v>
      </c>
      <c r="O180" s="1">
        <v>434</v>
      </c>
      <c r="P180" s="12" t="s">
        <v>558</v>
      </c>
      <c r="Q180"/>
      <c r="R180" s="1" t="b">
        <f t="shared" si="27"/>
        <v>0</v>
      </c>
      <c r="S180"/>
      <c r="T180" s="1" t="b">
        <f t="shared" si="28"/>
        <v>0</v>
      </c>
      <c r="AV180" t="b">
        <v>1</v>
      </c>
    </row>
    <row r="181" spans="1:54" x14ac:dyDescent="0.2">
      <c r="A181" t="s">
        <v>337</v>
      </c>
      <c r="B181" s="1">
        <v>2006</v>
      </c>
      <c r="C181" s="1">
        <v>6</v>
      </c>
      <c r="D181" s="1">
        <v>11</v>
      </c>
      <c r="E181" t="s">
        <v>588</v>
      </c>
      <c r="F181" t="s">
        <v>5</v>
      </c>
      <c r="G181" s="1">
        <v>4</v>
      </c>
      <c r="H181" s="11" t="str">
        <f t="shared" si="26"/>
        <v>2006_06_011.gif</v>
      </c>
      <c r="I181"/>
      <c r="J181"/>
      <c r="L181" s="1" t="b">
        <v>0</v>
      </c>
      <c r="M181" s="1">
        <v>0</v>
      </c>
      <c r="N181" s="1" t="s">
        <v>601</v>
      </c>
      <c r="O181" s="1">
        <v>436</v>
      </c>
      <c r="P181" s="12" t="s">
        <v>578</v>
      </c>
      <c r="Q181"/>
      <c r="R181" s="1" t="b">
        <f t="shared" si="27"/>
        <v>0</v>
      </c>
      <c r="S181"/>
      <c r="T181" s="1" t="b">
        <f t="shared" si="28"/>
        <v>0</v>
      </c>
      <c r="AQ181" t="b">
        <v>1</v>
      </c>
    </row>
    <row r="182" spans="1:54" x14ac:dyDescent="0.2">
      <c r="A182" t="s">
        <v>338</v>
      </c>
      <c r="B182" s="1">
        <v>2006</v>
      </c>
      <c r="C182" s="1">
        <v>6</v>
      </c>
      <c r="D182" s="1">
        <v>12</v>
      </c>
      <c r="E182" t="s">
        <v>7</v>
      </c>
      <c r="G182" s="1">
        <v>2</v>
      </c>
      <c r="H182" s="11" t="str">
        <f t="shared" si="26"/>
        <v>2006_06_012.gif</v>
      </c>
      <c r="I182"/>
      <c r="J182"/>
      <c r="L182" s="1" t="b">
        <v>0</v>
      </c>
      <c r="M182" s="1">
        <v>0</v>
      </c>
      <c r="N182" s="1" t="s">
        <v>601</v>
      </c>
      <c r="O182" s="1">
        <v>437</v>
      </c>
      <c r="P182" s="12" t="s">
        <v>587</v>
      </c>
      <c r="Q182"/>
      <c r="R182" s="1" t="b">
        <f t="shared" si="27"/>
        <v>0</v>
      </c>
      <c r="S182"/>
      <c r="T182" s="1" t="b">
        <f t="shared" si="28"/>
        <v>0</v>
      </c>
      <c r="BB182" t="b">
        <v>1</v>
      </c>
    </row>
    <row r="183" spans="1:54" x14ac:dyDescent="0.2">
      <c r="A183" t="s">
        <v>339</v>
      </c>
      <c r="B183" s="1">
        <v>2006</v>
      </c>
      <c r="C183" s="1">
        <v>6</v>
      </c>
      <c r="D183" s="1">
        <v>13</v>
      </c>
      <c r="E183" t="s">
        <v>7</v>
      </c>
      <c r="G183" s="1">
        <v>4</v>
      </c>
      <c r="H183" s="11" t="str">
        <f t="shared" si="26"/>
        <v>2006_06_013.gif</v>
      </c>
      <c r="I183"/>
      <c r="J183"/>
      <c r="L183" s="1" t="b">
        <v>0</v>
      </c>
      <c r="M183" s="1">
        <v>0</v>
      </c>
      <c r="N183" s="1" t="s">
        <v>601</v>
      </c>
      <c r="O183" s="1">
        <v>438</v>
      </c>
      <c r="P183" s="12" t="s">
        <v>581</v>
      </c>
      <c r="Q183"/>
      <c r="R183" s="1" t="b">
        <f t="shared" si="27"/>
        <v>0</v>
      </c>
      <c r="S183"/>
      <c r="T183" s="1" t="b">
        <f t="shared" si="28"/>
        <v>0</v>
      </c>
      <c r="AY183" t="b">
        <v>1</v>
      </c>
    </row>
    <row r="184" spans="1:54" x14ac:dyDescent="0.2">
      <c r="A184" t="s">
        <v>340</v>
      </c>
      <c r="B184" s="1">
        <v>2006</v>
      </c>
      <c r="C184" s="1">
        <v>6</v>
      </c>
      <c r="D184" s="1">
        <v>14</v>
      </c>
      <c r="E184" t="s">
        <v>7</v>
      </c>
      <c r="G184" s="1">
        <v>1</v>
      </c>
      <c r="H184" s="11" t="str">
        <f t="shared" si="26"/>
        <v>2006_06_014.gif</v>
      </c>
      <c r="I184"/>
      <c r="J184"/>
      <c r="L184" s="1" t="b">
        <v>0</v>
      </c>
      <c r="M184" s="1">
        <v>3</v>
      </c>
      <c r="N184" s="1" t="s">
        <v>601</v>
      </c>
      <c r="O184" s="1">
        <v>439</v>
      </c>
      <c r="P184" s="12" t="s">
        <v>681</v>
      </c>
      <c r="Q184"/>
      <c r="R184" s="1" t="b">
        <f t="shared" si="27"/>
        <v>0</v>
      </c>
      <c r="S184"/>
      <c r="T184" s="1" t="b">
        <f t="shared" si="28"/>
        <v>0</v>
      </c>
      <c r="W184" t="b">
        <v>0</v>
      </c>
      <c r="AZ184" t="b">
        <v>1</v>
      </c>
      <c r="BA184" t="b">
        <v>1</v>
      </c>
    </row>
    <row r="185" spans="1:54" x14ac:dyDescent="0.2">
      <c r="A185" t="s">
        <v>341</v>
      </c>
      <c r="B185" s="1">
        <v>2006</v>
      </c>
      <c r="C185" s="1">
        <v>6</v>
      </c>
      <c r="D185" s="1">
        <v>15</v>
      </c>
      <c r="E185" t="s">
        <v>7</v>
      </c>
      <c r="G185" s="1">
        <v>3</v>
      </c>
      <c r="H185" s="11" t="str">
        <f t="shared" si="26"/>
        <v>2006_06_015.gif</v>
      </c>
      <c r="I185"/>
      <c r="J185"/>
      <c r="L185" s="1" t="b">
        <v>0</v>
      </c>
      <c r="M185" s="1">
        <v>0</v>
      </c>
      <c r="N185" s="1" t="s">
        <v>601</v>
      </c>
      <c r="O185" s="1">
        <v>440</v>
      </c>
      <c r="P185" s="12" t="s">
        <v>579</v>
      </c>
      <c r="Q185"/>
      <c r="R185" s="1" t="b">
        <f t="shared" si="27"/>
        <v>0</v>
      </c>
      <c r="S185"/>
      <c r="T185" s="1" t="b">
        <f t="shared" si="28"/>
        <v>0</v>
      </c>
      <c r="AX185" t="b">
        <v>1</v>
      </c>
    </row>
    <row r="186" spans="1:54" x14ac:dyDescent="0.2">
      <c r="A186" t="s">
        <v>342</v>
      </c>
      <c r="B186" s="1">
        <v>2006</v>
      </c>
      <c r="C186" s="1">
        <v>6</v>
      </c>
      <c r="D186" s="1">
        <v>16</v>
      </c>
      <c r="E186" t="s">
        <v>7</v>
      </c>
      <c r="G186" s="1">
        <v>3</v>
      </c>
      <c r="H186" s="11" t="str">
        <f t="shared" si="26"/>
        <v>2006_06_016.gif</v>
      </c>
      <c r="I186"/>
      <c r="J186"/>
      <c r="L186" s="1" t="b">
        <v>0</v>
      </c>
      <c r="M186" s="1">
        <v>0</v>
      </c>
      <c r="N186" s="1" t="s">
        <v>601</v>
      </c>
      <c r="O186" s="1">
        <v>441</v>
      </c>
      <c r="P186" s="12" t="s">
        <v>559</v>
      </c>
      <c r="Q186"/>
      <c r="R186" s="1" t="b">
        <f t="shared" si="27"/>
        <v>0</v>
      </c>
      <c r="S186"/>
      <c r="T186" s="1" t="b">
        <f t="shared" si="28"/>
        <v>0</v>
      </c>
      <c r="AZ186" t="b">
        <v>1</v>
      </c>
    </row>
    <row r="187" spans="1:54" x14ac:dyDescent="0.2">
      <c r="A187" t="s">
        <v>352</v>
      </c>
      <c r="B187" s="1">
        <v>2006</v>
      </c>
      <c r="C187" s="1">
        <v>6</v>
      </c>
      <c r="D187" s="1">
        <v>26</v>
      </c>
      <c r="E187" t="s">
        <v>2</v>
      </c>
      <c r="G187" s="1">
        <v>2</v>
      </c>
      <c r="H187" s="11" t="str">
        <f t="shared" ref="H187:H209" si="30">HYPERLINK(A187&amp;".gif")</f>
        <v>2006_06_026.gif</v>
      </c>
      <c r="I187"/>
      <c r="J187"/>
      <c r="L187" s="1" t="b">
        <v>0</v>
      </c>
      <c r="M187" s="1">
        <v>0</v>
      </c>
      <c r="N187" s="1" t="s">
        <v>601</v>
      </c>
      <c r="O187" s="1">
        <v>451</v>
      </c>
      <c r="P187" s="12" t="s">
        <v>553</v>
      </c>
      <c r="Q187"/>
      <c r="R187" s="1" t="b">
        <f t="shared" ref="R187:R209" si="31">OR(S187:T187)</f>
        <v>0</v>
      </c>
      <c r="S187"/>
      <c r="T187" s="1" t="b">
        <f t="shared" ref="T187:T209" si="32">SUMPRODUCT(BC187:BZ187*1)&gt;0</f>
        <v>0</v>
      </c>
      <c r="W187" t="b">
        <v>1</v>
      </c>
    </row>
    <row r="188" spans="1:54" x14ac:dyDescent="0.2">
      <c r="A188" t="str">
        <f t="shared" ref="A188:A193" si="33">B188 &amp; "_" &amp; TEXT(C188,"00") &amp; "_" &amp; TEXT(D188,"000")</f>
        <v>2006_06_036</v>
      </c>
      <c r="B188" s="1">
        <v>2006</v>
      </c>
      <c r="C188" s="1">
        <v>6</v>
      </c>
      <c r="D188" s="1">
        <v>36</v>
      </c>
      <c r="E188" t="s">
        <v>1</v>
      </c>
      <c r="G188" s="1">
        <v>2</v>
      </c>
      <c r="H188" s="11" t="str">
        <f t="shared" si="30"/>
        <v>2006_06_036.gif</v>
      </c>
      <c r="I188"/>
      <c r="J188"/>
      <c r="L188" s="1" t="b">
        <v>0</v>
      </c>
      <c r="M188" s="1">
        <v>0</v>
      </c>
      <c r="N188" s="1" t="s">
        <v>657</v>
      </c>
      <c r="O188" s="1">
        <v>461</v>
      </c>
      <c r="P188" s="12" t="s">
        <v>547</v>
      </c>
      <c r="Q188"/>
      <c r="R188" s="1" t="b">
        <f t="shared" si="31"/>
        <v>0</v>
      </c>
      <c r="S188"/>
      <c r="T188" s="1" t="b">
        <f t="shared" si="32"/>
        <v>0</v>
      </c>
      <c r="U188" t="b">
        <v>1</v>
      </c>
    </row>
    <row r="189" spans="1:54" x14ac:dyDescent="0.2">
      <c r="A189" t="str">
        <f t="shared" si="33"/>
        <v>2006_06_037</v>
      </c>
      <c r="B189" s="1">
        <v>2006</v>
      </c>
      <c r="C189" s="1">
        <v>6</v>
      </c>
      <c r="D189" s="1">
        <v>37</v>
      </c>
      <c r="E189" t="s">
        <v>5</v>
      </c>
      <c r="G189" s="1">
        <v>1</v>
      </c>
      <c r="H189" s="11" t="str">
        <f t="shared" si="30"/>
        <v>2006_06_037.gif</v>
      </c>
      <c r="I189"/>
      <c r="J189"/>
      <c r="L189" s="1" t="b">
        <v>0</v>
      </c>
      <c r="M189" s="1">
        <v>0</v>
      </c>
      <c r="N189" s="1" t="s">
        <v>657</v>
      </c>
      <c r="O189" s="1">
        <v>462</v>
      </c>
      <c r="P189" s="12" t="s">
        <v>556</v>
      </c>
      <c r="Q189"/>
      <c r="R189" s="1" t="b">
        <f t="shared" si="31"/>
        <v>0</v>
      </c>
      <c r="S189"/>
      <c r="T189" s="1" t="b">
        <f t="shared" si="32"/>
        <v>0</v>
      </c>
      <c r="AS189" t="b">
        <v>0</v>
      </c>
      <c r="AT189" t="b">
        <v>1</v>
      </c>
    </row>
    <row r="190" spans="1:54" x14ac:dyDescent="0.2">
      <c r="A190" t="str">
        <f t="shared" si="33"/>
        <v>2006_06_038</v>
      </c>
      <c r="B190" s="1">
        <v>2006</v>
      </c>
      <c r="C190" s="1">
        <v>6</v>
      </c>
      <c r="D190" s="1">
        <v>38</v>
      </c>
      <c r="E190" t="s">
        <v>6</v>
      </c>
      <c r="G190" s="1">
        <v>4</v>
      </c>
      <c r="H190" s="11" t="str">
        <f t="shared" si="30"/>
        <v>2006_06_038.gif</v>
      </c>
      <c r="I190"/>
      <c r="J190"/>
      <c r="L190" s="1" t="b">
        <v>0</v>
      </c>
      <c r="M190" s="1">
        <v>0</v>
      </c>
      <c r="N190" s="1" t="s">
        <v>657</v>
      </c>
      <c r="O190" s="1">
        <v>463</v>
      </c>
      <c r="P190" s="12" t="s">
        <v>558</v>
      </c>
      <c r="Q190"/>
      <c r="R190" s="1" t="b">
        <f t="shared" si="31"/>
        <v>0</v>
      </c>
      <c r="S190"/>
      <c r="T190" s="1" t="b">
        <f t="shared" si="32"/>
        <v>0</v>
      </c>
      <c r="AV190" t="b">
        <v>1</v>
      </c>
    </row>
    <row r="191" spans="1:54" x14ac:dyDescent="0.2">
      <c r="A191" t="str">
        <f t="shared" si="33"/>
        <v>2006_06_040</v>
      </c>
      <c r="B191" s="1">
        <v>2006</v>
      </c>
      <c r="C191" s="1">
        <v>6</v>
      </c>
      <c r="D191" s="1">
        <v>40</v>
      </c>
      <c r="E191" t="s">
        <v>6</v>
      </c>
      <c r="G191" s="1">
        <v>1</v>
      </c>
      <c r="H191" s="11" t="str">
        <f t="shared" si="30"/>
        <v>2006_06_040.gif</v>
      </c>
      <c r="I191"/>
      <c r="J191"/>
      <c r="L191" s="1" t="b">
        <v>0</v>
      </c>
      <c r="M191" s="1">
        <v>0</v>
      </c>
      <c r="N191" s="1" t="s">
        <v>657</v>
      </c>
      <c r="O191" s="1">
        <v>465</v>
      </c>
      <c r="P191" s="12" t="s">
        <v>580</v>
      </c>
      <c r="Q191"/>
      <c r="R191" s="1" t="b">
        <f t="shared" si="31"/>
        <v>0</v>
      </c>
      <c r="S191"/>
      <c r="T191" s="1" t="b">
        <f t="shared" si="32"/>
        <v>0</v>
      </c>
      <c r="AU191" t="b">
        <v>1</v>
      </c>
    </row>
    <row r="192" spans="1:54" x14ac:dyDescent="0.2">
      <c r="A192" t="str">
        <f t="shared" si="33"/>
        <v>2006_06_041</v>
      </c>
      <c r="B192" s="1">
        <v>2006</v>
      </c>
      <c r="C192" s="1">
        <v>6</v>
      </c>
      <c r="D192" s="1">
        <v>41</v>
      </c>
      <c r="E192" t="s">
        <v>2</v>
      </c>
      <c r="F192" t="s">
        <v>1</v>
      </c>
      <c r="G192" s="1">
        <v>4</v>
      </c>
      <c r="H192" s="11" t="str">
        <f t="shared" si="30"/>
        <v>2006_06_041.gif</v>
      </c>
      <c r="I192"/>
      <c r="J192"/>
      <c r="L192" s="1" t="b">
        <v>0</v>
      </c>
      <c r="M192" s="1">
        <v>0</v>
      </c>
      <c r="N192" s="1" t="s">
        <v>657</v>
      </c>
      <c r="O192" s="1">
        <v>466</v>
      </c>
      <c r="P192" s="12" t="s">
        <v>0</v>
      </c>
      <c r="Q192"/>
      <c r="R192" s="1" t="b">
        <f t="shared" si="31"/>
        <v>0</v>
      </c>
      <c r="S192"/>
      <c r="T192" s="1" t="b">
        <f t="shared" si="32"/>
        <v>0</v>
      </c>
      <c r="V192" t="b">
        <v>1</v>
      </c>
      <c r="Z192" t="b">
        <v>0</v>
      </c>
    </row>
    <row r="193" spans="1:54" x14ac:dyDescent="0.2">
      <c r="A193" t="str">
        <f t="shared" si="33"/>
        <v>2006_06_044</v>
      </c>
      <c r="B193" s="1">
        <v>2006</v>
      </c>
      <c r="C193" s="1">
        <v>6</v>
      </c>
      <c r="D193" s="1">
        <v>44</v>
      </c>
      <c r="E193" t="s">
        <v>4</v>
      </c>
      <c r="F193" t="s">
        <v>3</v>
      </c>
      <c r="G193" s="1">
        <v>1</v>
      </c>
      <c r="H193" s="11" t="str">
        <f t="shared" si="30"/>
        <v>2006_06_044.gif</v>
      </c>
      <c r="I193"/>
      <c r="J193"/>
      <c r="L193" s="1" t="b">
        <v>0</v>
      </c>
      <c r="M193" s="1">
        <v>0</v>
      </c>
      <c r="N193" s="1" t="s">
        <v>657</v>
      </c>
      <c r="O193" s="1">
        <v>469</v>
      </c>
      <c r="P193" s="12" t="s">
        <v>676</v>
      </c>
      <c r="Q193"/>
      <c r="R193" s="1" t="b">
        <f t="shared" si="31"/>
        <v>0</v>
      </c>
      <c r="S193"/>
      <c r="T193" s="1" t="b">
        <f t="shared" si="32"/>
        <v>0</v>
      </c>
      <c r="AE193" t="b">
        <v>1</v>
      </c>
      <c r="AH193" t="b">
        <v>1</v>
      </c>
    </row>
    <row r="194" spans="1:54" x14ac:dyDescent="0.2">
      <c r="A194" t="s">
        <v>362</v>
      </c>
      <c r="B194" s="1">
        <v>2007</v>
      </c>
      <c r="C194" s="1">
        <v>1</v>
      </c>
      <c r="D194" s="1">
        <v>1</v>
      </c>
      <c r="E194" t="s">
        <v>3</v>
      </c>
      <c r="G194" s="1">
        <v>2</v>
      </c>
      <c r="H194" s="11" t="str">
        <f t="shared" si="30"/>
        <v>2007_01_001.gif</v>
      </c>
      <c r="I194"/>
      <c r="J194"/>
      <c r="L194" s="1" t="b">
        <v>0</v>
      </c>
      <c r="M194" s="1">
        <v>0</v>
      </c>
      <c r="N194" s="1" t="s">
        <v>601</v>
      </c>
      <c r="O194" s="1">
        <v>477</v>
      </c>
      <c r="P194" s="12" t="s">
        <v>546</v>
      </c>
      <c r="Q194"/>
      <c r="R194" s="1" t="b">
        <f t="shared" si="31"/>
        <v>0</v>
      </c>
      <c r="S194"/>
      <c r="T194" s="1" t="b">
        <f t="shared" si="32"/>
        <v>0</v>
      </c>
      <c r="AF194" t="b">
        <v>1</v>
      </c>
    </row>
    <row r="195" spans="1:54" x14ac:dyDescent="0.2">
      <c r="A195" t="s">
        <v>363</v>
      </c>
      <c r="B195" s="1">
        <v>2007</v>
      </c>
      <c r="C195" s="1">
        <v>1</v>
      </c>
      <c r="D195" s="1">
        <v>2</v>
      </c>
      <c r="E195" t="s">
        <v>3</v>
      </c>
      <c r="G195" s="1">
        <v>1</v>
      </c>
      <c r="H195" s="11" t="str">
        <f t="shared" si="30"/>
        <v>2007_01_002.gif</v>
      </c>
      <c r="I195"/>
      <c r="J195"/>
      <c r="L195" s="1" t="b">
        <v>0</v>
      </c>
      <c r="M195" s="1">
        <v>0</v>
      </c>
      <c r="N195" s="1" t="s">
        <v>601</v>
      </c>
      <c r="O195" s="1">
        <v>478</v>
      </c>
      <c r="P195" s="12" t="s">
        <v>549</v>
      </c>
      <c r="Q195"/>
      <c r="R195" s="1" t="b">
        <f t="shared" si="31"/>
        <v>0</v>
      </c>
      <c r="S195"/>
      <c r="T195" s="1" t="b">
        <f t="shared" si="32"/>
        <v>0</v>
      </c>
      <c r="AD195" t="b">
        <v>1</v>
      </c>
    </row>
    <row r="196" spans="1:54" x14ac:dyDescent="0.2">
      <c r="A196" t="s">
        <v>364</v>
      </c>
      <c r="B196" s="1">
        <v>2007</v>
      </c>
      <c r="C196" s="1">
        <v>1</v>
      </c>
      <c r="D196" s="1">
        <v>3</v>
      </c>
      <c r="E196" t="s">
        <v>2</v>
      </c>
      <c r="G196" s="1">
        <v>1</v>
      </c>
      <c r="H196" s="11" t="str">
        <f t="shared" si="30"/>
        <v>2007_01_003.gif</v>
      </c>
      <c r="I196"/>
      <c r="J196"/>
      <c r="L196" s="1" t="b">
        <v>0</v>
      </c>
      <c r="M196" s="1">
        <v>0</v>
      </c>
      <c r="N196" s="1" t="s">
        <v>601</v>
      </c>
      <c r="O196" s="1">
        <v>479</v>
      </c>
      <c r="P196" s="12" t="s">
        <v>551</v>
      </c>
      <c r="Q196"/>
      <c r="R196" s="1" t="b">
        <f t="shared" si="31"/>
        <v>0</v>
      </c>
      <c r="S196"/>
      <c r="T196" s="1" t="b">
        <f t="shared" si="32"/>
        <v>0</v>
      </c>
      <c r="AB196" t="b">
        <v>1</v>
      </c>
    </row>
    <row r="197" spans="1:54" x14ac:dyDescent="0.2">
      <c r="A197" t="s">
        <v>365</v>
      </c>
      <c r="B197" s="1">
        <v>2007</v>
      </c>
      <c r="C197" s="1">
        <v>1</v>
      </c>
      <c r="D197" s="1">
        <v>4</v>
      </c>
      <c r="E197" t="s">
        <v>2</v>
      </c>
      <c r="G197" s="1">
        <v>2</v>
      </c>
      <c r="H197" s="11" t="str">
        <f t="shared" si="30"/>
        <v>2007_01_004.gif</v>
      </c>
      <c r="I197"/>
      <c r="J197"/>
      <c r="L197" s="1" t="b">
        <v>0</v>
      </c>
      <c r="M197" s="1">
        <v>0</v>
      </c>
      <c r="N197" s="1" t="s">
        <v>601</v>
      </c>
      <c r="O197" s="1">
        <v>480</v>
      </c>
      <c r="P197" s="12" t="s">
        <v>552</v>
      </c>
      <c r="Q197"/>
      <c r="R197" s="1" t="b">
        <f t="shared" si="31"/>
        <v>0</v>
      </c>
      <c r="S197"/>
      <c r="T197" s="1" t="b">
        <f t="shared" si="32"/>
        <v>0</v>
      </c>
      <c r="AC197" t="b">
        <v>1</v>
      </c>
    </row>
    <row r="198" spans="1:54" x14ac:dyDescent="0.2">
      <c r="A198" t="s">
        <v>366</v>
      </c>
      <c r="B198" s="1">
        <v>2007</v>
      </c>
      <c r="C198" s="1">
        <v>1</v>
      </c>
      <c r="D198" s="1">
        <v>5</v>
      </c>
      <c r="E198" t="s">
        <v>4</v>
      </c>
      <c r="G198" s="1">
        <v>4</v>
      </c>
      <c r="H198" s="11" t="str">
        <f t="shared" si="30"/>
        <v>2007_01_005.gif</v>
      </c>
      <c r="I198"/>
      <c r="J198"/>
      <c r="L198" s="1" t="b">
        <v>0</v>
      </c>
      <c r="M198" s="1">
        <v>0</v>
      </c>
      <c r="N198" s="1" t="s">
        <v>601</v>
      </c>
      <c r="O198" s="1">
        <v>481</v>
      </c>
      <c r="P198" s="12" t="s">
        <v>600</v>
      </c>
      <c r="Q198"/>
      <c r="R198" s="1" t="b">
        <f t="shared" si="31"/>
        <v>0</v>
      </c>
      <c r="S198"/>
      <c r="T198" s="1" t="b">
        <f t="shared" si="32"/>
        <v>0</v>
      </c>
      <c r="AH198" t="b">
        <v>1</v>
      </c>
    </row>
    <row r="199" spans="1:54" x14ac:dyDescent="0.2">
      <c r="A199" t="s">
        <v>367</v>
      </c>
      <c r="B199" s="1">
        <v>2007</v>
      </c>
      <c r="C199" s="1">
        <v>1</v>
      </c>
      <c r="D199" s="1">
        <v>6</v>
      </c>
      <c r="E199" t="s">
        <v>4</v>
      </c>
      <c r="G199" s="1">
        <v>2</v>
      </c>
      <c r="H199" s="11" t="str">
        <f t="shared" si="30"/>
        <v>2007_01_006.gif</v>
      </c>
      <c r="I199"/>
      <c r="J199"/>
      <c r="L199" s="1" t="b">
        <v>0</v>
      </c>
      <c r="M199" s="1">
        <v>0</v>
      </c>
      <c r="N199" s="1" t="s">
        <v>601</v>
      </c>
      <c r="O199" s="1">
        <v>482</v>
      </c>
      <c r="P199" s="12" t="s">
        <v>592</v>
      </c>
      <c r="Q199"/>
      <c r="R199" s="1" t="b">
        <f t="shared" si="31"/>
        <v>0</v>
      </c>
      <c r="S199"/>
      <c r="T199" s="1" t="b">
        <f t="shared" si="32"/>
        <v>0</v>
      </c>
      <c r="AL199" t="b">
        <v>1</v>
      </c>
    </row>
    <row r="200" spans="1:54" x14ac:dyDescent="0.2">
      <c r="A200" t="s">
        <v>368</v>
      </c>
      <c r="B200" s="1">
        <v>2007</v>
      </c>
      <c r="C200" s="1">
        <v>1</v>
      </c>
      <c r="D200" s="1">
        <v>7</v>
      </c>
      <c r="E200" t="s">
        <v>4</v>
      </c>
      <c r="G200" s="1">
        <v>2</v>
      </c>
      <c r="H200" s="11" t="str">
        <f t="shared" si="30"/>
        <v>2007_01_007.gif</v>
      </c>
      <c r="I200"/>
      <c r="J200"/>
      <c r="L200" s="1" t="b">
        <v>0</v>
      </c>
      <c r="M200" s="1">
        <v>0</v>
      </c>
      <c r="N200" s="1" t="s">
        <v>601</v>
      </c>
      <c r="O200" s="1">
        <v>483</v>
      </c>
      <c r="P200" s="12" t="s">
        <v>575</v>
      </c>
      <c r="Q200"/>
      <c r="R200" s="1" t="b">
        <f t="shared" si="31"/>
        <v>0</v>
      </c>
      <c r="S200"/>
      <c r="T200" s="1" t="b">
        <f t="shared" si="32"/>
        <v>0</v>
      </c>
      <c r="AI200" t="b">
        <v>1</v>
      </c>
    </row>
    <row r="201" spans="1:54" x14ac:dyDescent="0.2">
      <c r="A201" t="s">
        <v>369</v>
      </c>
      <c r="B201" s="1">
        <v>2007</v>
      </c>
      <c r="C201" s="1">
        <v>1</v>
      </c>
      <c r="D201" s="1">
        <v>8</v>
      </c>
      <c r="E201" t="s">
        <v>6</v>
      </c>
      <c r="G201" s="1">
        <v>3</v>
      </c>
      <c r="H201" s="11" t="str">
        <f t="shared" si="30"/>
        <v>2007_01_008.gif</v>
      </c>
      <c r="I201"/>
      <c r="J201"/>
      <c r="L201" s="1" t="b">
        <v>0</v>
      </c>
      <c r="M201" s="1">
        <v>0</v>
      </c>
      <c r="N201" s="1" t="s">
        <v>601</v>
      </c>
      <c r="O201" s="1">
        <v>484</v>
      </c>
      <c r="P201" s="12" t="s">
        <v>580</v>
      </c>
      <c r="Q201"/>
      <c r="R201" s="1" t="b">
        <f t="shared" si="31"/>
        <v>0</v>
      </c>
      <c r="S201"/>
      <c r="T201" s="1" t="b">
        <f t="shared" si="32"/>
        <v>0</v>
      </c>
      <c r="AU201" t="b">
        <v>1</v>
      </c>
    </row>
    <row r="202" spans="1:54" x14ac:dyDescent="0.2">
      <c r="A202" t="s">
        <v>370</v>
      </c>
      <c r="B202" s="1">
        <v>2007</v>
      </c>
      <c r="C202" s="1">
        <v>1</v>
      </c>
      <c r="D202" s="1">
        <v>9</v>
      </c>
      <c r="E202" t="s">
        <v>5</v>
      </c>
      <c r="G202" s="1">
        <v>4</v>
      </c>
      <c r="H202" s="11" t="str">
        <f t="shared" si="30"/>
        <v>2007_01_009.gif</v>
      </c>
      <c r="I202"/>
      <c r="J202"/>
      <c r="L202" s="1" t="b">
        <v>0</v>
      </c>
      <c r="M202" s="1">
        <v>0</v>
      </c>
      <c r="N202" s="1" t="s">
        <v>601</v>
      </c>
      <c r="O202" s="1">
        <v>485</v>
      </c>
      <c r="P202" s="12" t="s">
        <v>596</v>
      </c>
      <c r="Q202"/>
      <c r="R202" s="1" t="b">
        <f t="shared" si="31"/>
        <v>0</v>
      </c>
      <c r="S202"/>
      <c r="T202" s="1" t="b">
        <f t="shared" si="32"/>
        <v>0</v>
      </c>
      <c r="AR202" t="b">
        <v>1</v>
      </c>
    </row>
    <row r="203" spans="1:54" x14ac:dyDescent="0.2">
      <c r="A203" t="s">
        <v>371</v>
      </c>
      <c r="B203" s="1">
        <v>2007</v>
      </c>
      <c r="C203" s="1">
        <v>1</v>
      </c>
      <c r="D203" s="1">
        <v>10</v>
      </c>
      <c r="E203" t="s">
        <v>5</v>
      </c>
      <c r="G203" s="1">
        <v>2</v>
      </c>
      <c r="H203" s="11" t="str">
        <f t="shared" si="30"/>
        <v>2007_01_010.gif</v>
      </c>
      <c r="I203"/>
      <c r="J203"/>
      <c r="L203" s="1" t="b">
        <v>0</v>
      </c>
      <c r="M203" s="1">
        <v>0</v>
      </c>
      <c r="N203" s="1" t="s">
        <v>601</v>
      </c>
      <c r="O203" s="1">
        <v>486</v>
      </c>
      <c r="P203" s="12" t="s">
        <v>556</v>
      </c>
      <c r="Q203"/>
      <c r="R203" s="1" t="b">
        <f t="shared" si="31"/>
        <v>0</v>
      </c>
      <c r="S203"/>
      <c r="T203" s="1" t="b">
        <f t="shared" si="32"/>
        <v>0</v>
      </c>
      <c r="AT203" t="b">
        <v>1</v>
      </c>
    </row>
    <row r="204" spans="1:54" x14ac:dyDescent="0.2">
      <c r="A204" t="s">
        <v>372</v>
      </c>
      <c r="B204" s="1">
        <v>2007</v>
      </c>
      <c r="C204" s="1">
        <v>1</v>
      </c>
      <c r="D204" s="1">
        <v>11</v>
      </c>
      <c r="E204" t="s">
        <v>6</v>
      </c>
      <c r="G204" s="1">
        <v>4</v>
      </c>
      <c r="H204" s="11" t="str">
        <f t="shared" si="30"/>
        <v>2007_01_011.gif</v>
      </c>
      <c r="I204"/>
      <c r="J204"/>
      <c r="L204" s="1" t="b">
        <v>0</v>
      </c>
      <c r="M204" s="1">
        <v>0</v>
      </c>
      <c r="N204" s="1" t="s">
        <v>601</v>
      </c>
      <c r="O204" s="1">
        <v>487</v>
      </c>
      <c r="P204" s="12" t="s">
        <v>558</v>
      </c>
      <c r="Q204"/>
      <c r="R204" s="1" t="b">
        <f t="shared" si="31"/>
        <v>0</v>
      </c>
      <c r="S204"/>
      <c r="T204" s="1" t="b">
        <f t="shared" si="32"/>
        <v>0</v>
      </c>
      <c r="AV204" t="b">
        <v>1</v>
      </c>
    </row>
    <row r="205" spans="1:54" x14ac:dyDescent="0.2">
      <c r="A205" t="s">
        <v>373</v>
      </c>
      <c r="B205" s="1">
        <v>2007</v>
      </c>
      <c r="C205" s="1">
        <v>1</v>
      </c>
      <c r="D205" s="1">
        <v>12</v>
      </c>
      <c r="E205" t="s">
        <v>7</v>
      </c>
      <c r="G205" s="1">
        <v>1</v>
      </c>
      <c r="H205" s="11" t="str">
        <f t="shared" si="30"/>
        <v>2007_01_012.gif</v>
      </c>
      <c r="I205"/>
      <c r="J205"/>
      <c r="L205" s="1" t="b">
        <v>0</v>
      </c>
      <c r="M205" s="1">
        <v>0</v>
      </c>
      <c r="N205" s="1" t="s">
        <v>601</v>
      </c>
      <c r="O205" s="1">
        <v>488</v>
      </c>
      <c r="P205" s="12" t="s">
        <v>560</v>
      </c>
      <c r="Q205"/>
      <c r="R205" s="1" t="b">
        <f t="shared" si="31"/>
        <v>0</v>
      </c>
      <c r="S205"/>
      <c r="T205" s="1" t="b">
        <f t="shared" si="32"/>
        <v>0</v>
      </c>
      <c r="BA205" t="b">
        <v>1</v>
      </c>
    </row>
    <row r="206" spans="1:54" x14ac:dyDescent="0.2">
      <c r="A206" t="s">
        <v>374</v>
      </c>
      <c r="B206" s="1">
        <v>2007</v>
      </c>
      <c r="C206" s="1">
        <v>1</v>
      </c>
      <c r="D206" s="1">
        <v>13</v>
      </c>
      <c r="E206" t="s">
        <v>7</v>
      </c>
      <c r="G206" s="1">
        <v>4</v>
      </c>
      <c r="H206" s="11" t="str">
        <f t="shared" si="30"/>
        <v>2007_01_013.gif</v>
      </c>
      <c r="I206"/>
      <c r="J206"/>
      <c r="L206" s="1" t="b">
        <v>0</v>
      </c>
      <c r="M206" s="1">
        <v>0</v>
      </c>
      <c r="N206" s="1" t="s">
        <v>601</v>
      </c>
      <c r="O206" s="1">
        <v>489</v>
      </c>
      <c r="P206" s="12" t="s">
        <v>680</v>
      </c>
      <c r="Q206"/>
      <c r="R206" s="1" t="b">
        <f t="shared" si="31"/>
        <v>0</v>
      </c>
      <c r="S206"/>
      <c r="T206" s="1" t="b">
        <f t="shared" si="32"/>
        <v>0</v>
      </c>
      <c r="AX206" t="b">
        <v>1</v>
      </c>
      <c r="BB206" t="b">
        <v>1</v>
      </c>
    </row>
    <row r="207" spans="1:54" x14ac:dyDescent="0.2">
      <c r="A207" t="s">
        <v>375</v>
      </c>
      <c r="B207" s="1">
        <v>2007</v>
      </c>
      <c r="C207" s="1">
        <v>1</v>
      </c>
      <c r="D207" s="1">
        <v>14</v>
      </c>
      <c r="E207" t="s">
        <v>7</v>
      </c>
      <c r="G207" s="1">
        <v>1</v>
      </c>
      <c r="H207" s="11" t="str">
        <f t="shared" si="30"/>
        <v>2007_01_014.gif</v>
      </c>
      <c r="I207"/>
      <c r="J207"/>
      <c r="L207" s="1" t="b">
        <v>0</v>
      </c>
      <c r="M207" s="1">
        <v>0</v>
      </c>
      <c r="N207" s="1" t="s">
        <v>601</v>
      </c>
      <c r="O207" s="1">
        <v>490</v>
      </c>
      <c r="P207" s="12" t="s">
        <v>579</v>
      </c>
      <c r="Q207"/>
      <c r="R207" s="1" t="b">
        <f t="shared" si="31"/>
        <v>0</v>
      </c>
      <c r="S207"/>
      <c r="T207" s="1" t="b">
        <f t="shared" si="32"/>
        <v>0</v>
      </c>
      <c r="AX207" t="b">
        <v>1</v>
      </c>
    </row>
    <row r="208" spans="1:54" x14ac:dyDescent="0.2">
      <c r="A208" t="s">
        <v>380</v>
      </c>
      <c r="B208" s="1">
        <v>2007</v>
      </c>
      <c r="C208" s="1">
        <v>1</v>
      </c>
      <c r="D208" s="1">
        <v>19</v>
      </c>
      <c r="E208" t="s">
        <v>6</v>
      </c>
      <c r="G208" s="1">
        <v>2</v>
      </c>
      <c r="H208" s="11" t="str">
        <f t="shared" si="30"/>
        <v>2007_01_019.gif</v>
      </c>
      <c r="I208"/>
      <c r="J208"/>
      <c r="L208" s="1" t="b">
        <v>0</v>
      </c>
      <c r="M208" s="1">
        <v>0</v>
      </c>
      <c r="N208" s="1" t="s">
        <v>601</v>
      </c>
      <c r="O208" s="1">
        <v>495</v>
      </c>
      <c r="P208" s="12" t="s">
        <v>597</v>
      </c>
      <c r="Q208"/>
      <c r="R208" s="1" t="b">
        <f t="shared" si="31"/>
        <v>0</v>
      </c>
      <c r="S208"/>
      <c r="T208" s="1" t="b">
        <f t="shared" si="32"/>
        <v>0</v>
      </c>
      <c r="AW208" t="b">
        <v>1</v>
      </c>
    </row>
    <row r="209" spans="1:54" x14ac:dyDescent="0.2">
      <c r="A209" t="str">
        <f t="shared" ref="A209:A215" si="34">B209 &amp; "_" &amp; TEXT(C209,"00") &amp; "_" &amp; TEXT(D209,"000")</f>
        <v>2007_01_036</v>
      </c>
      <c r="B209" s="1">
        <v>2007</v>
      </c>
      <c r="C209" s="1">
        <v>1</v>
      </c>
      <c r="D209" s="1">
        <v>36</v>
      </c>
      <c r="E209" t="s">
        <v>2</v>
      </c>
      <c r="G209" s="1">
        <v>1</v>
      </c>
      <c r="H209" s="11" t="str">
        <f t="shared" si="30"/>
        <v>2007_01_036.gif</v>
      </c>
      <c r="I209"/>
      <c r="J209"/>
      <c r="L209" s="1" t="b">
        <v>0</v>
      </c>
      <c r="M209" s="1">
        <v>0</v>
      </c>
      <c r="N209" s="1" t="s">
        <v>657</v>
      </c>
      <c r="O209" s="1">
        <v>512</v>
      </c>
      <c r="P209" s="12" t="s">
        <v>553</v>
      </c>
      <c r="Q209"/>
      <c r="R209" s="1" t="b">
        <f t="shared" si="31"/>
        <v>0</v>
      </c>
      <c r="S209"/>
      <c r="T209" s="1" t="b">
        <f t="shared" si="32"/>
        <v>0</v>
      </c>
      <c r="W209" t="b">
        <v>1</v>
      </c>
    </row>
    <row r="210" spans="1:54" x14ac:dyDescent="0.2">
      <c r="A210" t="str">
        <f t="shared" si="34"/>
        <v>2007_01_037</v>
      </c>
      <c r="B210" s="1">
        <v>2007</v>
      </c>
      <c r="C210" s="1">
        <v>1</v>
      </c>
      <c r="D210" s="1">
        <v>37</v>
      </c>
      <c r="E210" t="s">
        <v>2</v>
      </c>
      <c r="G210" s="1">
        <v>4</v>
      </c>
      <c r="H210" s="11" t="str">
        <f t="shared" ref="H210:H238" si="35">HYPERLINK(A210&amp;".gif")</f>
        <v>2007_01_037.gif</v>
      </c>
      <c r="I210"/>
      <c r="J210"/>
      <c r="L210" s="1" t="b">
        <v>0</v>
      </c>
      <c r="M210" s="1">
        <v>0</v>
      </c>
      <c r="N210" s="1" t="s">
        <v>657</v>
      </c>
      <c r="O210" s="1">
        <v>513</v>
      </c>
      <c r="P210" s="12" t="s">
        <v>553</v>
      </c>
      <c r="Q210"/>
      <c r="R210" s="1" t="b">
        <f t="shared" ref="R210:R238" si="36">OR(S210:T210)</f>
        <v>0</v>
      </c>
      <c r="S210"/>
      <c r="T210" s="1" t="b">
        <f t="shared" ref="T210:T238" si="37">SUMPRODUCT(BC210:BZ210*1)&gt;0</f>
        <v>0</v>
      </c>
      <c r="W210" t="b">
        <v>1</v>
      </c>
    </row>
    <row r="211" spans="1:54" x14ac:dyDescent="0.2">
      <c r="A211" t="str">
        <f t="shared" si="34"/>
        <v>2007_01_038</v>
      </c>
      <c r="B211" s="1">
        <v>2007</v>
      </c>
      <c r="C211" s="1">
        <v>1</v>
      </c>
      <c r="D211" s="1">
        <v>38</v>
      </c>
      <c r="E211" t="s">
        <v>5</v>
      </c>
      <c r="G211" s="1">
        <v>2</v>
      </c>
      <c r="H211" s="11" t="str">
        <f t="shared" si="35"/>
        <v>2007_01_038.gif</v>
      </c>
      <c r="I211"/>
      <c r="J211"/>
      <c r="L211" s="1" t="b">
        <v>0</v>
      </c>
      <c r="M211" s="1">
        <v>0</v>
      </c>
      <c r="N211" s="1" t="s">
        <v>657</v>
      </c>
      <c r="O211" s="1">
        <v>514</v>
      </c>
      <c r="P211" s="12" t="s">
        <v>595</v>
      </c>
      <c r="Q211"/>
      <c r="R211" s="1" t="b">
        <f t="shared" si="36"/>
        <v>0</v>
      </c>
      <c r="S211"/>
      <c r="T211" s="1" t="b">
        <f t="shared" si="37"/>
        <v>0</v>
      </c>
      <c r="AS211" t="b">
        <v>1</v>
      </c>
    </row>
    <row r="212" spans="1:54" x14ac:dyDescent="0.2">
      <c r="A212" t="str">
        <f t="shared" si="34"/>
        <v>2007_01_039</v>
      </c>
      <c r="B212" s="1">
        <v>2007</v>
      </c>
      <c r="C212" s="1">
        <v>1</v>
      </c>
      <c r="D212" s="1">
        <v>39</v>
      </c>
      <c r="E212" t="s">
        <v>5</v>
      </c>
      <c r="G212" s="1">
        <v>1</v>
      </c>
      <c r="H212" s="11" t="str">
        <f t="shared" si="35"/>
        <v>2007_01_039.gif</v>
      </c>
      <c r="I212"/>
      <c r="J212"/>
      <c r="L212" s="1" t="b">
        <v>0</v>
      </c>
      <c r="M212" s="1">
        <v>0</v>
      </c>
      <c r="N212" s="1" t="s">
        <v>657</v>
      </c>
      <c r="O212" s="1">
        <v>515</v>
      </c>
      <c r="P212" s="12" t="s">
        <v>595</v>
      </c>
      <c r="Q212"/>
      <c r="R212" s="1" t="b">
        <f t="shared" si="36"/>
        <v>0</v>
      </c>
      <c r="S212"/>
      <c r="T212" s="1" t="b">
        <f t="shared" si="37"/>
        <v>0</v>
      </c>
      <c r="AS212" t="b">
        <v>1</v>
      </c>
    </row>
    <row r="213" spans="1:54" x14ac:dyDescent="0.2">
      <c r="A213" t="str">
        <f t="shared" si="34"/>
        <v>2007_01_044</v>
      </c>
      <c r="B213" s="1">
        <v>2007</v>
      </c>
      <c r="C213" s="1">
        <v>1</v>
      </c>
      <c r="D213" s="1">
        <v>44</v>
      </c>
      <c r="E213" t="s">
        <v>7</v>
      </c>
      <c r="G213" s="1">
        <v>3</v>
      </c>
      <c r="H213" s="11" t="str">
        <f t="shared" si="35"/>
        <v>2007_01_044.gif</v>
      </c>
      <c r="I213"/>
      <c r="J213"/>
      <c r="L213" s="1" t="b">
        <v>0</v>
      </c>
      <c r="M213" s="1">
        <v>0</v>
      </c>
      <c r="N213" s="1" t="s">
        <v>657</v>
      </c>
      <c r="O213" s="1">
        <v>520</v>
      </c>
      <c r="P213" s="12" t="s">
        <v>581</v>
      </c>
      <c r="Q213"/>
      <c r="R213" s="1" t="b">
        <f t="shared" si="36"/>
        <v>0</v>
      </c>
      <c r="S213"/>
      <c r="T213" s="1" t="b">
        <f t="shared" si="37"/>
        <v>0</v>
      </c>
      <c r="AY213" t="b">
        <v>1</v>
      </c>
    </row>
    <row r="214" spans="1:54" x14ac:dyDescent="0.2">
      <c r="A214" t="str">
        <f t="shared" si="34"/>
        <v>2007_01_045</v>
      </c>
      <c r="B214" s="1">
        <v>2007</v>
      </c>
      <c r="C214" s="1">
        <v>1</v>
      </c>
      <c r="D214" s="1">
        <v>45</v>
      </c>
      <c r="E214" t="s">
        <v>3</v>
      </c>
      <c r="F214" t="s">
        <v>7</v>
      </c>
      <c r="G214" s="1">
        <v>3</v>
      </c>
      <c r="H214" s="11" t="str">
        <f t="shared" si="35"/>
        <v>2007_01_045.gif</v>
      </c>
      <c r="I214"/>
      <c r="J214"/>
      <c r="L214" s="1" t="b">
        <v>0</v>
      </c>
      <c r="M214" s="1">
        <v>0</v>
      </c>
      <c r="N214" s="1" t="s">
        <v>657</v>
      </c>
      <c r="O214" s="1">
        <v>521</v>
      </c>
      <c r="P214" s="12" t="s">
        <v>684</v>
      </c>
      <c r="Q214"/>
      <c r="R214" s="1" t="b">
        <f t="shared" si="36"/>
        <v>0</v>
      </c>
      <c r="S214"/>
      <c r="T214" s="1" t="b">
        <f t="shared" si="37"/>
        <v>0</v>
      </c>
      <c r="AE214" t="b">
        <v>1</v>
      </c>
      <c r="BB214" t="b">
        <v>1</v>
      </c>
    </row>
    <row r="215" spans="1:54" x14ac:dyDescent="0.2">
      <c r="A215" t="str">
        <f t="shared" si="34"/>
        <v>2007_01_047</v>
      </c>
      <c r="B215" s="1">
        <v>2007</v>
      </c>
      <c r="C215" s="1">
        <v>1</v>
      </c>
      <c r="D215" s="1">
        <v>47</v>
      </c>
      <c r="E215" t="s">
        <v>1</v>
      </c>
      <c r="G215" s="1">
        <v>4</v>
      </c>
      <c r="H215" s="11" t="str">
        <f t="shared" si="35"/>
        <v>2007_01_047.gif</v>
      </c>
      <c r="I215"/>
      <c r="J215"/>
      <c r="L215" s="1" t="b">
        <v>0</v>
      </c>
      <c r="M215" s="1">
        <v>0</v>
      </c>
      <c r="N215" s="1" t="s">
        <v>657</v>
      </c>
      <c r="O215" s="1">
        <v>523</v>
      </c>
      <c r="P215" s="12" t="s">
        <v>0</v>
      </c>
      <c r="Q215"/>
      <c r="R215" s="1" t="b">
        <f t="shared" si="36"/>
        <v>0</v>
      </c>
      <c r="S215"/>
      <c r="T215" s="1" t="b">
        <f t="shared" si="37"/>
        <v>0</v>
      </c>
      <c r="V215" t="b">
        <v>1</v>
      </c>
    </row>
    <row r="216" spans="1:54" x14ac:dyDescent="0.2">
      <c r="A216" t="s">
        <v>397</v>
      </c>
      <c r="B216" s="1">
        <v>2007</v>
      </c>
      <c r="C216" s="1">
        <v>6</v>
      </c>
      <c r="D216" s="1">
        <v>1</v>
      </c>
      <c r="E216" t="s">
        <v>3</v>
      </c>
      <c r="G216" s="1">
        <v>1</v>
      </c>
      <c r="H216" s="11" t="str">
        <f t="shared" si="35"/>
        <v>2007_06_001.gif</v>
      </c>
      <c r="I216"/>
      <c r="J216"/>
      <c r="L216" s="1" t="b">
        <v>0</v>
      </c>
      <c r="M216" s="1">
        <v>0</v>
      </c>
      <c r="N216" s="1" t="s">
        <v>601</v>
      </c>
      <c r="O216" s="1">
        <v>528</v>
      </c>
      <c r="P216" s="12" t="s">
        <v>546</v>
      </c>
      <c r="Q216"/>
      <c r="R216" s="1" t="b">
        <f t="shared" si="36"/>
        <v>0</v>
      </c>
      <c r="S216"/>
      <c r="T216" s="1" t="b">
        <f t="shared" si="37"/>
        <v>0</v>
      </c>
      <c r="AF216" t="b">
        <v>1</v>
      </c>
    </row>
    <row r="217" spans="1:54" x14ac:dyDescent="0.2">
      <c r="A217" t="s">
        <v>398</v>
      </c>
      <c r="B217" s="1">
        <v>2007</v>
      </c>
      <c r="C217" s="1">
        <v>6</v>
      </c>
      <c r="D217" s="1">
        <v>2</v>
      </c>
      <c r="E217" t="s">
        <v>2</v>
      </c>
      <c r="G217" s="1">
        <v>1</v>
      </c>
      <c r="H217" s="11" t="str">
        <f t="shared" si="35"/>
        <v>2007_06_002.gif</v>
      </c>
      <c r="I217"/>
      <c r="J217"/>
      <c r="L217" s="1" t="b">
        <v>0</v>
      </c>
      <c r="M217" s="1">
        <v>0</v>
      </c>
      <c r="N217" s="1" t="s">
        <v>601</v>
      </c>
      <c r="O217" s="1">
        <v>529</v>
      </c>
      <c r="P217" s="12" t="s">
        <v>552</v>
      </c>
      <c r="Q217"/>
      <c r="R217" s="1" t="b">
        <f t="shared" si="36"/>
        <v>0</v>
      </c>
      <c r="S217"/>
      <c r="T217" s="1" t="b">
        <f t="shared" si="37"/>
        <v>0</v>
      </c>
      <c r="AC217" t="b">
        <v>1</v>
      </c>
    </row>
    <row r="218" spans="1:54" x14ac:dyDescent="0.2">
      <c r="A218" t="s">
        <v>399</v>
      </c>
      <c r="B218" s="1">
        <v>2007</v>
      </c>
      <c r="C218" s="1">
        <v>6</v>
      </c>
      <c r="D218" s="1">
        <v>3</v>
      </c>
      <c r="E218" t="s">
        <v>5</v>
      </c>
      <c r="G218" s="1">
        <v>2</v>
      </c>
      <c r="H218" s="11" t="str">
        <f t="shared" si="35"/>
        <v>2007_06_003.gif</v>
      </c>
      <c r="I218"/>
      <c r="J218"/>
      <c r="L218" s="1" t="b">
        <v>0</v>
      </c>
      <c r="M218" s="1">
        <v>0</v>
      </c>
      <c r="N218" s="1" t="s">
        <v>601</v>
      </c>
      <c r="O218" s="1">
        <v>530</v>
      </c>
      <c r="P218" s="12" t="s">
        <v>556</v>
      </c>
      <c r="Q218"/>
      <c r="R218" s="1" t="b">
        <f t="shared" si="36"/>
        <v>0</v>
      </c>
      <c r="S218"/>
      <c r="T218" s="1" t="b">
        <f t="shared" si="37"/>
        <v>0</v>
      </c>
      <c r="AT218" t="b">
        <v>1</v>
      </c>
    </row>
    <row r="219" spans="1:54" x14ac:dyDescent="0.2">
      <c r="A219" t="s">
        <v>400</v>
      </c>
      <c r="B219" s="1">
        <v>2007</v>
      </c>
      <c r="C219" s="1">
        <v>6</v>
      </c>
      <c r="D219" s="1">
        <v>4</v>
      </c>
      <c r="E219" t="s">
        <v>4</v>
      </c>
      <c r="G219" s="1">
        <v>4</v>
      </c>
      <c r="H219" s="11" t="str">
        <f t="shared" si="35"/>
        <v>2007_06_004.gif</v>
      </c>
      <c r="I219"/>
      <c r="J219"/>
      <c r="L219" s="1" t="b">
        <v>0</v>
      </c>
      <c r="M219" s="1">
        <v>0</v>
      </c>
      <c r="N219" s="1" t="s">
        <v>601</v>
      </c>
      <c r="O219" s="1">
        <v>531</v>
      </c>
      <c r="P219" s="12" t="s">
        <v>592</v>
      </c>
      <c r="Q219"/>
      <c r="R219" s="1" t="b">
        <f t="shared" si="36"/>
        <v>0</v>
      </c>
      <c r="S219"/>
      <c r="T219" s="1" t="b">
        <f t="shared" si="37"/>
        <v>0</v>
      </c>
      <c r="AL219" t="b">
        <v>1</v>
      </c>
    </row>
    <row r="220" spans="1:54" x14ac:dyDescent="0.2">
      <c r="A220" t="s">
        <v>401</v>
      </c>
      <c r="B220" s="1">
        <v>2007</v>
      </c>
      <c r="C220" s="1">
        <v>6</v>
      </c>
      <c r="D220" s="1">
        <v>5</v>
      </c>
      <c r="E220" t="s">
        <v>3</v>
      </c>
      <c r="G220" s="1">
        <v>2</v>
      </c>
      <c r="H220" s="11" t="str">
        <f t="shared" si="35"/>
        <v>2007_06_005.gif</v>
      </c>
      <c r="I220"/>
      <c r="J220"/>
      <c r="L220" s="1" t="b">
        <v>0</v>
      </c>
      <c r="M220" s="1">
        <v>0</v>
      </c>
      <c r="N220" s="1" t="s">
        <v>601</v>
      </c>
      <c r="O220" s="1">
        <v>532</v>
      </c>
      <c r="P220" s="12" t="s">
        <v>549</v>
      </c>
      <c r="Q220"/>
      <c r="R220" s="1" t="b">
        <f t="shared" si="36"/>
        <v>0</v>
      </c>
      <c r="S220"/>
      <c r="T220" s="1" t="b">
        <f t="shared" si="37"/>
        <v>0</v>
      </c>
      <c r="AD220" t="b">
        <v>1</v>
      </c>
      <c r="AE220" t="b">
        <v>0</v>
      </c>
    </row>
    <row r="221" spans="1:54" x14ac:dyDescent="0.2">
      <c r="A221" t="s">
        <v>402</v>
      </c>
      <c r="B221" s="1">
        <v>2007</v>
      </c>
      <c r="C221" s="1">
        <v>6</v>
      </c>
      <c r="D221" s="1">
        <v>6</v>
      </c>
      <c r="E221" t="s">
        <v>2</v>
      </c>
      <c r="G221" s="1">
        <v>2</v>
      </c>
      <c r="H221" s="11" t="str">
        <f t="shared" si="35"/>
        <v>2007_06_006.gif</v>
      </c>
      <c r="I221"/>
      <c r="J221"/>
      <c r="L221" s="1" t="b">
        <v>0</v>
      </c>
      <c r="M221" s="1">
        <v>0</v>
      </c>
      <c r="N221" s="1" t="s">
        <v>601</v>
      </c>
      <c r="O221" s="1">
        <v>533</v>
      </c>
      <c r="P221" s="12" t="s">
        <v>594</v>
      </c>
      <c r="Q221"/>
      <c r="R221" s="1" t="b">
        <f t="shared" si="36"/>
        <v>0</v>
      </c>
      <c r="S221"/>
      <c r="T221" s="1" t="b">
        <f t="shared" si="37"/>
        <v>0</v>
      </c>
      <c r="Z221" t="b">
        <v>1</v>
      </c>
    </row>
    <row r="222" spans="1:54" x14ac:dyDescent="0.2">
      <c r="A222" t="s">
        <v>403</v>
      </c>
      <c r="B222" s="1">
        <v>2007</v>
      </c>
      <c r="C222" s="1">
        <v>6</v>
      </c>
      <c r="D222" s="1">
        <v>7</v>
      </c>
      <c r="E222" t="s">
        <v>5</v>
      </c>
      <c r="G222" s="1">
        <v>2</v>
      </c>
      <c r="H222" s="11" t="str">
        <f t="shared" si="35"/>
        <v>2007_06_007.gif</v>
      </c>
      <c r="I222"/>
      <c r="J222"/>
      <c r="L222" s="1" t="b">
        <v>0</v>
      </c>
      <c r="M222" s="1">
        <v>0</v>
      </c>
      <c r="N222" s="1" t="s">
        <v>601</v>
      </c>
      <c r="O222" s="1">
        <v>534</v>
      </c>
      <c r="P222" s="12" t="s">
        <v>577</v>
      </c>
      <c r="Q222"/>
      <c r="R222" s="1" t="b">
        <f t="shared" si="36"/>
        <v>0</v>
      </c>
      <c r="S222"/>
      <c r="T222" s="1" t="b">
        <f t="shared" si="37"/>
        <v>0</v>
      </c>
      <c r="AP222" t="b">
        <v>1</v>
      </c>
    </row>
    <row r="223" spans="1:54" x14ac:dyDescent="0.2">
      <c r="A223" t="s">
        <v>404</v>
      </c>
      <c r="B223" s="1">
        <v>2007</v>
      </c>
      <c r="C223" s="1">
        <v>6</v>
      </c>
      <c r="D223" s="1">
        <v>8</v>
      </c>
      <c r="E223" t="s">
        <v>4</v>
      </c>
      <c r="G223" s="1">
        <v>4</v>
      </c>
      <c r="H223" s="11" t="str">
        <f t="shared" si="35"/>
        <v>2007_06_008.gif</v>
      </c>
      <c r="I223"/>
      <c r="J223"/>
      <c r="L223" s="1" t="b">
        <v>0</v>
      </c>
      <c r="M223" s="1">
        <v>0</v>
      </c>
      <c r="N223" s="1" t="s">
        <v>601</v>
      </c>
      <c r="O223" s="1">
        <v>535</v>
      </c>
      <c r="P223" s="12" t="s">
        <v>593</v>
      </c>
      <c r="Q223"/>
      <c r="R223" s="1" t="b">
        <f t="shared" si="36"/>
        <v>0</v>
      </c>
      <c r="S223"/>
      <c r="T223" s="1" t="b">
        <f t="shared" si="37"/>
        <v>0</v>
      </c>
      <c r="AM223" t="b">
        <v>1</v>
      </c>
    </row>
    <row r="224" spans="1:54" x14ac:dyDescent="0.2">
      <c r="A224" t="s">
        <v>405</v>
      </c>
      <c r="B224" s="1">
        <v>2007</v>
      </c>
      <c r="C224" s="1">
        <v>6</v>
      </c>
      <c r="D224" s="1">
        <v>9</v>
      </c>
      <c r="E224" t="s">
        <v>6</v>
      </c>
      <c r="G224" s="1">
        <v>3</v>
      </c>
      <c r="H224" s="11" t="str">
        <f t="shared" si="35"/>
        <v>2007_06_009.gif</v>
      </c>
      <c r="I224"/>
      <c r="J224"/>
      <c r="L224" s="1" t="b">
        <v>0</v>
      </c>
      <c r="M224" s="1">
        <v>0</v>
      </c>
      <c r="N224" s="1" t="s">
        <v>601</v>
      </c>
      <c r="O224" s="1">
        <v>536</v>
      </c>
      <c r="P224" s="12" t="s">
        <v>558</v>
      </c>
      <c r="Q224"/>
      <c r="R224" s="1" t="b">
        <f t="shared" si="36"/>
        <v>0</v>
      </c>
      <c r="S224"/>
      <c r="T224" s="1" t="b">
        <f t="shared" si="37"/>
        <v>0</v>
      </c>
      <c r="AV224" t="b">
        <v>1</v>
      </c>
    </row>
    <row r="225" spans="1:54" x14ac:dyDescent="0.2">
      <c r="A225" t="s">
        <v>407</v>
      </c>
      <c r="B225" s="1">
        <v>2007</v>
      </c>
      <c r="C225" s="1">
        <v>6</v>
      </c>
      <c r="D225" s="1">
        <v>11</v>
      </c>
      <c r="E225" t="s">
        <v>7</v>
      </c>
      <c r="G225" s="1">
        <v>4</v>
      </c>
      <c r="H225" s="11" t="str">
        <f t="shared" si="35"/>
        <v>2007_06_011.gif</v>
      </c>
      <c r="I225"/>
      <c r="J225"/>
      <c r="L225" s="1" t="b">
        <v>0</v>
      </c>
      <c r="M225" s="1">
        <v>0</v>
      </c>
      <c r="N225" s="1" t="s">
        <v>601</v>
      </c>
      <c r="O225" s="1">
        <v>538</v>
      </c>
      <c r="P225" s="12" t="s">
        <v>559</v>
      </c>
      <c r="Q225"/>
      <c r="R225" s="1" t="b">
        <f t="shared" si="36"/>
        <v>0</v>
      </c>
      <c r="S225"/>
      <c r="T225" s="1" t="b">
        <f t="shared" si="37"/>
        <v>0</v>
      </c>
      <c r="AZ225" t="b">
        <v>1</v>
      </c>
    </row>
    <row r="226" spans="1:54" x14ac:dyDescent="0.2">
      <c r="A226" t="s">
        <v>408</v>
      </c>
      <c r="B226" s="1">
        <v>2007</v>
      </c>
      <c r="C226" s="1">
        <v>6</v>
      </c>
      <c r="D226" s="1">
        <v>12</v>
      </c>
      <c r="E226" t="s">
        <v>7</v>
      </c>
      <c r="G226" s="1">
        <v>3</v>
      </c>
      <c r="H226" s="11" t="str">
        <f t="shared" si="35"/>
        <v>2007_06_012.gif</v>
      </c>
      <c r="I226"/>
      <c r="J226"/>
      <c r="L226" s="1" t="b">
        <v>0</v>
      </c>
      <c r="M226" s="1">
        <v>0</v>
      </c>
      <c r="N226" s="1" t="s">
        <v>601</v>
      </c>
      <c r="O226" s="1">
        <v>539</v>
      </c>
      <c r="P226" s="12" t="s">
        <v>587</v>
      </c>
      <c r="Q226"/>
      <c r="R226" s="1" t="b">
        <f t="shared" si="36"/>
        <v>0</v>
      </c>
      <c r="S226"/>
      <c r="T226" s="1" t="b">
        <f t="shared" si="37"/>
        <v>0</v>
      </c>
      <c r="BB226" t="b">
        <v>1</v>
      </c>
    </row>
    <row r="227" spans="1:54" x14ac:dyDescent="0.2">
      <c r="A227" t="s">
        <v>409</v>
      </c>
      <c r="B227" s="1">
        <v>2007</v>
      </c>
      <c r="C227" s="1">
        <v>6</v>
      </c>
      <c r="D227" s="1">
        <v>13</v>
      </c>
      <c r="E227" t="s">
        <v>7</v>
      </c>
      <c r="G227" s="1">
        <v>2</v>
      </c>
      <c r="H227" s="11" t="str">
        <f t="shared" si="35"/>
        <v>2007_06_013.gif</v>
      </c>
      <c r="I227"/>
      <c r="J227"/>
      <c r="L227" s="1" t="b">
        <v>0</v>
      </c>
      <c r="M227" s="1">
        <v>0</v>
      </c>
      <c r="N227" s="1" t="s">
        <v>601</v>
      </c>
      <c r="O227" s="1">
        <v>540</v>
      </c>
      <c r="P227" s="12" t="s">
        <v>587</v>
      </c>
      <c r="Q227"/>
      <c r="R227" s="1" t="b">
        <f t="shared" si="36"/>
        <v>0</v>
      </c>
      <c r="S227"/>
      <c r="T227" s="1" t="b">
        <f t="shared" si="37"/>
        <v>0</v>
      </c>
      <c r="BB227" t="b">
        <v>1</v>
      </c>
    </row>
    <row r="228" spans="1:54" x14ac:dyDescent="0.2">
      <c r="A228" t="s">
        <v>410</v>
      </c>
      <c r="B228" s="1">
        <v>2007</v>
      </c>
      <c r="C228" s="1">
        <v>6</v>
      </c>
      <c r="D228" s="1">
        <v>14</v>
      </c>
      <c r="E228" t="s">
        <v>5</v>
      </c>
      <c r="G228" s="1">
        <v>3</v>
      </c>
      <c r="H228" s="11" t="str">
        <f t="shared" si="35"/>
        <v>2007_06_014.gif</v>
      </c>
      <c r="I228"/>
      <c r="J228"/>
      <c r="L228" s="1" t="b">
        <v>0</v>
      </c>
      <c r="M228" s="1">
        <v>0</v>
      </c>
      <c r="N228" s="1" t="s">
        <v>601</v>
      </c>
      <c r="O228" s="1">
        <v>541</v>
      </c>
      <c r="P228" s="12" t="s">
        <v>578</v>
      </c>
      <c r="Q228"/>
      <c r="R228" s="1" t="b">
        <f t="shared" si="36"/>
        <v>0</v>
      </c>
      <c r="S228"/>
      <c r="T228" s="1" t="b">
        <f t="shared" si="37"/>
        <v>0</v>
      </c>
      <c r="AQ228" t="b">
        <v>1</v>
      </c>
    </row>
    <row r="229" spans="1:54" x14ac:dyDescent="0.2">
      <c r="A229" t="str">
        <f t="shared" ref="A229:A235" si="38">B229 &amp; "_" &amp; TEXT(C229,"00") &amp; "_" &amp; TEXT(D229,"000")</f>
        <v>2007_06_036</v>
      </c>
      <c r="B229" s="1">
        <v>2007</v>
      </c>
      <c r="C229" s="1">
        <v>6</v>
      </c>
      <c r="D229" s="1">
        <v>36</v>
      </c>
      <c r="E229" t="s">
        <v>1</v>
      </c>
      <c r="G229" s="1">
        <v>2</v>
      </c>
      <c r="H229" s="11" t="str">
        <f t="shared" si="35"/>
        <v>2007_06_036.gif</v>
      </c>
      <c r="I229"/>
      <c r="J229"/>
      <c r="L229" s="1" t="b">
        <v>0</v>
      </c>
      <c r="M229" s="1">
        <v>0</v>
      </c>
      <c r="N229" s="1" t="s">
        <v>657</v>
      </c>
      <c r="O229" s="1">
        <v>563</v>
      </c>
      <c r="P229" s="12" t="s">
        <v>547</v>
      </c>
      <c r="Q229"/>
      <c r="R229" s="1" t="b">
        <f t="shared" si="36"/>
        <v>0</v>
      </c>
      <c r="S229"/>
      <c r="T229" s="1" t="b">
        <f t="shared" si="37"/>
        <v>0</v>
      </c>
      <c r="U229" t="b">
        <v>1</v>
      </c>
    </row>
    <row r="230" spans="1:54" x14ac:dyDescent="0.2">
      <c r="A230" t="str">
        <f t="shared" si="38"/>
        <v>2007_06_037</v>
      </c>
      <c r="B230" s="1">
        <v>2007</v>
      </c>
      <c r="C230" s="1">
        <v>6</v>
      </c>
      <c r="D230" s="1">
        <v>37</v>
      </c>
      <c r="E230" t="s">
        <v>1</v>
      </c>
      <c r="G230" s="1">
        <v>1</v>
      </c>
      <c r="H230" s="11" t="str">
        <f t="shared" si="35"/>
        <v>2007_06_037.gif</v>
      </c>
      <c r="I230"/>
      <c r="J230"/>
      <c r="L230" s="1" t="b">
        <v>0</v>
      </c>
      <c r="M230" s="1">
        <v>0</v>
      </c>
      <c r="N230" s="1" t="s">
        <v>657</v>
      </c>
      <c r="O230" s="1">
        <v>564</v>
      </c>
      <c r="P230" s="12" t="s">
        <v>0</v>
      </c>
      <c r="Q230"/>
      <c r="R230" s="1" t="b">
        <f t="shared" si="36"/>
        <v>0</v>
      </c>
      <c r="S230"/>
      <c r="T230" s="1" t="b">
        <f t="shared" si="37"/>
        <v>0</v>
      </c>
      <c r="V230" t="b">
        <v>1</v>
      </c>
    </row>
    <row r="231" spans="1:54" x14ac:dyDescent="0.2">
      <c r="A231" t="str">
        <f t="shared" si="38"/>
        <v>2007_06_038</v>
      </c>
      <c r="B231" s="1">
        <v>2007</v>
      </c>
      <c r="C231" s="1">
        <v>6</v>
      </c>
      <c r="D231" s="1">
        <v>38</v>
      </c>
      <c r="E231" t="s">
        <v>3</v>
      </c>
      <c r="G231" s="1">
        <v>2</v>
      </c>
      <c r="H231" s="11" t="str">
        <f t="shared" si="35"/>
        <v>2007_06_038.gif</v>
      </c>
      <c r="I231"/>
      <c r="J231"/>
      <c r="L231" s="1" t="b">
        <v>0</v>
      </c>
      <c r="M231" s="1">
        <v>0</v>
      </c>
      <c r="N231" s="1" t="s">
        <v>657</v>
      </c>
      <c r="O231" s="1">
        <v>565</v>
      </c>
      <c r="P231" s="12" t="s">
        <v>549</v>
      </c>
      <c r="Q231"/>
      <c r="R231" s="1" t="b">
        <f t="shared" si="36"/>
        <v>0</v>
      </c>
      <c r="S231"/>
      <c r="T231" s="1" t="b">
        <f t="shared" si="37"/>
        <v>0</v>
      </c>
      <c r="AD231" t="b">
        <v>1</v>
      </c>
      <c r="AE231" t="b">
        <v>0</v>
      </c>
    </row>
    <row r="232" spans="1:54" x14ac:dyDescent="0.2">
      <c r="A232" t="str">
        <f t="shared" si="38"/>
        <v>2007_06_039</v>
      </c>
      <c r="B232" s="1">
        <v>2007</v>
      </c>
      <c r="C232" s="1">
        <v>6</v>
      </c>
      <c r="D232" s="1">
        <v>39</v>
      </c>
      <c r="E232" t="s">
        <v>2</v>
      </c>
      <c r="G232" s="1">
        <v>3</v>
      </c>
      <c r="H232" s="11" t="str">
        <f t="shared" si="35"/>
        <v>2007_06_039.gif</v>
      </c>
      <c r="I232"/>
      <c r="J232"/>
      <c r="L232" s="1" t="b">
        <v>0</v>
      </c>
      <c r="M232" s="1">
        <v>0</v>
      </c>
      <c r="N232" s="1" t="s">
        <v>657</v>
      </c>
      <c r="O232" s="1">
        <v>566</v>
      </c>
      <c r="P232" s="12" t="s">
        <v>594</v>
      </c>
      <c r="Q232"/>
      <c r="R232" s="1" t="b">
        <f t="shared" si="36"/>
        <v>0</v>
      </c>
      <c r="S232"/>
      <c r="T232" s="1" t="b">
        <f t="shared" si="37"/>
        <v>0</v>
      </c>
      <c r="W232" t="b">
        <v>0</v>
      </c>
      <c r="Z232" t="b">
        <v>1</v>
      </c>
    </row>
    <row r="233" spans="1:54" x14ac:dyDescent="0.2">
      <c r="A233" t="str">
        <f t="shared" si="38"/>
        <v>2007_06_040</v>
      </c>
      <c r="B233" s="1">
        <v>2007</v>
      </c>
      <c r="C233" s="1">
        <v>6</v>
      </c>
      <c r="D233" s="1">
        <v>40</v>
      </c>
      <c r="E233" t="s">
        <v>2</v>
      </c>
      <c r="G233" s="1">
        <v>3</v>
      </c>
      <c r="H233" s="11" t="str">
        <f t="shared" si="35"/>
        <v>2007_06_040.gif</v>
      </c>
      <c r="I233"/>
      <c r="J233"/>
      <c r="L233" s="1" t="b">
        <v>0</v>
      </c>
      <c r="M233" s="1">
        <v>0</v>
      </c>
      <c r="N233" s="1" t="s">
        <v>657</v>
      </c>
      <c r="O233" s="1">
        <v>567</v>
      </c>
      <c r="P233" s="12" t="s">
        <v>551</v>
      </c>
      <c r="Q233"/>
      <c r="R233" s="1" t="b">
        <f t="shared" si="36"/>
        <v>0</v>
      </c>
      <c r="S233"/>
      <c r="T233" s="1" t="b">
        <f t="shared" si="37"/>
        <v>0</v>
      </c>
      <c r="AB233" t="b">
        <v>1</v>
      </c>
    </row>
    <row r="234" spans="1:54" x14ac:dyDescent="0.2">
      <c r="A234" t="str">
        <f t="shared" si="38"/>
        <v>2007_06_041</v>
      </c>
      <c r="B234" s="1">
        <v>2007</v>
      </c>
      <c r="C234" s="1">
        <v>6</v>
      </c>
      <c r="D234" s="1">
        <v>41</v>
      </c>
      <c r="E234" t="s">
        <v>2</v>
      </c>
      <c r="G234" s="1">
        <v>4</v>
      </c>
      <c r="H234" s="11" t="str">
        <f t="shared" si="35"/>
        <v>2007_06_041.gif</v>
      </c>
      <c r="I234"/>
      <c r="J234"/>
      <c r="L234" s="1" t="b">
        <v>0</v>
      </c>
      <c r="M234" s="1">
        <v>0</v>
      </c>
      <c r="N234" s="1" t="s">
        <v>657</v>
      </c>
      <c r="O234" s="1">
        <v>568</v>
      </c>
      <c r="P234" s="12" t="s">
        <v>553</v>
      </c>
      <c r="Q234"/>
      <c r="R234" s="1" t="b">
        <f t="shared" si="36"/>
        <v>0</v>
      </c>
      <c r="S234"/>
      <c r="T234" s="1" t="b">
        <f t="shared" si="37"/>
        <v>0</v>
      </c>
      <c r="W234" t="b">
        <v>1</v>
      </c>
    </row>
    <row r="235" spans="1:54" x14ac:dyDescent="0.2">
      <c r="A235" t="str">
        <f t="shared" si="38"/>
        <v>2007_06_042</v>
      </c>
      <c r="B235" s="1">
        <v>2007</v>
      </c>
      <c r="C235" s="1">
        <v>6</v>
      </c>
      <c r="D235" s="1">
        <v>42</v>
      </c>
      <c r="E235" t="s">
        <v>6</v>
      </c>
      <c r="G235" s="1">
        <v>2</v>
      </c>
      <c r="H235" s="11" t="str">
        <f t="shared" si="35"/>
        <v>2007_06_042.gif</v>
      </c>
      <c r="I235"/>
      <c r="J235"/>
      <c r="L235" s="1" t="b">
        <v>0</v>
      </c>
      <c r="M235" s="1">
        <v>0</v>
      </c>
      <c r="N235" s="1" t="s">
        <v>657</v>
      </c>
      <c r="O235" s="1">
        <v>569</v>
      </c>
      <c r="P235" s="12" t="s">
        <v>580</v>
      </c>
      <c r="Q235"/>
      <c r="R235" s="1" t="b">
        <f t="shared" si="36"/>
        <v>0</v>
      </c>
      <c r="S235"/>
      <c r="T235" s="1" t="b">
        <f t="shared" si="37"/>
        <v>0</v>
      </c>
      <c r="AU235" t="b">
        <v>1</v>
      </c>
    </row>
    <row r="236" spans="1:54" x14ac:dyDescent="0.2">
      <c r="A236" t="s">
        <v>432</v>
      </c>
      <c r="B236" s="1">
        <v>2008</v>
      </c>
      <c r="C236" s="1">
        <v>1</v>
      </c>
      <c r="D236" s="1">
        <v>1</v>
      </c>
      <c r="E236" t="s">
        <v>3</v>
      </c>
      <c r="G236" s="1">
        <v>4</v>
      </c>
      <c r="H236" s="11" t="str">
        <f t="shared" si="35"/>
        <v>2008_01_001.gif</v>
      </c>
      <c r="I236"/>
      <c r="J236"/>
      <c r="L236" s="1" t="b">
        <v>0</v>
      </c>
      <c r="M236" s="1">
        <v>0</v>
      </c>
      <c r="N236" s="1" t="s">
        <v>601</v>
      </c>
      <c r="O236" s="1">
        <v>574</v>
      </c>
      <c r="P236" s="12" t="s">
        <v>546</v>
      </c>
      <c r="Q236"/>
      <c r="R236" s="1" t="b">
        <f t="shared" si="36"/>
        <v>0</v>
      </c>
      <c r="S236"/>
      <c r="T236" s="1" t="b">
        <f t="shared" si="37"/>
        <v>0</v>
      </c>
      <c r="AF236" t="b">
        <v>1</v>
      </c>
    </row>
    <row r="237" spans="1:54" x14ac:dyDescent="0.2">
      <c r="A237" t="s">
        <v>433</v>
      </c>
      <c r="B237" s="1">
        <v>2008</v>
      </c>
      <c r="C237" s="1">
        <v>1</v>
      </c>
      <c r="D237" s="1">
        <v>2</v>
      </c>
      <c r="E237" t="s">
        <v>2</v>
      </c>
      <c r="G237" s="1">
        <v>3</v>
      </c>
      <c r="H237" s="11" t="str">
        <f t="shared" si="35"/>
        <v>2008_01_002.gif</v>
      </c>
      <c r="I237"/>
      <c r="J237"/>
      <c r="L237" s="1" t="b">
        <v>0</v>
      </c>
      <c r="M237" s="1">
        <v>0</v>
      </c>
      <c r="N237" s="1" t="s">
        <v>601</v>
      </c>
      <c r="O237" s="1">
        <v>575</v>
      </c>
      <c r="P237" s="12" t="s">
        <v>551</v>
      </c>
      <c r="Q237"/>
      <c r="R237" s="1" t="b">
        <f t="shared" si="36"/>
        <v>0</v>
      </c>
      <c r="S237"/>
      <c r="T237" s="1" t="b">
        <f t="shared" si="37"/>
        <v>0</v>
      </c>
      <c r="AB237" t="b">
        <v>1</v>
      </c>
    </row>
    <row r="238" spans="1:54" x14ac:dyDescent="0.2">
      <c r="A238" t="s">
        <v>434</v>
      </c>
      <c r="B238" s="1">
        <v>2008</v>
      </c>
      <c r="C238" s="1">
        <v>1</v>
      </c>
      <c r="D238" s="1">
        <v>3</v>
      </c>
      <c r="E238" t="s">
        <v>2</v>
      </c>
      <c r="G238" s="1">
        <v>2</v>
      </c>
      <c r="H238" s="11" t="str">
        <f t="shared" si="35"/>
        <v>2008_01_003.gif</v>
      </c>
      <c r="I238"/>
      <c r="J238"/>
      <c r="L238" s="1" t="b">
        <v>0</v>
      </c>
      <c r="M238" s="1">
        <v>0</v>
      </c>
      <c r="N238" s="1" t="s">
        <v>601</v>
      </c>
      <c r="O238" s="1">
        <v>576</v>
      </c>
      <c r="P238" s="12" t="s">
        <v>552</v>
      </c>
      <c r="Q238"/>
      <c r="R238" s="1" t="b">
        <f t="shared" si="36"/>
        <v>0</v>
      </c>
      <c r="S238"/>
      <c r="T238" s="1" t="b">
        <f t="shared" si="37"/>
        <v>0</v>
      </c>
      <c r="AC238" t="b">
        <v>1</v>
      </c>
    </row>
    <row r="239" spans="1:54" x14ac:dyDescent="0.2">
      <c r="A239" t="s">
        <v>435</v>
      </c>
      <c r="B239" s="1">
        <v>2008</v>
      </c>
      <c r="C239" s="1">
        <v>1</v>
      </c>
      <c r="D239" s="1">
        <v>4</v>
      </c>
      <c r="E239" t="s">
        <v>3</v>
      </c>
      <c r="F239" t="s">
        <v>4</v>
      </c>
      <c r="G239" s="1">
        <v>2</v>
      </c>
      <c r="H239" s="11" t="str">
        <f t="shared" ref="H239:H272" si="39">HYPERLINK(A239&amp;".gif")</f>
        <v>2008_01_004.gif</v>
      </c>
      <c r="I239"/>
      <c r="J239"/>
      <c r="L239" s="1" t="b">
        <v>0</v>
      </c>
      <c r="M239" s="1">
        <v>0</v>
      </c>
      <c r="N239" s="1" t="s">
        <v>601</v>
      </c>
      <c r="O239" s="1">
        <v>577</v>
      </c>
      <c r="P239" s="12" t="s">
        <v>676</v>
      </c>
      <c r="Q239"/>
      <c r="R239" s="1" t="b">
        <f t="shared" ref="R239:R272" si="40">OR(S239:T239)</f>
        <v>0</v>
      </c>
      <c r="S239"/>
      <c r="T239" s="1" t="b">
        <f t="shared" ref="T239:T272" si="41">SUMPRODUCT(BC239:BZ239*1)&gt;0</f>
        <v>0</v>
      </c>
      <c r="AE239" t="b">
        <v>1</v>
      </c>
      <c r="AH239" t="b">
        <v>1</v>
      </c>
    </row>
    <row r="240" spans="1:54" x14ac:dyDescent="0.2">
      <c r="A240" t="s">
        <v>436</v>
      </c>
      <c r="B240" s="1">
        <v>2008</v>
      </c>
      <c r="C240" s="1">
        <v>1</v>
      </c>
      <c r="D240" s="1">
        <v>5</v>
      </c>
      <c r="E240" t="s">
        <v>5</v>
      </c>
      <c r="G240" s="1">
        <v>4</v>
      </c>
      <c r="H240" s="11" t="str">
        <f t="shared" si="39"/>
        <v>2008_01_005.gif</v>
      </c>
      <c r="I240"/>
      <c r="J240"/>
      <c r="L240" s="1" t="b">
        <v>0</v>
      </c>
      <c r="M240" s="1">
        <v>0</v>
      </c>
      <c r="N240" s="1" t="s">
        <v>601</v>
      </c>
      <c r="O240" s="1">
        <v>578</v>
      </c>
      <c r="P240" s="12" t="s">
        <v>596</v>
      </c>
      <c r="Q240"/>
      <c r="R240" s="1" t="b">
        <f t="shared" si="40"/>
        <v>0</v>
      </c>
      <c r="S240"/>
      <c r="T240" s="1" t="b">
        <f t="shared" si="41"/>
        <v>0</v>
      </c>
      <c r="AR240" t="b">
        <v>1</v>
      </c>
    </row>
    <row r="241" spans="1:54" x14ac:dyDescent="0.2">
      <c r="A241" t="s">
        <v>437</v>
      </c>
      <c r="B241" s="1">
        <v>2008</v>
      </c>
      <c r="C241" s="1">
        <v>1</v>
      </c>
      <c r="D241" s="1">
        <v>6</v>
      </c>
      <c r="E241" t="s">
        <v>5</v>
      </c>
      <c r="G241" s="1">
        <v>4</v>
      </c>
      <c r="H241" s="11" t="str">
        <f t="shared" si="39"/>
        <v>2008_01_006.gif</v>
      </c>
      <c r="I241"/>
      <c r="J241"/>
      <c r="L241" s="1" t="b">
        <v>0</v>
      </c>
      <c r="M241" s="1">
        <v>0</v>
      </c>
      <c r="N241" s="1" t="s">
        <v>601</v>
      </c>
      <c r="O241" s="1">
        <v>579</v>
      </c>
      <c r="P241" s="12" t="s">
        <v>556</v>
      </c>
      <c r="Q241"/>
      <c r="R241" s="1" t="b">
        <f t="shared" si="40"/>
        <v>0</v>
      </c>
      <c r="S241"/>
      <c r="T241" s="1" t="b">
        <f t="shared" si="41"/>
        <v>0</v>
      </c>
      <c r="AT241" t="b">
        <v>1</v>
      </c>
    </row>
    <row r="242" spans="1:54" x14ac:dyDescent="0.2">
      <c r="A242" t="s">
        <v>438</v>
      </c>
      <c r="B242" s="1">
        <v>2008</v>
      </c>
      <c r="C242" s="1">
        <v>1</v>
      </c>
      <c r="D242" s="1">
        <v>7</v>
      </c>
      <c r="E242" t="s">
        <v>4</v>
      </c>
      <c r="G242" s="1">
        <v>2</v>
      </c>
      <c r="H242" s="11" t="str">
        <f t="shared" si="39"/>
        <v>2008_01_007.gif</v>
      </c>
      <c r="I242"/>
      <c r="J242"/>
      <c r="L242" s="1" t="b">
        <v>0</v>
      </c>
      <c r="M242" s="1">
        <v>0</v>
      </c>
      <c r="N242" s="1" t="s">
        <v>601</v>
      </c>
      <c r="O242" s="1">
        <v>580</v>
      </c>
      <c r="P242" s="12" t="s">
        <v>555</v>
      </c>
      <c r="Q242"/>
      <c r="R242" s="1" t="b">
        <f t="shared" si="40"/>
        <v>0</v>
      </c>
      <c r="S242"/>
      <c r="T242" s="1" t="b">
        <f t="shared" si="41"/>
        <v>0</v>
      </c>
      <c r="AJ242" t="b">
        <v>1</v>
      </c>
    </row>
    <row r="243" spans="1:54" x14ac:dyDescent="0.2">
      <c r="A243" t="s">
        <v>439</v>
      </c>
      <c r="B243" s="1">
        <v>2008</v>
      </c>
      <c r="C243" s="1">
        <v>1</v>
      </c>
      <c r="D243" s="1">
        <v>8</v>
      </c>
      <c r="E243" t="s">
        <v>3</v>
      </c>
      <c r="G243" s="1">
        <v>4</v>
      </c>
      <c r="H243" s="11" t="str">
        <f t="shared" si="39"/>
        <v>2008_01_008.gif</v>
      </c>
      <c r="I243"/>
      <c r="J243"/>
      <c r="L243" s="1" t="b">
        <v>0</v>
      </c>
      <c r="M243" s="1">
        <v>0</v>
      </c>
      <c r="N243" s="1" t="s">
        <v>601</v>
      </c>
      <c r="O243" s="1">
        <v>581</v>
      </c>
      <c r="P243" s="12" t="s">
        <v>549</v>
      </c>
      <c r="Q243"/>
      <c r="R243" s="1" t="b">
        <f t="shared" si="40"/>
        <v>0</v>
      </c>
      <c r="S243"/>
      <c r="T243" s="1" t="b">
        <f t="shared" si="41"/>
        <v>0</v>
      </c>
      <c r="AD243" t="b">
        <v>1</v>
      </c>
    </row>
    <row r="244" spans="1:54" x14ac:dyDescent="0.2">
      <c r="A244" t="s">
        <v>440</v>
      </c>
      <c r="B244" s="1">
        <v>2008</v>
      </c>
      <c r="C244" s="1">
        <v>1</v>
      </c>
      <c r="D244" s="1">
        <v>9</v>
      </c>
      <c r="E244" t="s">
        <v>5</v>
      </c>
      <c r="G244" s="1">
        <v>1</v>
      </c>
      <c r="H244" s="11" t="str">
        <f t="shared" si="39"/>
        <v>2008_01_009.gif</v>
      </c>
      <c r="I244"/>
      <c r="J244"/>
      <c r="L244" s="1" t="b">
        <v>0</v>
      </c>
      <c r="M244" s="1">
        <v>0</v>
      </c>
      <c r="N244" s="1" t="s">
        <v>601</v>
      </c>
      <c r="O244" s="1">
        <v>582</v>
      </c>
      <c r="P244" s="12" t="s">
        <v>557</v>
      </c>
      <c r="Q244"/>
      <c r="R244" s="1" t="b">
        <f t="shared" si="40"/>
        <v>0</v>
      </c>
      <c r="S244"/>
      <c r="T244" s="1" t="b">
        <f t="shared" si="41"/>
        <v>0</v>
      </c>
      <c r="AN244" t="b">
        <v>1</v>
      </c>
    </row>
    <row r="245" spans="1:54" x14ac:dyDescent="0.2">
      <c r="A245" t="s">
        <v>441</v>
      </c>
      <c r="B245" s="1">
        <v>2008</v>
      </c>
      <c r="C245" s="1">
        <v>1</v>
      </c>
      <c r="D245" s="1">
        <v>10</v>
      </c>
      <c r="E245" t="s">
        <v>4</v>
      </c>
      <c r="G245" s="1">
        <v>3</v>
      </c>
      <c r="H245" s="11" t="str">
        <f t="shared" si="39"/>
        <v>2008_01_010.gif</v>
      </c>
      <c r="I245"/>
      <c r="J245"/>
      <c r="L245" s="1" t="b">
        <v>0</v>
      </c>
      <c r="M245" s="1">
        <v>0</v>
      </c>
      <c r="N245" s="1" t="s">
        <v>601</v>
      </c>
      <c r="O245" s="1">
        <v>583</v>
      </c>
      <c r="P245" s="12" t="s">
        <v>592</v>
      </c>
      <c r="Q245"/>
      <c r="R245" s="1" t="b">
        <f t="shared" si="40"/>
        <v>0</v>
      </c>
      <c r="S245"/>
      <c r="T245" s="1" t="b">
        <f t="shared" si="41"/>
        <v>0</v>
      </c>
      <c r="AL245" t="b">
        <v>1</v>
      </c>
    </row>
    <row r="246" spans="1:54" x14ac:dyDescent="0.2">
      <c r="A246" t="s">
        <v>442</v>
      </c>
      <c r="B246" s="1">
        <v>2008</v>
      </c>
      <c r="C246" s="1">
        <v>1</v>
      </c>
      <c r="D246" s="1">
        <v>11</v>
      </c>
      <c r="E246" t="s">
        <v>6</v>
      </c>
      <c r="G246" s="1">
        <v>2</v>
      </c>
      <c r="H246" s="11" t="str">
        <f t="shared" si="39"/>
        <v>2008_01_011.gif</v>
      </c>
      <c r="I246"/>
      <c r="J246"/>
      <c r="L246" s="1" t="b">
        <v>0</v>
      </c>
      <c r="M246" s="1">
        <v>0</v>
      </c>
      <c r="N246" s="1" t="s">
        <v>601</v>
      </c>
      <c r="O246" s="1">
        <v>584</v>
      </c>
      <c r="P246" s="12" t="s">
        <v>558</v>
      </c>
      <c r="Q246"/>
      <c r="R246" s="1" t="b">
        <f t="shared" si="40"/>
        <v>0</v>
      </c>
      <c r="S246"/>
      <c r="T246" s="1" t="b">
        <f t="shared" si="41"/>
        <v>0</v>
      </c>
      <c r="AV246" t="b">
        <v>1</v>
      </c>
    </row>
    <row r="247" spans="1:54" x14ac:dyDescent="0.2">
      <c r="A247" t="s">
        <v>443</v>
      </c>
      <c r="B247" s="1">
        <v>2008</v>
      </c>
      <c r="C247" s="1">
        <v>1</v>
      </c>
      <c r="D247" s="1">
        <v>12</v>
      </c>
      <c r="E247" t="s">
        <v>6</v>
      </c>
      <c r="G247" s="1">
        <v>4</v>
      </c>
      <c r="H247" s="11" t="str">
        <f t="shared" si="39"/>
        <v>2008_01_012.gif</v>
      </c>
      <c r="I247"/>
      <c r="J247"/>
      <c r="L247" s="1" t="b">
        <v>0</v>
      </c>
      <c r="M247" s="1">
        <v>0</v>
      </c>
      <c r="N247" s="1" t="s">
        <v>601</v>
      </c>
      <c r="O247" s="1">
        <v>585</v>
      </c>
      <c r="P247" s="12" t="s">
        <v>597</v>
      </c>
      <c r="Q247"/>
      <c r="R247" s="1" t="b">
        <f t="shared" si="40"/>
        <v>0</v>
      </c>
      <c r="S247"/>
      <c r="T247" s="1" t="b">
        <f t="shared" si="41"/>
        <v>0</v>
      </c>
      <c r="AW247" t="b">
        <v>1</v>
      </c>
    </row>
    <row r="248" spans="1:54" x14ac:dyDescent="0.2">
      <c r="A248" t="s">
        <v>444</v>
      </c>
      <c r="B248" s="1">
        <v>2008</v>
      </c>
      <c r="C248" s="1">
        <v>1</v>
      </c>
      <c r="D248" s="1">
        <v>13</v>
      </c>
      <c r="E248" t="s">
        <v>6</v>
      </c>
      <c r="G248" s="1">
        <v>3</v>
      </c>
      <c r="H248" s="11" t="str">
        <f t="shared" si="39"/>
        <v>2008_01_013.gif</v>
      </c>
      <c r="I248"/>
      <c r="J248"/>
      <c r="L248" s="1" t="b">
        <v>0</v>
      </c>
      <c r="M248" s="1">
        <v>0</v>
      </c>
      <c r="N248" s="1" t="s">
        <v>601</v>
      </c>
      <c r="O248" s="1">
        <v>586</v>
      </c>
      <c r="P248" s="12" t="s">
        <v>580</v>
      </c>
      <c r="Q248"/>
      <c r="R248" s="1" t="b">
        <f t="shared" si="40"/>
        <v>0</v>
      </c>
      <c r="S248"/>
      <c r="T248" s="1" t="b">
        <f t="shared" si="41"/>
        <v>0</v>
      </c>
      <c r="AU248" t="b">
        <v>1</v>
      </c>
      <c r="AX248" t="b">
        <v>0</v>
      </c>
    </row>
    <row r="249" spans="1:54" x14ac:dyDescent="0.2">
      <c r="A249" t="s">
        <v>446</v>
      </c>
      <c r="B249" s="1">
        <v>2008</v>
      </c>
      <c r="C249" s="1">
        <v>1</v>
      </c>
      <c r="D249" s="1">
        <v>15</v>
      </c>
      <c r="E249" t="s">
        <v>7</v>
      </c>
      <c r="G249" s="1">
        <v>4</v>
      </c>
      <c r="H249" s="11" t="str">
        <f t="shared" si="39"/>
        <v>2008_01_015.gif</v>
      </c>
      <c r="I249"/>
      <c r="J249"/>
      <c r="L249" s="1" t="b">
        <v>0</v>
      </c>
      <c r="M249" s="1">
        <v>0</v>
      </c>
      <c r="N249" s="1" t="s">
        <v>601</v>
      </c>
      <c r="O249" s="1">
        <v>588</v>
      </c>
      <c r="P249" s="12" t="s">
        <v>679</v>
      </c>
      <c r="Q249"/>
      <c r="R249" s="1" t="b">
        <f t="shared" si="40"/>
        <v>0</v>
      </c>
      <c r="S249"/>
      <c r="T249" s="1" t="b">
        <f t="shared" si="41"/>
        <v>0</v>
      </c>
      <c r="AY249" t="b">
        <v>1</v>
      </c>
      <c r="BB249" t="b">
        <v>1</v>
      </c>
    </row>
    <row r="250" spans="1:54" x14ac:dyDescent="0.2">
      <c r="A250" t="s">
        <v>447</v>
      </c>
      <c r="B250" s="1">
        <v>2008</v>
      </c>
      <c r="C250" s="1">
        <v>1</v>
      </c>
      <c r="D250" s="1">
        <v>16</v>
      </c>
      <c r="E250" t="s">
        <v>7</v>
      </c>
      <c r="G250" s="1">
        <v>2</v>
      </c>
      <c r="H250" s="11" t="str">
        <f t="shared" si="39"/>
        <v>2008_01_016.gif</v>
      </c>
      <c r="I250"/>
      <c r="J250"/>
      <c r="L250" s="1" t="b">
        <v>0</v>
      </c>
      <c r="M250" s="1">
        <v>0</v>
      </c>
      <c r="N250" s="1" t="s">
        <v>601</v>
      </c>
      <c r="O250" s="1">
        <v>589</v>
      </c>
      <c r="P250" s="12" t="s">
        <v>579</v>
      </c>
      <c r="Q250"/>
      <c r="R250" s="1" t="b">
        <f t="shared" si="40"/>
        <v>0</v>
      </c>
      <c r="S250"/>
      <c r="T250" s="1" t="b">
        <f t="shared" si="41"/>
        <v>0</v>
      </c>
      <c r="AX250" t="b">
        <v>1</v>
      </c>
    </row>
    <row r="251" spans="1:54" x14ac:dyDescent="0.2">
      <c r="A251" t="s">
        <v>449</v>
      </c>
      <c r="B251" s="1">
        <v>2008</v>
      </c>
      <c r="C251" s="1">
        <v>1</v>
      </c>
      <c r="D251" s="1">
        <v>18</v>
      </c>
      <c r="E251" t="s">
        <v>7</v>
      </c>
      <c r="G251" s="1">
        <v>2</v>
      </c>
      <c r="H251" s="11" t="str">
        <f t="shared" si="39"/>
        <v>2008_01_018.gif</v>
      </c>
      <c r="I251"/>
      <c r="J251"/>
      <c r="L251" s="1" t="b">
        <v>0</v>
      </c>
      <c r="M251" s="1">
        <v>0</v>
      </c>
      <c r="N251" s="1" t="s">
        <v>601</v>
      </c>
      <c r="O251" s="1">
        <v>591</v>
      </c>
      <c r="P251" s="12" t="s">
        <v>579</v>
      </c>
      <c r="Q251"/>
      <c r="R251" s="1" t="b">
        <f t="shared" si="40"/>
        <v>0</v>
      </c>
      <c r="S251"/>
      <c r="T251" s="1" t="b">
        <f t="shared" si="41"/>
        <v>0</v>
      </c>
      <c r="AX251" t="b">
        <v>1</v>
      </c>
    </row>
    <row r="252" spans="1:54" x14ac:dyDescent="0.2">
      <c r="A252" t="str">
        <f t="shared" ref="A252:A255" si="42">B252 &amp; "_" &amp; TEXT(C252,"00") &amp; "_" &amp; TEXT(D252,"000")</f>
        <v>2008_01_036</v>
      </c>
      <c r="B252" s="1">
        <v>2008</v>
      </c>
      <c r="C252" s="1">
        <v>1</v>
      </c>
      <c r="D252" s="1">
        <v>36</v>
      </c>
      <c r="E252" t="s">
        <v>1</v>
      </c>
      <c r="G252" s="1">
        <v>1</v>
      </c>
      <c r="H252" s="11" t="str">
        <f t="shared" si="39"/>
        <v>2008_01_036.gif</v>
      </c>
      <c r="I252"/>
      <c r="J252"/>
      <c r="L252" s="1" t="b">
        <v>0</v>
      </c>
      <c r="M252" s="1">
        <v>0</v>
      </c>
      <c r="N252" s="1" t="s">
        <v>657</v>
      </c>
      <c r="O252" s="1">
        <v>609</v>
      </c>
      <c r="P252" s="12" t="s">
        <v>0</v>
      </c>
      <c r="Q252"/>
      <c r="R252" s="1" t="b">
        <f t="shared" si="40"/>
        <v>0</v>
      </c>
      <c r="S252"/>
      <c r="T252" s="1" t="b">
        <f t="shared" si="41"/>
        <v>0</v>
      </c>
      <c r="V252" t="b">
        <v>1</v>
      </c>
    </row>
    <row r="253" spans="1:54" x14ac:dyDescent="0.2">
      <c r="A253" t="str">
        <f t="shared" si="42"/>
        <v>2008_01_037</v>
      </c>
      <c r="B253" s="1">
        <v>2008</v>
      </c>
      <c r="C253" s="1">
        <v>1</v>
      </c>
      <c r="D253" s="1">
        <v>37</v>
      </c>
      <c r="E253" t="s">
        <v>1</v>
      </c>
      <c r="G253" s="1">
        <v>3</v>
      </c>
      <c r="H253" s="11" t="str">
        <f t="shared" si="39"/>
        <v>2008_01_037.gif</v>
      </c>
      <c r="I253"/>
      <c r="J253"/>
      <c r="L253" s="1" t="b">
        <v>0</v>
      </c>
      <c r="M253" s="1">
        <v>0</v>
      </c>
      <c r="N253" s="1" t="s">
        <v>657</v>
      </c>
      <c r="O253" s="1">
        <v>610</v>
      </c>
      <c r="P253" s="12" t="s">
        <v>0</v>
      </c>
      <c r="Q253"/>
      <c r="R253" s="1" t="b">
        <f t="shared" si="40"/>
        <v>0</v>
      </c>
      <c r="S253"/>
      <c r="T253" s="1" t="b">
        <f t="shared" si="41"/>
        <v>0</v>
      </c>
      <c r="V253" t="b">
        <v>1</v>
      </c>
    </row>
    <row r="254" spans="1:54" x14ac:dyDescent="0.2">
      <c r="A254" t="str">
        <f t="shared" si="42"/>
        <v>2008_01_038</v>
      </c>
      <c r="B254" s="1">
        <v>2008</v>
      </c>
      <c r="C254" s="1">
        <v>1</v>
      </c>
      <c r="D254" s="1">
        <v>38</v>
      </c>
      <c r="E254" t="s">
        <v>3</v>
      </c>
      <c r="G254" s="1">
        <v>1</v>
      </c>
      <c r="H254" s="11" t="str">
        <f t="shared" si="39"/>
        <v>2008_01_038.gif</v>
      </c>
      <c r="I254"/>
      <c r="J254"/>
      <c r="L254" s="1" t="b">
        <v>0</v>
      </c>
      <c r="M254" s="1">
        <v>0</v>
      </c>
      <c r="N254" s="1" t="s">
        <v>657</v>
      </c>
      <c r="O254" s="1">
        <v>611</v>
      </c>
      <c r="P254" s="12" t="s">
        <v>549</v>
      </c>
      <c r="Q254"/>
      <c r="R254" s="1" t="b">
        <f t="shared" si="40"/>
        <v>0</v>
      </c>
      <c r="S254"/>
      <c r="T254" s="1" t="b">
        <f t="shared" si="41"/>
        <v>0</v>
      </c>
      <c r="AD254" t="b">
        <v>1</v>
      </c>
    </row>
    <row r="255" spans="1:54" x14ac:dyDescent="0.2">
      <c r="A255" t="str">
        <f t="shared" si="42"/>
        <v>2008_01_039</v>
      </c>
      <c r="B255" s="1">
        <v>2008</v>
      </c>
      <c r="C255" s="1">
        <v>1</v>
      </c>
      <c r="D255" s="1">
        <v>39</v>
      </c>
      <c r="E255" t="s">
        <v>6</v>
      </c>
      <c r="G255" s="1">
        <v>1</v>
      </c>
      <c r="H255" s="11" t="str">
        <f t="shared" si="39"/>
        <v>2008_01_039.gif</v>
      </c>
      <c r="I255"/>
      <c r="J255"/>
      <c r="L255" s="1" t="b">
        <v>0</v>
      </c>
      <c r="M255" s="1">
        <v>0</v>
      </c>
      <c r="N255" s="1" t="s">
        <v>657</v>
      </c>
      <c r="O255" s="1">
        <v>612</v>
      </c>
      <c r="P255" s="12" t="s">
        <v>558</v>
      </c>
      <c r="Q255"/>
      <c r="R255" s="1" t="b">
        <f t="shared" si="40"/>
        <v>0</v>
      </c>
      <c r="S255"/>
      <c r="T255" s="1" t="b">
        <f t="shared" si="41"/>
        <v>0</v>
      </c>
      <c r="AV255" t="b">
        <v>1</v>
      </c>
    </row>
    <row r="256" spans="1:54" x14ac:dyDescent="0.2">
      <c r="A256" t="s">
        <v>467</v>
      </c>
      <c r="B256" s="1">
        <v>2008</v>
      </c>
      <c r="C256" s="1">
        <v>6</v>
      </c>
      <c r="D256" s="1">
        <v>1</v>
      </c>
      <c r="E256" t="s">
        <v>3</v>
      </c>
      <c r="F256" t="s">
        <v>2</v>
      </c>
      <c r="G256" s="1">
        <v>1</v>
      </c>
      <c r="H256" s="11" t="str">
        <f t="shared" si="39"/>
        <v>2008_06_001.gif</v>
      </c>
      <c r="I256"/>
      <c r="J256"/>
      <c r="L256" s="1" t="b">
        <v>0</v>
      </c>
      <c r="M256" s="1">
        <v>0</v>
      </c>
      <c r="N256" s="1" t="s">
        <v>601</v>
      </c>
      <c r="O256" s="1">
        <v>623</v>
      </c>
      <c r="P256" s="12" t="s">
        <v>665</v>
      </c>
      <c r="Q256"/>
      <c r="R256" s="1" t="b">
        <f t="shared" si="40"/>
        <v>0</v>
      </c>
      <c r="S256"/>
      <c r="T256" s="1" t="b">
        <f t="shared" si="41"/>
        <v>0</v>
      </c>
      <c r="Z256" t="b">
        <v>1</v>
      </c>
      <c r="AF256" t="b">
        <v>1</v>
      </c>
    </row>
    <row r="257" spans="1:54" x14ac:dyDescent="0.2">
      <c r="A257" t="s">
        <v>468</v>
      </c>
      <c r="B257" s="1">
        <v>2008</v>
      </c>
      <c r="C257" s="1">
        <v>6</v>
      </c>
      <c r="D257" s="1">
        <v>2</v>
      </c>
      <c r="E257" t="s">
        <v>4</v>
      </c>
      <c r="G257" s="1">
        <v>1</v>
      </c>
      <c r="H257" s="11" t="str">
        <f t="shared" si="39"/>
        <v>2008_06_002.gif</v>
      </c>
      <c r="I257"/>
      <c r="J257"/>
      <c r="L257" s="1" t="b">
        <v>0</v>
      </c>
      <c r="M257" s="1">
        <v>0</v>
      </c>
      <c r="N257" s="1" t="s">
        <v>601</v>
      </c>
      <c r="O257" s="1">
        <v>624</v>
      </c>
      <c r="P257" s="12" t="s">
        <v>600</v>
      </c>
      <c r="Q257"/>
      <c r="R257" s="1" t="b">
        <f t="shared" si="40"/>
        <v>0</v>
      </c>
      <c r="S257"/>
      <c r="T257" s="1" t="b">
        <f t="shared" si="41"/>
        <v>0</v>
      </c>
      <c r="AH257" t="b">
        <v>1</v>
      </c>
    </row>
    <row r="258" spans="1:54" x14ac:dyDescent="0.2">
      <c r="A258" t="s">
        <v>469</v>
      </c>
      <c r="B258" s="1">
        <v>2008</v>
      </c>
      <c r="C258" s="1">
        <v>6</v>
      </c>
      <c r="D258" s="1">
        <v>3</v>
      </c>
      <c r="E258" t="s">
        <v>5</v>
      </c>
      <c r="G258" s="1">
        <v>4</v>
      </c>
      <c r="H258" s="11" t="str">
        <f t="shared" si="39"/>
        <v>2008_06_003.gif</v>
      </c>
      <c r="I258"/>
      <c r="J258"/>
      <c r="L258" s="1" t="b">
        <v>0</v>
      </c>
      <c r="M258" s="1">
        <v>0</v>
      </c>
      <c r="N258" s="1" t="s">
        <v>601</v>
      </c>
      <c r="O258" s="1">
        <v>625</v>
      </c>
      <c r="P258" s="12" t="s">
        <v>596</v>
      </c>
      <c r="Q258"/>
      <c r="R258" s="1" t="b">
        <f t="shared" si="40"/>
        <v>0</v>
      </c>
      <c r="S258"/>
      <c r="T258" s="1" t="b">
        <f t="shared" si="41"/>
        <v>0</v>
      </c>
      <c r="AR258" t="b">
        <v>1</v>
      </c>
    </row>
    <row r="259" spans="1:54" x14ac:dyDescent="0.2">
      <c r="A259" t="s">
        <v>470</v>
      </c>
      <c r="B259" s="1">
        <v>2008</v>
      </c>
      <c r="C259" s="1">
        <v>6</v>
      </c>
      <c r="D259" s="1">
        <v>4</v>
      </c>
      <c r="E259" t="s">
        <v>2</v>
      </c>
      <c r="G259" s="1">
        <v>3</v>
      </c>
      <c r="H259" s="11" t="str">
        <f t="shared" si="39"/>
        <v>2008_06_004.gif</v>
      </c>
      <c r="I259"/>
      <c r="J259"/>
      <c r="L259" s="1" t="b">
        <v>0</v>
      </c>
      <c r="M259" s="1">
        <v>0</v>
      </c>
      <c r="N259" s="1" t="s">
        <v>601</v>
      </c>
      <c r="O259" s="1">
        <v>626</v>
      </c>
      <c r="P259" s="12" t="s">
        <v>594</v>
      </c>
      <c r="Q259"/>
      <c r="R259" s="1" t="b">
        <f t="shared" si="40"/>
        <v>0</v>
      </c>
      <c r="S259"/>
      <c r="T259" s="1" t="b">
        <f t="shared" si="41"/>
        <v>0</v>
      </c>
      <c r="Z259" t="b">
        <v>1</v>
      </c>
    </row>
    <row r="260" spans="1:54" x14ac:dyDescent="0.2">
      <c r="A260" t="s">
        <v>471</v>
      </c>
      <c r="B260" s="1">
        <v>2008</v>
      </c>
      <c r="C260" s="1">
        <v>6</v>
      </c>
      <c r="D260" s="1">
        <v>5</v>
      </c>
      <c r="E260" t="s">
        <v>2</v>
      </c>
      <c r="G260" s="1">
        <v>3</v>
      </c>
      <c r="H260" s="11" t="str">
        <f t="shared" si="39"/>
        <v>2008_06_005.gif</v>
      </c>
      <c r="I260"/>
      <c r="J260"/>
      <c r="L260" s="1" t="b">
        <v>0</v>
      </c>
      <c r="M260" s="1">
        <v>0</v>
      </c>
      <c r="N260" s="1" t="s">
        <v>601</v>
      </c>
      <c r="O260" s="1">
        <v>627</v>
      </c>
      <c r="P260" s="12" t="s">
        <v>552</v>
      </c>
      <c r="Q260"/>
      <c r="R260" s="1" t="b">
        <f t="shared" si="40"/>
        <v>0</v>
      </c>
      <c r="S260"/>
      <c r="T260" s="1" t="b">
        <f t="shared" si="41"/>
        <v>0</v>
      </c>
      <c r="AC260" t="b">
        <v>1</v>
      </c>
    </row>
    <row r="261" spans="1:54" x14ac:dyDescent="0.2">
      <c r="A261" t="s">
        <v>472</v>
      </c>
      <c r="B261" s="1">
        <v>2008</v>
      </c>
      <c r="C261" s="1">
        <v>6</v>
      </c>
      <c r="D261" s="1">
        <v>6</v>
      </c>
      <c r="E261" t="s">
        <v>4</v>
      </c>
      <c r="G261" s="1">
        <v>1</v>
      </c>
      <c r="H261" s="11" t="str">
        <f t="shared" si="39"/>
        <v>2008_06_006.gif</v>
      </c>
      <c r="I261"/>
      <c r="J261"/>
      <c r="L261" s="1" t="b">
        <v>0</v>
      </c>
      <c r="M261" s="1">
        <v>0</v>
      </c>
      <c r="N261" s="1" t="s">
        <v>601</v>
      </c>
      <c r="O261" s="1">
        <v>628</v>
      </c>
      <c r="P261" s="12" t="s">
        <v>555</v>
      </c>
      <c r="Q261"/>
      <c r="R261" s="1" t="b">
        <f t="shared" si="40"/>
        <v>0</v>
      </c>
      <c r="S261"/>
      <c r="T261" s="1" t="b">
        <f t="shared" si="41"/>
        <v>0</v>
      </c>
      <c r="AJ261" t="b">
        <v>1</v>
      </c>
    </row>
    <row r="262" spans="1:54" x14ac:dyDescent="0.2">
      <c r="A262" t="s">
        <v>473</v>
      </c>
      <c r="B262" s="1">
        <v>2008</v>
      </c>
      <c r="C262" s="1">
        <v>6</v>
      </c>
      <c r="D262" s="1">
        <v>7</v>
      </c>
      <c r="E262" t="s">
        <v>2</v>
      </c>
      <c r="G262" s="1">
        <v>3</v>
      </c>
      <c r="H262" s="11" t="str">
        <f t="shared" si="39"/>
        <v>2008_06_007.gif</v>
      </c>
      <c r="I262"/>
      <c r="J262"/>
      <c r="L262" s="1" t="b">
        <v>0</v>
      </c>
      <c r="M262" s="1">
        <v>0</v>
      </c>
      <c r="N262" s="1" t="s">
        <v>601</v>
      </c>
      <c r="O262" s="1">
        <v>629</v>
      </c>
      <c r="P262" s="12" t="s">
        <v>551</v>
      </c>
      <c r="Q262"/>
      <c r="R262" s="1" t="b">
        <f t="shared" si="40"/>
        <v>0</v>
      </c>
      <c r="S262"/>
      <c r="T262" s="1" t="b">
        <f t="shared" si="41"/>
        <v>0</v>
      </c>
      <c r="AB262" t="b">
        <v>1</v>
      </c>
    </row>
    <row r="263" spans="1:54" x14ac:dyDescent="0.2">
      <c r="A263" t="s">
        <v>474</v>
      </c>
      <c r="B263" s="1">
        <v>2008</v>
      </c>
      <c r="C263" s="1">
        <v>6</v>
      </c>
      <c r="D263" s="1">
        <v>8</v>
      </c>
      <c r="E263" t="s">
        <v>5</v>
      </c>
      <c r="G263" s="1">
        <v>3</v>
      </c>
      <c r="H263" s="11" t="str">
        <f t="shared" si="39"/>
        <v>2008_06_008.gif</v>
      </c>
      <c r="I263"/>
      <c r="J263"/>
      <c r="L263" s="1" t="b">
        <v>0</v>
      </c>
      <c r="M263" s="1">
        <v>0</v>
      </c>
      <c r="N263" s="1" t="s">
        <v>601</v>
      </c>
      <c r="O263" s="1">
        <v>630</v>
      </c>
      <c r="P263" s="12" t="s">
        <v>556</v>
      </c>
      <c r="Q263"/>
      <c r="R263" s="1" t="b">
        <f t="shared" si="40"/>
        <v>0</v>
      </c>
      <c r="S263"/>
      <c r="T263" s="1" t="b">
        <f t="shared" si="41"/>
        <v>0</v>
      </c>
      <c r="AT263" t="b">
        <v>1</v>
      </c>
    </row>
    <row r="264" spans="1:54" x14ac:dyDescent="0.2">
      <c r="A264" t="s">
        <v>475</v>
      </c>
      <c r="B264" s="1">
        <v>2008</v>
      </c>
      <c r="C264" s="1">
        <v>6</v>
      </c>
      <c r="D264" s="1">
        <v>9</v>
      </c>
      <c r="E264" t="s">
        <v>5</v>
      </c>
      <c r="G264" s="1">
        <v>2</v>
      </c>
      <c r="H264" s="11" t="str">
        <f t="shared" si="39"/>
        <v>2008_06_009.gif</v>
      </c>
      <c r="I264"/>
      <c r="J264"/>
      <c r="L264" s="1" t="b">
        <v>0</v>
      </c>
      <c r="M264" s="1">
        <v>0</v>
      </c>
      <c r="N264" s="1" t="s">
        <v>601</v>
      </c>
      <c r="O264" s="1">
        <v>631</v>
      </c>
      <c r="P264" s="12" t="s">
        <v>673</v>
      </c>
      <c r="Q264"/>
      <c r="R264" s="1" t="b">
        <f t="shared" si="40"/>
        <v>0</v>
      </c>
      <c r="S264"/>
      <c r="T264" s="1" t="b">
        <f t="shared" si="41"/>
        <v>0</v>
      </c>
      <c r="AR264" t="b">
        <v>1</v>
      </c>
      <c r="AS264" t="b">
        <v>1</v>
      </c>
    </row>
    <row r="265" spans="1:54" x14ac:dyDescent="0.2">
      <c r="A265" t="s">
        <v>476</v>
      </c>
      <c r="B265" s="1">
        <v>2008</v>
      </c>
      <c r="C265" s="1">
        <v>6</v>
      </c>
      <c r="D265" s="1">
        <v>10</v>
      </c>
      <c r="E265" t="s">
        <v>4</v>
      </c>
      <c r="G265" s="1">
        <v>2</v>
      </c>
      <c r="H265" s="11" t="str">
        <f t="shared" si="39"/>
        <v>2008_06_010.gif</v>
      </c>
      <c r="I265"/>
      <c r="J265"/>
      <c r="L265" s="1" t="b">
        <v>0</v>
      </c>
      <c r="M265" s="1">
        <v>0</v>
      </c>
      <c r="N265" s="1" t="s">
        <v>601</v>
      </c>
      <c r="O265" s="1">
        <v>632</v>
      </c>
      <c r="P265" s="12" t="s">
        <v>592</v>
      </c>
      <c r="Q265"/>
      <c r="R265" s="1" t="b">
        <f t="shared" si="40"/>
        <v>0</v>
      </c>
      <c r="S265"/>
      <c r="T265" s="1" t="b">
        <f t="shared" si="41"/>
        <v>0</v>
      </c>
      <c r="AL265" t="b">
        <v>1</v>
      </c>
    </row>
    <row r="266" spans="1:54" x14ac:dyDescent="0.2">
      <c r="A266" t="s">
        <v>477</v>
      </c>
      <c r="B266" s="1">
        <v>2008</v>
      </c>
      <c r="C266" s="1">
        <v>6</v>
      </c>
      <c r="D266" s="1">
        <v>11</v>
      </c>
      <c r="E266" t="s">
        <v>3</v>
      </c>
      <c r="G266" s="1">
        <v>2</v>
      </c>
      <c r="H266" s="11" t="str">
        <f t="shared" si="39"/>
        <v>2008_06_011.gif</v>
      </c>
      <c r="I266"/>
      <c r="J266"/>
      <c r="L266" s="1" t="b">
        <v>0</v>
      </c>
      <c r="M266" s="1">
        <v>0</v>
      </c>
      <c r="N266" s="1" t="s">
        <v>601</v>
      </c>
      <c r="O266" s="1">
        <v>633</v>
      </c>
      <c r="P266" s="12" t="s">
        <v>550</v>
      </c>
      <c r="Q266"/>
      <c r="R266" s="1" t="b">
        <f t="shared" si="40"/>
        <v>0</v>
      </c>
      <c r="S266"/>
      <c r="T266" s="1" t="b">
        <f t="shared" si="41"/>
        <v>0</v>
      </c>
      <c r="AE266" t="b">
        <v>1</v>
      </c>
    </row>
    <row r="267" spans="1:54" x14ac:dyDescent="0.2">
      <c r="A267" t="s">
        <v>478</v>
      </c>
      <c r="B267" s="1">
        <v>2008</v>
      </c>
      <c r="C267" s="1">
        <v>6</v>
      </c>
      <c r="D267" s="1">
        <v>12</v>
      </c>
      <c r="E267" t="s">
        <v>5</v>
      </c>
      <c r="G267" s="1">
        <v>3</v>
      </c>
      <c r="H267" s="11" t="str">
        <f t="shared" si="39"/>
        <v>2008_06_012.gif</v>
      </c>
      <c r="I267"/>
      <c r="J267"/>
      <c r="L267" s="1" t="b">
        <v>0</v>
      </c>
      <c r="M267" s="1">
        <v>0</v>
      </c>
      <c r="N267" s="1" t="s">
        <v>601</v>
      </c>
      <c r="O267" s="1">
        <v>634</v>
      </c>
      <c r="P267" s="12" t="s">
        <v>682</v>
      </c>
      <c r="Q267"/>
      <c r="R267" s="1" t="b">
        <f t="shared" si="40"/>
        <v>0</v>
      </c>
      <c r="S267"/>
      <c r="T267" s="1" t="b">
        <f t="shared" si="41"/>
        <v>0</v>
      </c>
      <c r="AN267" t="b">
        <v>1</v>
      </c>
      <c r="AS267" t="b">
        <v>1</v>
      </c>
    </row>
    <row r="268" spans="1:54" x14ac:dyDescent="0.2">
      <c r="A268" t="s">
        <v>479</v>
      </c>
      <c r="B268" s="1">
        <v>2008</v>
      </c>
      <c r="C268" s="1">
        <v>6</v>
      </c>
      <c r="D268" s="1">
        <v>13</v>
      </c>
      <c r="E268" t="s">
        <v>4</v>
      </c>
      <c r="G268" s="1">
        <v>3</v>
      </c>
      <c r="H268" s="11" t="str">
        <f t="shared" si="39"/>
        <v>2008_06_013.gif</v>
      </c>
      <c r="I268"/>
      <c r="J268"/>
      <c r="L268" s="1" t="b">
        <v>0</v>
      </c>
      <c r="M268" s="1">
        <v>0</v>
      </c>
      <c r="N268" s="1" t="s">
        <v>601</v>
      </c>
      <c r="O268" s="1">
        <v>635</v>
      </c>
      <c r="P268" s="12" t="s">
        <v>593</v>
      </c>
      <c r="Q268"/>
      <c r="R268" s="1" t="b">
        <f t="shared" si="40"/>
        <v>0</v>
      </c>
      <c r="S268"/>
      <c r="T268" s="1" t="b">
        <f t="shared" si="41"/>
        <v>0</v>
      </c>
      <c r="AM268" t="b">
        <v>1</v>
      </c>
    </row>
    <row r="269" spans="1:54" x14ac:dyDescent="0.2">
      <c r="A269" t="s">
        <v>480</v>
      </c>
      <c r="B269" s="1">
        <v>2008</v>
      </c>
      <c r="C269" s="1">
        <v>6</v>
      </c>
      <c r="D269" s="1">
        <v>14</v>
      </c>
      <c r="E269" t="s">
        <v>6</v>
      </c>
      <c r="G269" s="1">
        <v>2</v>
      </c>
      <c r="H269" s="11" t="str">
        <f t="shared" si="39"/>
        <v>2008_06_014.gif</v>
      </c>
      <c r="I269"/>
      <c r="J269"/>
      <c r="L269" s="1" t="b">
        <v>0</v>
      </c>
      <c r="M269" s="1">
        <v>0</v>
      </c>
      <c r="N269" s="1" t="s">
        <v>601</v>
      </c>
      <c r="O269" s="1">
        <v>636</v>
      </c>
      <c r="P269" s="12" t="s">
        <v>558</v>
      </c>
      <c r="Q269"/>
      <c r="R269" s="1" t="b">
        <f t="shared" si="40"/>
        <v>0</v>
      </c>
      <c r="S269"/>
      <c r="T269" s="1" t="b">
        <f t="shared" si="41"/>
        <v>0</v>
      </c>
      <c r="AV269" t="b">
        <v>1</v>
      </c>
    </row>
    <row r="270" spans="1:54" x14ac:dyDescent="0.2">
      <c r="A270" t="s">
        <v>481</v>
      </c>
      <c r="B270" s="1">
        <v>2008</v>
      </c>
      <c r="C270" s="1">
        <v>6</v>
      </c>
      <c r="D270" s="1">
        <v>15</v>
      </c>
      <c r="E270" t="s">
        <v>6</v>
      </c>
      <c r="G270" s="1">
        <v>3</v>
      </c>
      <c r="H270" s="11" t="str">
        <f t="shared" si="39"/>
        <v>2008_06_015.gif</v>
      </c>
      <c r="I270"/>
      <c r="J270"/>
      <c r="L270" s="1" t="b">
        <v>0</v>
      </c>
      <c r="M270" s="1">
        <v>0</v>
      </c>
      <c r="N270" s="1" t="s">
        <v>601</v>
      </c>
      <c r="O270" s="1">
        <v>637</v>
      </c>
      <c r="P270" s="12" t="s">
        <v>597</v>
      </c>
      <c r="Q270"/>
      <c r="R270" s="1" t="b">
        <f t="shared" si="40"/>
        <v>0</v>
      </c>
      <c r="S270"/>
      <c r="T270" s="1" t="b">
        <f t="shared" si="41"/>
        <v>0</v>
      </c>
      <c r="AW270" t="b">
        <v>1</v>
      </c>
    </row>
    <row r="271" spans="1:54" x14ac:dyDescent="0.2">
      <c r="A271" t="s">
        <v>483</v>
      </c>
      <c r="B271" s="1">
        <v>2008</v>
      </c>
      <c r="C271" s="1">
        <v>6</v>
      </c>
      <c r="D271" s="1">
        <v>17</v>
      </c>
      <c r="E271" t="s">
        <v>7</v>
      </c>
      <c r="G271" s="1">
        <v>1</v>
      </c>
      <c r="H271" s="11" t="str">
        <f t="shared" si="39"/>
        <v>2008_06_017.gif</v>
      </c>
      <c r="I271"/>
      <c r="J271"/>
      <c r="L271" s="1" t="b">
        <v>0</v>
      </c>
      <c r="M271" s="1">
        <v>4</v>
      </c>
      <c r="N271" s="1" t="s">
        <v>601</v>
      </c>
      <c r="O271" s="1">
        <v>639</v>
      </c>
      <c r="P271" s="12" t="s">
        <v>587</v>
      </c>
      <c r="Q271"/>
      <c r="R271" s="1" t="b">
        <f t="shared" si="40"/>
        <v>0</v>
      </c>
      <c r="S271"/>
      <c r="T271" s="1" t="b">
        <f t="shared" si="41"/>
        <v>0</v>
      </c>
      <c r="BB271" t="b">
        <v>1</v>
      </c>
    </row>
    <row r="272" spans="1:54" x14ac:dyDescent="0.2">
      <c r="A272" t="s">
        <v>484</v>
      </c>
      <c r="B272" s="1">
        <v>2008</v>
      </c>
      <c r="C272" s="1">
        <v>6</v>
      </c>
      <c r="D272" s="1">
        <v>18</v>
      </c>
      <c r="E272" t="s">
        <v>7</v>
      </c>
      <c r="G272" s="1">
        <v>2</v>
      </c>
      <c r="H272" s="11" t="str">
        <f t="shared" si="39"/>
        <v>2008_06_018.gif</v>
      </c>
      <c r="I272"/>
      <c r="J272"/>
      <c r="L272" s="1" t="b">
        <v>0</v>
      </c>
      <c r="M272" s="1">
        <v>0</v>
      </c>
      <c r="N272" s="1" t="s">
        <v>601</v>
      </c>
      <c r="O272" s="1">
        <v>640</v>
      </c>
      <c r="P272" s="12" t="s">
        <v>579</v>
      </c>
      <c r="Q272"/>
      <c r="R272" s="1" t="b">
        <f t="shared" si="40"/>
        <v>0</v>
      </c>
      <c r="S272"/>
      <c r="T272" s="1" t="b">
        <f t="shared" si="41"/>
        <v>0</v>
      </c>
      <c r="AX272" t="b">
        <v>1</v>
      </c>
    </row>
    <row r="273" spans="1:54" x14ac:dyDescent="0.2">
      <c r="A273" t="s">
        <v>485</v>
      </c>
      <c r="B273" s="1">
        <v>2008</v>
      </c>
      <c r="C273" s="1">
        <v>6</v>
      </c>
      <c r="D273" s="1">
        <v>19</v>
      </c>
      <c r="E273" t="s">
        <v>7</v>
      </c>
      <c r="G273" s="1">
        <v>4</v>
      </c>
      <c r="H273" s="11" t="str">
        <f t="shared" ref="H273:H293" si="43">HYPERLINK(A273&amp;".gif")</f>
        <v>2008_06_019.gif</v>
      </c>
      <c r="I273"/>
      <c r="J273"/>
      <c r="L273" s="1" t="b">
        <v>0</v>
      </c>
      <c r="M273" s="1">
        <v>0</v>
      </c>
      <c r="N273" s="1" t="s">
        <v>601</v>
      </c>
      <c r="O273" s="1">
        <v>641</v>
      </c>
      <c r="P273" s="12" t="s">
        <v>587</v>
      </c>
      <c r="Q273"/>
      <c r="R273" s="1" t="b">
        <f t="shared" ref="R273:R293" si="44">OR(S273:T273)</f>
        <v>0</v>
      </c>
      <c r="S273"/>
      <c r="T273" s="1" t="b">
        <f t="shared" ref="T273:T293" si="45">SUMPRODUCT(BC273:BZ273*1)&gt;0</f>
        <v>0</v>
      </c>
      <c r="BB273" t="b">
        <v>1</v>
      </c>
    </row>
    <row r="274" spans="1:54" x14ac:dyDescent="0.2">
      <c r="A274" t="str">
        <f t="shared" ref="A274:A280" si="46">B274 &amp; "_" &amp; TEXT(C274,"00") &amp; "_" &amp; TEXT(D274,"000")</f>
        <v>2008_06_036</v>
      </c>
      <c r="B274" s="1">
        <v>2008</v>
      </c>
      <c r="C274" s="1">
        <v>6</v>
      </c>
      <c r="D274" s="1">
        <v>36</v>
      </c>
      <c r="E274" t="s">
        <v>1</v>
      </c>
      <c r="G274" s="1">
        <v>3</v>
      </c>
      <c r="H274" s="11" t="str">
        <f t="shared" si="43"/>
        <v>2008_06_036.gif</v>
      </c>
      <c r="I274"/>
      <c r="J274"/>
      <c r="L274" s="1" t="b">
        <v>0</v>
      </c>
      <c r="M274" s="1">
        <v>0</v>
      </c>
      <c r="N274" s="1" t="s">
        <v>657</v>
      </c>
      <c r="O274" s="1">
        <v>658</v>
      </c>
      <c r="P274" s="12" t="s">
        <v>547</v>
      </c>
      <c r="Q274"/>
      <c r="R274" s="1" t="b">
        <f t="shared" si="44"/>
        <v>0</v>
      </c>
      <c r="S274"/>
      <c r="T274" s="1" t="b">
        <f t="shared" si="45"/>
        <v>0</v>
      </c>
      <c r="U274" t="b">
        <v>1</v>
      </c>
    </row>
    <row r="275" spans="1:54" x14ac:dyDescent="0.2">
      <c r="A275" t="str">
        <f t="shared" si="46"/>
        <v>2008_06_037</v>
      </c>
      <c r="B275" s="1">
        <v>2008</v>
      </c>
      <c r="C275" s="1">
        <v>6</v>
      </c>
      <c r="D275" s="1">
        <v>37</v>
      </c>
      <c r="E275" t="s">
        <v>2</v>
      </c>
      <c r="G275" s="1">
        <v>4</v>
      </c>
      <c r="H275" s="11" t="str">
        <f t="shared" si="43"/>
        <v>2008_06_037.gif</v>
      </c>
      <c r="I275"/>
      <c r="J275"/>
      <c r="L275" s="1" t="b">
        <v>0</v>
      </c>
      <c r="M275" s="1">
        <v>0</v>
      </c>
      <c r="N275" s="1" t="s">
        <v>657</v>
      </c>
      <c r="O275" s="1">
        <v>659</v>
      </c>
      <c r="P275" s="12" t="s">
        <v>553</v>
      </c>
      <c r="Q275"/>
      <c r="R275" s="1" t="b">
        <f t="shared" si="44"/>
        <v>0</v>
      </c>
      <c r="S275"/>
      <c r="T275" s="1" t="b">
        <f t="shared" si="45"/>
        <v>0</v>
      </c>
      <c r="W275" t="b">
        <v>1</v>
      </c>
    </row>
    <row r="276" spans="1:54" x14ac:dyDescent="0.2">
      <c r="A276" t="str">
        <f t="shared" si="46"/>
        <v>2008_06_038</v>
      </c>
      <c r="B276" s="1">
        <v>2008</v>
      </c>
      <c r="C276" s="1">
        <v>6</v>
      </c>
      <c r="D276" s="1">
        <v>38</v>
      </c>
      <c r="E276" t="s">
        <v>5</v>
      </c>
      <c r="G276" s="1">
        <v>3</v>
      </c>
      <c r="H276" s="11" t="str">
        <f t="shared" si="43"/>
        <v>2008_06_038.gif</v>
      </c>
      <c r="I276"/>
      <c r="J276"/>
      <c r="L276" s="1" t="b">
        <v>0</v>
      </c>
      <c r="M276" s="1">
        <v>0</v>
      </c>
      <c r="N276" s="1" t="s">
        <v>657</v>
      </c>
      <c r="O276" s="1">
        <v>660</v>
      </c>
      <c r="P276" s="12" t="s">
        <v>578</v>
      </c>
      <c r="Q276"/>
      <c r="R276" s="1" t="b">
        <f t="shared" si="44"/>
        <v>0</v>
      </c>
      <c r="S276"/>
      <c r="T276" s="1" t="b">
        <f t="shared" si="45"/>
        <v>0</v>
      </c>
      <c r="AQ276" t="b">
        <v>1</v>
      </c>
    </row>
    <row r="277" spans="1:54" x14ac:dyDescent="0.2">
      <c r="A277" t="str">
        <f t="shared" si="46"/>
        <v>2008_06_039</v>
      </c>
      <c r="B277" s="1">
        <v>2008</v>
      </c>
      <c r="C277" s="1">
        <v>6</v>
      </c>
      <c r="D277" s="1">
        <v>39</v>
      </c>
      <c r="E277" t="s">
        <v>5</v>
      </c>
      <c r="G277" s="1">
        <v>2</v>
      </c>
      <c r="H277" s="11" t="str">
        <f t="shared" si="43"/>
        <v>2008_06_039.gif</v>
      </c>
      <c r="I277"/>
      <c r="J277"/>
      <c r="L277" s="1" t="b">
        <v>0</v>
      </c>
      <c r="M277" s="1">
        <v>0</v>
      </c>
      <c r="N277" s="1" t="s">
        <v>657</v>
      </c>
      <c r="O277" s="1">
        <v>661</v>
      </c>
      <c r="P277" s="12" t="s">
        <v>685</v>
      </c>
      <c r="Q277"/>
      <c r="R277" s="1" t="b">
        <f t="shared" si="44"/>
        <v>0</v>
      </c>
      <c r="S277"/>
      <c r="T277" s="1" t="b">
        <f t="shared" si="45"/>
        <v>0</v>
      </c>
      <c r="AO277" t="b">
        <v>1</v>
      </c>
      <c r="AS277" t="b">
        <v>1</v>
      </c>
    </row>
    <row r="278" spans="1:54" x14ac:dyDescent="0.2">
      <c r="A278" t="str">
        <f t="shared" si="46"/>
        <v>2008_06_040</v>
      </c>
      <c r="B278" s="1">
        <v>2008</v>
      </c>
      <c r="C278" s="1">
        <v>6</v>
      </c>
      <c r="D278" s="1">
        <v>40</v>
      </c>
      <c r="E278" t="s">
        <v>5</v>
      </c>
      <c r="G278" s="1">
        <v>1</v>
      </c>
      <c r="H278" s="11" t="str">
        <f t="shared" si="43"/>
        <v>2008_06_040.gif</v>
      </c>
      <c r="I278"/>
      <c r="J278"/>
      <c r="L278" s="1" t="b">
        <v>0</v>
      </c>
      <c r="M278" s="1">
        <v>0</v>
      </c>
      <c r="N278" s="1" t="s">
        <v>657</v>
      </c>
      <c r="O278" s="1">
        <v>662</v>
      </c>
      <c r="P278" s="12" t="s">
        <v>595</v>
      </c>
      <c r="Q278"/>
      <c r="R278" s="1" t="b">
        <f t="shared" si="44"/>
        <v>0</v>
      </c>
      <c r="S278"/>
      <c r="T278" s="1" t="b">
        <f t="shared" si="45"/>
        <v>0</v>
      </c>
      <c r="AS278" t="b">
        <v>1</v>
      </c>
    </row>
    <row r="279" spans="1:54" x14ac:dyDescent="0.2">
      <c r="A279" t="str">
        <f t="shared" si="46"/>
        <v>2008_06_041</v>
      </c>
      <c r="B279" s="1">
        <v>2008</v>
      </c>
      <c r="C279" s="1">
        <v>6</v>
      </c>
      <c r="D279" s="1">
        <v>41</v>
      </c>
      <c r="E279" t="s">
        <v>3</v>
      </c>
      <c r="G279" s="1">
        <v>3</v>
      </c>
      <c r="H279" s="11" t="str">
        <f t="shared" si="43"/>
        <v>2008_06_041.gif</v>
      </c>
      <c r="I279"/>
      <c r="J279"/>
      <c r="L279" s="1" t="b">
        <v>0</v>
      </c>
      <c r="M279" s="1">
        <v>0</v>
      </c>
      <c r="N279" s="1" t="s">
        <v>657</v>
      </c>
      <c r="O279" s="1">
        <v>663</v>
      </c>
      <c r="P279" s="12" t="s">
        <v>549</v>
      </c>
      <c r="Q279"/>
      <c r="R279" s="1" t="b">
        <f t="shared" si="44"/>
        <v>0</v>
      </c>
      <c r="S279"/>
      <c r="T279" s="1" t="b">
        <f t="shared" si="45"/>
        <v>0</v>
      </c>
      <c r="AD279" t="b">
        <v>1</v>
      </c>
    </row>
    <row r="280" spans="1:54" x14ac:dyDescent="0.2">
      <c r="A280" t="str">
        <f t="shared" si="46"/>
        <v>2008_06_044</v>
      </c>
      <c r="B280" s="1">
        <v>2008</v>
      </c>
      <c r="C280" s="1">
        <v>6</v>
      </c>
      <c r="D280" s="1">
        <v>44</v>
      </c>
      <c r="E280" t="s">
        <v>1</v>
      </c>
      <c r="G280" s="1">
        <v>4</v>
      </c>
      <c r="H280" s="11" t="str">
        <f t="shared" si="43"/>
        <v>2008_06_044.gif</v>
      </c>
      <c r="I280"/>
      <c r="J280"/>
      <c r="L280" s="1" t="b">
        <v>0</v>
      </c>
      <c r="M280" s="1">
        <v>0</v>
      </c>
      <c r="N280" s="1" t="s">
        <v>657</v>
      </c>
      <c r="O280" s="1">
        <v>666</v>
      </c>
      <c r="P280" s="12" t="s">
        <v>0</v>
      </c>
      <c r="Q280"/>
      <c r="R280" s="1" t="b">
        <f t="shared" si="44"/>
        <v>0</v>
      </c>
      <c r="S280"/>
      <c r="T280" s="1" t="b">
        <f t="shared" si="45"/>
        <v>0</v>
      </c>
      <c r="V280" t="b">
        <v>1</v>
      </c>
    </row>
    <row r="281" spans="1:54" x14ac:dyDescent="0.2">
      <c r="A281" t="s">
        <v>502</v>
      </c>
      <c r="B281" s="1">
        <v>2009</v>
      </c>
      <c r="C281" s="1">
        <v>1</v>
      </c>
      <c r="D281" s="1">
        <v>1</v>
      </c>
      <c r="G281" s="1">
        <v>4</v>
      </c>
      <c r="H281" s="11" t="str">
        <f t="shared" si="43"/>
        <v>2009_01_001.gif</v>
      </c>
      <c r="I281"/>
      <c r="J281"/>
      <c r="L281" s="1" t="b">
        <v>0</v>
      </c>
      <c r="M281" s="1">
        <v>0</v>
      </c>
      <c r="N281" s="1" t="s">
        <v>601</v>
      </c>
      <c r="O281" s="1">
        <v>674</v>
      </c>
      <c r="P281" s="12" t="s">
        <v>595</v>
      </c>
      <c r="Q281"/>
      <c r="R281" s="1" t="b">
        <f t="shared" si="44"/>
        <v>0</v>
      </c>
      <c r="S281"/>
      <c r="T281" s="1" t="b">
        <f t="shared" si="45"/>
        <v>0</v>
      </c>
      <c r="AS281" t="b">
        <v>1</v>
      </c>
    </row>
    <row r="282" spans="1:54" x14ac:dyDescent="0.2">
      <c r="A282" t="s">
        <v>503</v>
      </c>
      <c r="B282" s="1">
        <v>2009</v>
      </c>
      <c r="C282" s="1">
        <v>1</v>
      </c>
      <c r="D282" s="1">
        <v>2</v>
      </c>
      <c r="E282" t="s">
        <v>5</v>
      </c>
      <c r="G282" s="1">
        <v>2</v>
      </c>
      <c r="H282" s="11" t="str">
        <f t="shared" si="43"/>
        <v>2009_01_002.gif</v>
      </c>
      <c r="I282"/>
      <c r="J282"/>
      <c r="L282" s="1" t="b">
        <v>0</v>
      </c>
      <c r="M282" s="1">
        <v>0</v>
      </c>
      <c r="N282" s="1" t="s">
        <v>601</v>
      </c>
      <c r="O282" s="1">
        <v>675</v>
      </c>
      <c r="P282" s="12" t="s">
        <v>577</v>
      </c>
      <c r="Q282"/>
      <c r="R282" s="1" t="b">
        <f t="shared" si="44"/>
        <v>0</v>
      </c>
      <c r="S282"/>
      <c r="T282" s="1" t="b">
        <f t="shared" si="45"/>
        <v>0</v>
      </c>
      <c r="AP282" t="b">
        <v>1</v>
      </c>
    </row>
    <row r="283" spans="1:54" x14ac:dyDescent="0.2">
      <c r="A283" t="s">
        <v>504</v>
      </c>
      <c r="B283" s="1">
        <v>2009</v>
      </c>
      <c r="C283" s="1">
        <v>1</v>
      </c>
      <c r="D283" s="1">
        <v>3</v>
      </c>
      <c r="E283" t="s">
        <v>5</v>
      </c>
      <c r="G283" s="1">
        <v>3</v>
      </c>
      <c r="H283" s="11" t="str">
        <f t="shared" si="43"/>
        <v>2009_01_003.gif</v>
      </c>
      <c r="I283"/>
      <c r="J283"/>
      <c r="L283" s="1" t="b">
        <v>0</v>
      </c>
      <c r="M283" s="1">
        <v>0</v>
      </c>
      <c r="N283" s="1" t="s">
        <v>601</v>
      </c>
      <c r="O283" s="1">
        <v>676</v>
      </c>
      <c r="P283" s="12" t="s">
        <v>556</v>
      </c>
      <c r="Q283"/>
      <c r="R283" s="1" t="b">
        <f t="shared" si="44"/>
        <v>0</v>
      </c>
      <c r="S283"/>
      <c r="T283" s="1" t="b">
        <f t="shared" si="45"/>
        <v>0</v>
      </c>
      <c r="AT283" t="b">
        <v>1</v>
      </c>
    </row>
    <row r="284" spans="1:54" x14ac:dyDescent="0.2">
      <c r="A284" t="s">
        <v>505</v>
      </c>
      <c r="B284" s="1">
        <v>2009</v>
      </c>
      <c r="C284" s="1">
        <v>1</v>
      </c>
      <c r="D284" s="1">
        <v>4</v>
      </c>
      <c r="E284" t="s">
        <v>2</v>
      </c>
      <c r="G284" s="1">
        <v>1</v>
      </c>
      <c r="H284" s="11" t="str">
        <f t="shared" si="43"/>
        <v>2009_01_004.gif</v>
      </c>
      <c r="I284"/>
      <c r="J284"/>
      <c r="L284" s="1" t="b">
        <v>0</v>
      </c>
      <c r="M284" s="1">
        <v>0</v>
      </c>
      <c r="N284" s="1" t="s">
        <v>601</v>
      </c>
      <c r="O284" s="1">
        <v>677</v>
      </c>
      <c r="P284" s="12" t="s">
        <v>594</v>
      </c>
      <c r="Q284"/>
      <c r="R284" s="1" t="b">
        <f t="shared" si="44"/>
        <v>0</v>
      </c>
      <c r="S284"/>
      <c r="T284" s="1" t="b">
        <f t="shared" si="45"/>
        <v>0</v>
      </c>
      <c r="Z284" t="b">
        <v>1</v>
      </c>
    </row>
    <row r="285" spans="1:54" x14ac:dyDescent="0.2">
      <c r="A285" t="s">
        <v>506</v>
      </c>
      <c r="B285" s="1">
        <v>2009</v>
      </c>
      <c r="C285" s="1">
        <v>1</v>
      </c>
      <c r="D285" s="1">
        <v>5</v>
      </c>
      <c r="E285" t="s">
        <v>2</v>
      </c>
      <c r="G285" s="1">
        <v>3</v>
      </c>
      <c r="H285" s="11" t="str">
        <f t="shared" si="43"/>
        <v>2009_01_005.gif</v>
      </c>
      <c r="I285"/>
      <c r="J285"/>
      <c r="L285" s="1" t="b">
        <v>0</v>
      </c>
      <c r="M285" s="1">
        <v>0</v>
      </c>
      <c r="N285" s="1" t="s">
        <v>601</v>
      </c>
      <c r="O285" s="1">
        <v>678</v>
      </c>
      <c r="P285" s="12" t="s">
        <v>552</v>
      </c>
      <c r="Q285"/>
      <c r="R285" s="1" t="b">
        <f t="shared" si="44"/>
        <v>0</v>
      </c>
      <c r="S285"/>
      <c r="T285" s="1" t="b">
        <f t="shared" si="45"/>
        <v>0</v>
      </c>
      <c r="AC285" t="b">
        <v>1</v>
      </c>
    </row>
    <row r="286" spans="1:54" x14ac:dyDescent="0.2">
      <c r="A286" t="s">
        <v>507</v>
      </c>
      <c r="B286" s="1">
        <v>2009</v>
      </c>
      <c r="C286" s="1">
        <v>1</v>
      </c>
      <c r="D286" s="1">
        <v>6</v>
      </c>
      <c r="E286" t="s">
        <v>5</v>
      </c>
      <c r="G286" s="1">
        <v>3</v>
      </c>
      <c r="H286" s="11" t="str">
        <f t="shared" si="43"/>
        <v>2009_01_006.gif</v>
      </c>
      <c r="I286"/>
      <c r="J286"/>
      <c r="L286" s="1" t="b">
        <v>0</v>
      </c>
      <c r="M286" s="1">
        <v>0</v>
      </c>
      <c r="N286" s="1" t="s">
        <v>601</v>
      </c>
      <c r="O286" s="1">
        <v>679</v>
      </c>
      <c r="P286" s="12" t="s">
        <v>596</v>
      </c>
      <c r="Q286"/>
      <c r="R286" s="1" t="b">
        <f t="shared" si="44"/>
        <v>0</v>
      </c>
      <c r="S286"/>
      <c r="T286" s="1" t="b">
        <f t="shared" si="45"/>
        <v>0</v>
      </c>
      <c r="AR286" t="b">
        <v>1</v>
      </c>
    </row>
    <row r="287" spans="1:54" x14ac:dyDescent="0.2">
      <c r="A287" t="s">
        <v>509</v>
      </c>
      <c r="B287" s="1">
        <v>2009</v>
      </c>
      <c r="C287" s="1">
        <v>1</v>
      </c>
      <c r="D287" s="1">
        <v>8</v>
      </c>
      <c r="E287" t="s">
        <v>4</v>
      </c>
      <c r="F287" t="s">
        <v>3</v>
      </c>
      <c r="G287" s="1">
        <v>3</v>
      </c>
      <c r="H287" s="11" t="str">
        <f t="shared" si="43"/>
        <v>2009_01_008.gif</v>
      </c>
      <c r="I287"/>
      <c r="J287"/>
      <c r="L287" s="1" t="b">
        <v>0</v>
      </c>
      <c r="M287" s="1">
        <v>0</v>
      </c>
      <c r="N287" s="1" t="s">
        <v>601</v>
      </c>
      <c r="O287" s="1">
        <v>681</v>
      </c>
      <c r="P287" s="12" t="s">
        <v>683</v>
      </c>
      <c r="Q287"/>
      <c r="R287" s="1" t="b">
        <f t="shared" si="44"/>
        <v>0</v>
      </c>
      <c r="S287"/>
      <c r="T287" s="1" t="b">
        <f t="shared" si="45"/>
        <v>0</v>
      </c>
      <c r="AE287" t="b">
        <v>1</v>
      </c>
      <c r="AI287" t="b">
        <v>1</v>
      </c>
    </row>
    <row r="288" spans="1:54" x14ac:dyDescent="0.2">
      <c r="A288" t="s">
        <v>510</v>
      </c>
      <c r="B288" s="1">
        <v>2009</v>
      </c>
      <c r="C288" s="1">
        <v>1</v>
      </c>
      <c r="D288" s="1">
        <v>9</v>
      </c>
      <c r="E288" t="s">
        <v>7</v>
      </c>
      <c r="G288" s="1">
        <v>2</v>
      </c>
      <c r="H288" s="11" t="str">
        <f t="shared" si="43"/>
        <v>2009_01_009.gif</v>
      </c>
      <c r="I288"/>
      <c r="J288"/>
      <c r="L288" s="1" t="b">
        <v>0</v>
      </c>
      <c r="M288" s="1">
        <v>0</v>
      </c>
      <c r="N288" s="1" t="s">
        <v>601</v>
      </c>
      <c r="O288" s="1">
        <v>682</v>
      </c>
      <c r="P288" s="12" t="s">
        <v>587</v>
      </c>
      <c r="Q288"/>
      <c r="R288" s="1" t="b">
        <f t="shared" si="44"/>
        <v>0</v>
      </c>
      <c r="S288"/>
      <c r="T288" s="1" t="b">
        <f t="shared" si="45"/>
        <v>0</v>
      </c>
      <c r="BB288" t="b">
        <v>1</v>
      </c>
    </row>
    <row r="289" spans="1:53" x14ac:dyDescent="0.2">
      <c r="A289" t="s">
        <v>512</v>
      </c>
      <c r="B289" s="1">
        <v>2009</v>
      </c>
      <c r="C289" s="1">
        <v>1</v>
      </c>
      <c r="D289" s="1">
        <v>11</v>
      </c>
      <c r="E289" t="s">
        <v>5</v>
      </c>
      <c r="G289" s="1">
        <v>1</v>
      </c>
      <c r="H289" s="11" t="str">
        <f t="shared" si="43"/>
        <v>2009_01_011.gif</v>
      </c>
      <c r="I289"/>
      <c r="J289"/>
      <c r="L289" s="1" t="b">
        <v>0</v>
      </c>
      <c r="M289" s="1">
        <v>0</v>
      </c>
      <c r="N289" s="1" t="s">
        <v>601</v>
      </c>
      <c r="O289" s="1">
        <v>684</v>
      </c>
      <c r="P289" s="12" t="s">
        <v>557</v>
      </c>
      <c r="Q289"/>
      <c r="R289" s="1" t="b">
        <f t="shared" si="44"/>
        <v>0</v>
      </c>
      <c r="S289"/>
      <c r="T289" s="1" t="b">
        <f t="shared" si="45"/>
        <v>0</v>
      </c>
      <c r="AN289" t="b">
        <v>1</v>
      </c>
    </row>
    <row r="290" spans="1:53" x14ac:dyDescent="0.2">
      <c r="A290" t="s">
        <v>513</v>
      </c>
      <c r="B290" s="1">
        <v>2009</v>
      </c>
      <c r="C290" s="1">
        <v>1</v>
      </c>
      <c r="D290" s="1">
        <v>12</v>
      </c>
      <c r="E290" t="s">
        <v>7</v>
      </c>
      <c r="G290" s="1">
        <v>1</v>
      </c>
      <c r="H290" s="11" t="str">
        <f t="shared" si="43"/>
        <v>2009_01_012.gif</v>
      </c>
      <c r="I290"/>
      <c r="J290"/>
      <c r="L290" s="1" t="b">
        <v>0</v>
      </c>
      <c r="M290" s="1">
        <v>3</v>
      </c>
      <c r="N290" s="1" t="s">
        <v>601</v>
      </c>
      <c r="O290" s="1">
        <v>685</v>
      </c>
      <c r="P290" s="12" t="s">
        <v>560</v>
      </c>
      <c r="Q290"/>
      <c r="R290" s="1" t="b">
        <f t="shared" si="44"/>
        <v>0</v>
      </c>
      <c r="S290"/>
      <c r="T290" s="1" t="b">
        <f t="shared" si="45"/>
        <v>0</v>
      </c>
      <c r="BA290" t="b">
        <v>1</v>
      </c>
    </row>
    <row r="291" spans="1:53" x14ac:dyDescent="0.2">
      <c r="A291" t="s">
        <v>514</v>
      </c>
      <c r="B291" s="1">
        <v>2009</v>
      </c>
      <c r="C291" s="1">
        <v>1</v>
      </c>
      <c r="D291" s="1">
        <v>13</v>
      </c>
      <c r="E291" t="s">
        <v>7</v>
      </c>
      <c r="G291" s="1">
        <v>3</v>
      </c>
      <c r="H291" s="11" t="str">
        <f t="shared" si="43"/>
        <v>2009_01_013.gif</v>
      </c>
      <c r="I291"/>
      <c r="J291"/>
      <c r="L291" s="1" t="b">
        <v>0</v>
      </c>
      <c r="M291" s="1">
        <v>0</v>
      </c>
      <c r="N291" s="1" t="s">
        <v>601</v>
      </c>
      <c r="O291" s="1">
        <v>686</v>
      </c>
      <c r="P291" s="12" t="s">
        <v>581</v>
      </c>
      <c r="Q291"/>
      <c r="R291" s="1" t="b">
        <f t="shared" si="44"/>
        <v>0</v>
      </c>
      <c r="S291"/>
      <c r="T291" s="1" t="b">
        <f t="shared" si="45"/>
        <v>0</v>
      </c>
      <c r="AY291" t="b">
        <v>1</v>
      </c>
    </row>
    <row r="292" spans="1:53" x14ac:dyDescent="0.2">
      <c r="A292" t="s">
        <v>515</v>
      </c>
      <c r="B292" s="1">
        <v>2009</v>
      </c>
      <c r="C292" s="1">
        <v>1</v>
      </c>
      <c r="D292" s="1">
        <v>14</v>
      </c>
      <c r="E292" t="s">
        <v>7</v>
      </c>
      <c r="G292" s="1">
        <v>4</v>
      </c>
      <c r="H292" s="11" t="str">
        <f t="shared" si="43"/>
        <v>2009_01_014.gif</v>
      </c>
      <c r="I292"/>
      <c r="J292"/>
      <c r="L292" s="1" t="b">
        <v>0</v>
      </c>
      <c r="M292" s="1">
        <v>0</v>
      </c>
      <c r="N292" s="1" t="s">
        <v>601</v>
      </c>
      <c r="O292" s="1">
        <v>687</v>
      </c>
      <c r="P292" s="12" t="s">
        <v>581</v>
      </c>
      <c r="Q292"/>
      <c r="R292" s="1" t="b">
        <f t="shared" si="44"/>
        <v>0</v>
      </c>
      <c r="S292"/>
      <c r="T292" s="1" t="b">
        <f t="shared" si="45"/>
        <v>0</v>
      </c>
      <c r="AY292" t="b">
        <v>1</v>
      </c>
    </row>
    <row r="293" spans="1:53" x14ac:dyDescent="0.2">
      <c r="A293" t="s">
        <v>527</v>
      </c>
      <c r="B293" s="1">
        <v>2009</v>
      </c>
      <c r="C293" s="1">
        <v>1</v>
      </c>
      <c r="D293" s="1">
        <v>26</v>
      </c>
      <c r="E293" t="s">
        <v>1</v>
      </c>
      <c r="G293" s="1">
        <v>2</v>
      </c>
      <c r="H293" s="11" t="str">
        <f t="shared" si="43"/>
        <v>2009_01_026.gif</v>
      </c>
      <c r="I293"/>
      <c r="J293"/>
      <c r="L293" s="1" t="b">
        <v>0</v>
      </c>
      <c r="M293" s="1">
        <v>0</v>
      </c>
      <c r="N293" s="1" t="s">
        <v>601</v>
      </c>
      <c r="O293" s="1">
        <v>699</v>
      </c>
      <c r="P293" s="12" t="s">
        <v>0</v>
      </c>
      <c r="Q293"/>
      <c r="R293" s="1" t="b">
        <f t="shared" si="44"/>
        <v>0</v>
      </c>
      <c r="S293"/>
      <c r="T293" s="1" t="b">
        <f t="shared" si="45"/>
        <v>0</v>
      </c>
      <c r="V293" t="b">
        <v>1</v>
      </c>
    </row>
    <row r="294" spans="1:53" x14ac:dyDescent="0.2">
      <c r="A294" t="str">
        <f t="shared" ref="A294:A297" si="47">B294 &amp; "_" &amp; TEXT(C294,"00") &amp; "_" &amp; TEXT(D294,"000")</f>
        <v>2009_01_036</v>
      </c>
      <c r="B294" s="1">
        <v>2009</v>
      </c>
      <c r="C294" s="1">
        <v>1</v>
      </c>
      <c r="D294" s="1">
        <v>36</v>
      </c>
      <c r="E294" t="s">
        <v>1</v>
      </c>
      <c r="G294" s="1">
        <v>2</v>
      </c>
      <c r="H294" s="11" t="str">
        <f t="shared" ref="H294:H321" si="48">HYPERLINK(A294&amp;".gif")</f>
        <v>2009_01_036.gif</v>
      </c>
      <c r="I294"/>
      <c r="J294"/>
      <c r="L294" s="1" t="b">
        <v>0</v>
      </c>
      <c r="M294" s="1">
        <v>0</v>
      </c>
      <c r="N294" s="1" t="s">
        <v>657</v>
      </c>
      <c r="O294" s="1">
        <v>709</v>
      </c>
      <c r="P294" s="12" t="s">
        <v>547</v>
      </c>
      <c r="Q294"/>
      <c r="R294" s="1" t="b">
        <f t="shared" ref="R294:R321" si="49">OR(S294:T294)</f>
        <v>0</v>
      </c>
      <c r="S294"/>
      <c r="T294" s="1" t="b">
        <f t="shared" ref="T294:T321" si="50">SUMPRODUCT(BC294:BZ294*1)&gt;0</f>
        <v>0</v>
      </c>
      <c r="U294" t="b">
        <v>1</v>
      </c>
    </row>
    <row r="295" spans="1:53" x14ac:dyDescent="0.2">
      <c r="A295" t="str">
        <f t="shared" si="47"/>
        <v>2009_01_037</v>
      </c>
      <c r="B295" s="1">
        <v>2009</v>
      </c>
      <c r="C295" s="1">
        <v>1</v>
      </c>
      <c r="D295" s="1">
        <v>37</v>
      </c>
      <c r="E295" t="s">
        <v>5</v>
      </c>
      <c r="G295" s="1">
        <v>3</v>
      </c>
      <c r="H295" s="11" t="str">
        <f t="shared" si="48"/>
        <v>2009_01_037.gif</v>
      </c>
      <c r="I295"/>
      <c r="J295"/>
      <c r="L295" s="1" t="b">
        <v>0</v>
      </c>
      <c r="M295" s="1">
        <v>0</v>
      </c>
      <c r="N295" s="1" t="s">
        <v>657</v>
      </c>
      <c r="O295" s="1">
        <v>710</v>
      </c>
      <c r="P295" s="12" t="s">
        <v>598</v>
      </c>
      <c r="Q295"/>
      <c r="R295" s="1" t="b">
        <f t="shared" si="49"/>
        <v>0</v>
      </c>
      <c r="S295"/>
      <c r="T295" s="1" t="b">
        <f t="shared" si="50"/>
        <v>0</v>
      </c>
      <c r="AO295" t="b">
        <v>1</v>
      </c>
    </row>
    <row r="296" spans="1:53" x14ac:dyDescent="0.2">
      <c r="A296" t="str">
        <f t="shared" si="47"/>
        <v>2009_01_038</v>
      </c>
      <c r="B296" s="1">
        <v>2009</v>
      </c>
      <c r="C296" s="1">
        <v>1</v>
      </c>
      <c r="D296" s="1">
        <v>38</v>
      </c>
      <c r="E296" t="s">
        <v>2</v>
      </c>
      <c r="G296" s="1">
        <v>1</v>
      </c>
      <c r="H296" s="11" t="str">
        <f t="shared" si="48"/>
        <v>2009_01_038.gif</v>
      </c>
      <c r="I296"/>
      <c r="J296"/>
      <c r="L296" s="1" t="b">
        <v>0</v>
      </c>
      <c r="M296" s="1">
        <v>0</v>
      </c>
      <c r="N296" s="1" t="s">
        <v>657</v>
      </c>
      <c r="O296" s="1">
        <v>711</v>
      </c>
      <c r="P296" s="12" t="s">
        <v>553</v>
      </c>
      <c r="Q296"/>
      <c r="R296" s="1" t="b">
        <f t="shared" si="49"/>
        <v>0</v>
      </c>
      <c r="S296"/>
      <c r="T296" s="1" t="b">
        <f t="shared" si="50"/>
        <v>0</v>
      </c>
      <c r="W296" t="b">
        <v>1</v>
      </c>
    </row>
    <row r="297" spans="1:53" x14ac:dyDescent="0.2">
      <c r="A297" t="str">
        <f t="shared" si="47"/>
        <v>2009_01_040</v>
      </c>
      <c r="B297" s="1">
        <v>2009</v>
      </c>
      <c r="C297" s="1">
        <v>1</v>
      </c>
      <c r="D297" s="1">
        <v>40</v>
      </c>
      <c r="E297" t="s">
        <v>7</v>
      </c>
      <c r="G297" s="1">
        <v>2</v>
      </c>
      <c r="H297" s="11" t="str">
        <f t="shared" si="48"/>
        <v>2009_01_040.gif</v>
      </c>
      <c r="I297"/>
      <c r="J297"/>
      <c r="L297" s="1" t="b">
        <v>0</v>
      </c>
      <c r="M297" s="1">
        <v>3</v>
      </c>
      <c r="N297" s="1" t="s">
        <v>657</v>
      </c>
      <c r="O297" s="1">
        <v>713</v>
      </c>
      <c r="P297" s="12" t="s">
        <v>686</v>
      </c>
      <c r="Q297"/>
      <c r="R297" s="1" t="b">
        <f t="shared" si="49"/>
        <v>0</v>
      </c>
      <c r="S297"/>
      <c r="T297" s="1" t="b">
        <f t="shared" si="50"/>
        <v>0</v>
      </c>
      <c r="AX297" t="b">
        <v>1</v>
      </c>
      <c r="BA297" t="b">
        <v>1</v>
      </c>
    </row>
    <row r="298" spans="1:53" x14ac:dyDescent="0.2">
      <c r="A298" t="s">
        <v>622</v>
      </c>
      <c r="B298" s="1">
        <v>2009</v>
      </c>
      <c r="C298" s="1">
        <v>6</v>
      </c>
      <c r="D298" s="1">
        <v>1</v>
      </c>
      <c r="E298" t="s">
        <v>2</v>
      </c>
      <c r="G298" s="1">
        <v>3</v>
      </c>
      <c r="H298" s="11" t="str">
        <f t="shared" si="48"/>
        <v>2009_06_001.gif</v>
      </c>
      <c r="I298"/>
      <c r="J298"/>
      <c r="L298" s="1" t="b">
        <v>0</v>
      </c>
      <c r="M298" s="1">
        <v>0</v>
      </c>
      <c r="N298" s="1" t="s">
        <v>601</v>
      </c>
      <c r="O298" s="1">
        <v>720</v>
      </c>
      <c r="P298" s="12" t="s">
        <v>594</v>
      </c>
      <c r="Q298"/>
      <c r="R298" s="1" t="b">
        <f t="shared" si="49"/>
        <v>0</v>
      </c>
      <c r="S298"/>
      <c r="T298" s="1" t="b">
        <f t="shared" si="50"/>
        <v>0</v>
      </c>
      <c r="Z298" t="b">
        <v>1</v>
      </c>
    </row>
    <row r="299" spans="1:53" x14ac:dyDescent="0.2">
      <c r="A299" t="s">
        <v>623</v>
      </c>
      <c r="B299" s="1">
        <v>2009</v>
      </c>
      <c r="C299" s="1">
        <v>6</v>
      </c>
      <c r="D299" s="1">
        <v>2</v>
      </c>
      <c r="E299" t="s">
        <v>3</v>
      </c>
      <c r="G299" s="1">
        <v>4</v>
      </c>
      <c r="H299" s="11" t="str">
        <f t="shared" si="48"/>
        <v>2009_06_002.gif</v>
      </c>
      <c r="I299"/>
      <c r="J299"/>
      <c r="L299" s="1" t="b">
        <v>0</v>
      </c>
      <c r="M299" s="1">
        <v>0</v>
      </c>
      <c r="N299" s="1" t="s">
        <v>601</v>
      </c>
      <c r="O299" s="1">
        <v>721</v>
      </c>
      <c r="P299" s="12" t="s">
        <v>550</v>
      </c>
      <c r="Q299"/>
      <c r="R299" s="1" t="b">
        <f t="shared" si="49"/>
        <v>0</v>
      </c>
      <c r="S299"/>
      <c r="T299" s="1" t="b">
        <f t="shared" si="50"/>
        <v>0</v>
      </c>
      <c r="AE299" t="b">
        <v>1</v>
      </c>
    </row>
    <row r="300" spans="1:53" x14ac:dyDescent="0.2">
      <c r="A300" t="s">
        <v>624</v>
      </c>
      <c r="B300" s="1">
        <v>2009</v>
      </c>
      <c r="C300" s="1">
        <v>6</v>
      </c>
      <c r="D300" s="1">
        <v>3</v>
      </c>
      <c r="E300" t="s">
        <v>3</v>
      </c>
      <c r="G300" s="1">
        <v>1</v>
      </c>
      <c r="H300" s="11" t="str">
        <f t="shared" si="48"/>
        <v>2009_06_003.gif</v>
      </c>
      <c r="I300"/>
      <c r="J300"/>
      <c r="L300" s="1" t="b">
        <v>0</v>
      </c>
      <c r="M300" s="1">
        <v>0</v>
      </c>
      <c r="N300" s="1" t="s">
        <v>601</v>
      </c>
      <c r="O300" s="1">
        <v>722</v>
      </c>
      <c r="P300" s="12" t="s">
        <v>546</v>
      </c>
      <c r="Q300"/>
      <c r="R300" s="1" t="b">
        <f t="shared" si="49"/>
        <v>0</v>
      </c>
      <c r="S300"/>
      <c r="T300" s="1" t="b">
        <f t="shared" si="50"/>
        <v>0</v>
      </c>
      <c r="AF300" t="b">
        <v>1</v>
      </c>
    </row>
    <row r="301" spans="1:53" x14ac:dyDescent="0.2">
      <c r="A301" t="s">
        <v>625</v>
      </c>
      <c r="B301" s="1">
        <v>2009</v>
      </c>
      <c r="C301" s="1">
        <v>6</v>
      </c>
      <c r="D301" s="1">
        <v>4</v>
      </c>
      <c r="E301" t="s">
        <v>2</v>
      </c>
      <c r="G301" s="1">
        <v>4</v>
      </c>
      <c r="H301" s="11" t="str">
        <f t="shared" si="48"/>
        <v>2009_06_004.gif</v>
      </c>
      <c r="I301"/>
      <c r="J301"/>
      <c r="L301" s="1" t="b">
        <v>0</v>
      </c>
      <c r="M301" s="1">
        <v>0</v>
      </c>
      <c r="N301" s="1" t="s">
        <v>601</v>
      </c>
      <c r="O301" s="1">
        <v>723</v>
      </c>
      <c r="P301" s="12" t="s">
        <v>594</v>
      </c>
      <c r="Q301"/>
      <c r="R301" s="1" t="b">
        <f t="shared" si="49"/>
        <v>0</v>
      </c>
      <c r="S301"/>
      <c r="T301" s="1" t="b">
        <f t="shared" si="50"/>
        <v>0</v>
      </c>
      <c r="Z301" t="b">
        <v>1</v>
      </c>
    </row>
    <row r="302" spans="1:53" x14ac:dyDescent="0.2">
      <c r="A302" t="s">
        <v>626</v>
      </c>
      <c r="B302" s="1">
        <v>2009</v>
      </c>
      <c r="C302" s="1">
        <v>6</v>
      </c>
      <c r="D302" s="1">
        <v>5</v>
      </c>
      <c r="E302" t="s">
        <v>2</v>
      </c>
      <c r="G302" s="1">
        <v>3</v>
      </c>
      <c r="H302" s="11" t="str">
        <f t="shared" si="48"/>
        <v>2009_06_005.gif</v>
      </c>
      <c r="I302"/>
      <c r="J302"/>
      <c r="L302" s="1" t="b">
        <v>0</v>
      </c>
      <c r="M302" s="1">
        <v>0</v>
      </c>
      <c r="N302" s="1" t="s">
        <v>601</v>
      </c>
      <c r="O302" s="1">
        <v>724</v>
      </c>
      <c r="P302" s="12" t="s">
        <v>552</v>
      </c>
      <c r="Q302"/>
      <c r="R302" s="1" t="b">
        <f t="shared" si="49"/>
        <v>0</v>
      </c>
      <c r="S302"/>
      <c r="T302" s="1" t="b">
        <f t="shared" si="50"/>
        <v>0</v>
      </c>
      <c r="AC302" t="b">
        <v>1</v>
      </c>
    </row>
    <row r="303" spans="1:53" x14ac:dyDescent="0.2">
      <c r="A303" t="s">
        <v>627</v>
      </c>
      <c r="B303" s="1">
        <v>2009</v>
      </c>
      <c r="C303" s="1">
        <v>6</v>
      </c>
      <c r="D303" s="1">
        <v>6</v>
      </c>
      <c r="E303" t="s">
        <v>4</v>
      </c>
      <c r="G303" s="1">
        <v>2</v>
      </c>
      <c r="H303" s="11" t="str">
        <f t="shared" si="48"/>
        <v>2009_06_006.gif</v>
      </c>
      <c r="I303"/>
      <c r="J303"/>
      <c r="L303" s="1" t="b">
        <v>0</v>
      </c>
      <c r="M303" s="1">
        <v>0</v>
      </c>
      <c r="N303" s="1" t="s">
        <v>601</v>
      </c>
      <c r="O303" s="1">
        <v>725</v>
      </c>
      <c r="P303" s="12" t="s">
        <v>600</v>
      </c>
      <c r="Q303"/>
      <c r="R303" s="1" t="b">
        <f t="shared" si="49"/>
        <v>0</v>
      </c>
      <c r="S303"/>
      <c r="T303" s="1" t="b">
        <f t="shared" si="50"/>
        <v>0</v>
      </c>
      <c r="AH303" t="b">
        <v>1</v>
      </c>
    </row>
    <row r="304" spans="1:53" x14ac:dyDescent="0.2">
      <c r="A304" t="s">
        <v>628</v>
      </c>
      <c r="B304" s="1">
        <v>2009</v>
      </c>
      <c r="C304" s="1">
        <v>6</v>
      </c>
      <c r="D304" s="1">
        <v>7</v>
      </c>
      <c r="E304" t="s">
        <v>4</v>
      </c>
      <c r="G304" s="1">
        <v>2</v>
      </c>
      <c r="H304" s="11" t="str">
        <f t="shared" si="48"/>
        <v>2009_06_007.gif</v>
      </c>
      <c r="I304"/>
      <c r="J304"/>
      <c r="L304" s="1" t="b">
        <v>0</v>
      </c>
      <c r="M304" s="1">
        <v>0</v>
      </c>
      <c r="N304" s="1" t="s">
        <v>601</v>
      </c>
      <c r="O304" s="1">
        <v>726</v>
      </c>
      <c r="P304" s="12" t="s">
        <v>593</v>
      </c>
      <c r="Q304"/>
      <c r="R304" s="1" t="b">
        <f t="shared" si="49"/>
        <v>0</v>
      </c>
      <c r="S304"/>
      <c r="T304" s="1" t="b">
        <f t="shared" si="50"/>
        <v>0</v>
      </c>
      <c r="AM304" t="b">
        <v>1</v>
      </c>
    </row>
    <row r="305" spans="1:54" x14ac:dyDescent="0.2">
      <c r="A305" t="s">
        <v>629</v>
      </c>
      <c r="B305" s="1">
        <v>2009</v>
      </c>
      <c r="C305" s="1">
        <v>6</v>
      </c>
      <c r="D305" s="1">
        <v>8</v>
      </c>
      <c r="E305" t="s">
        <v>4</v>
      </c>
      <c r="G305" s="1">
        <v>3</v>
      </c>
      <c r="H305" s="11" t="str">
        <f t="shared" si="48"/>
        <v>2009_06_008.gif</v>
      </c>
      <c r="I305"/>
      <c r="J305"/>
      <c r="L305" s="1" t="b">
        <v>0</v>
      </c>
      <c r="M305" s="1">
        <v>0</v>
      </c>
      <c r="N305" s="1" t="s">
        <v>601</v>
      </c>
      <c r="O305" s="1">
        <v>727</v>
      </c>
      <c r="P305" s="12" t="s">
        <v>593</v>
      </c>
      <c r="Q305"/>
      <c r="R305" s="1" t="b">
        <f t="shared" si="49"/>
        <v>0</v>
      </c>
      <c r="S305"/>
      <c r="T305" s="1" t="b">
        <f t="shared" si="50"/>
        <v>0</v>
      </c>
      <c r="AM305" t="b">
        <v>1</v>
      </c>
    </row>
    <row r="306" spans="1:54" x14ac:dyDescent="0.2">
      <c r="A306" t="s">
        <v>630</v>
      </c>
      <c r="B306" s="1">
        <v>2009</v>
      </c>
      <c r="C306" s="1">
        <v>6</v>
      </c>
      <c r="D306" s="1">
        <v>9</v>
      </c>
      <c r="E306" t="s">
        <v>5</v>
      </c>
      <c r="G306" s="1">
        <v>4</v>
      </c>
      <c r="H306" s="11" t="str">
        <f t="shared" si="48"/>
        <v>2009_06_009.gif</v>
      </c>
      <c r="I306"/>
      <c r="J306"/>
      <c r="L306" s="1" t="b">
        <v>0</v>
      </c>
      <c r="M306" s="1">
        <v>0</v>
      </c>
      <c r="N306" s="1" t="s">
        <v>601</v>
      </c>
      <c r="O306" s="1">
        <v>728</v>
      </c>
      <c r="P306" s="12" t="s">
        <v>596</v>
      </c>
      <c r="Q306"/>
      <c r="R306" s="1" t="b">
        <f t="shared" si="49"/>
        <v>0</v>
      </c>
      <c r="S306"/>
      <c r="T306" s="1" t="b">
        <f t="shared" si="50"/>
        <v>0</v>
      </c>
      <c r="AR306" t="b">
        <v>1</v>
      </c>
    </row>
    <row r="307" spans="1:54" x14ac:dyDescent="0.2">
      <c r="A307" t="s">
        <v>631</v>
      </c>
      <c r="B307" s="1">
        <v>2009</v>
      </c>
      <c r="C307" s="1">
        <v>6</v>
      </c>
      <c r="D307" s="1">
        <v>10</v>
      </c>
      <c r="E307" t="s">
        <v>5</v>
      </c>
      <c r="G307" s="1">
        <v>2</v>
      </c>
      <c r="H307" s="11" t="str">
        <f t="shared" si="48"/>
        <v>2009_06_010.gif</v>
      </c>
      <c r="I307"/>
      <c r="J307"/>
      <c r="L307" s="1" t="b">
        <v>0</v>
      </c>
      <c r="M307" s="1">
        <v>0</v>
      </c>
      <c r="N307" s="1" t="s">
        <v>601</v>
      </c>
      <c r="O307" s="1">
        <v>729</v>
      </c>
      <c r="P307" s="12" t="s">
        <v>595</v>
      </c>
      <c r="Q307"/>
      <c r="R307" s="1" t="b">
        <f t="shared" si="49"/>
        <v>0</v>
      </c>
      <c r="S307"/>
      <c r="T307" s="1" t="b">
        <f t="shared" si="50"/>
        <v>0</v>
      </c>
      <c r="AS307" t="b">
        <v>1</v>
      </c>
    </row>
    <row r="308" spans="1:54" x14ac:dyDescent="0.2">
      <c r="A308" t="s">
        <v>632</v>
      </c>
      <c r="B308" s="1">
        <v>2009</v>
      </c>
      <c r="C308" s="1">
        <v>6</v>
      </c>
      <c r="D308" s="1">
        <v>11</v>
      </c>
      <c r="E308" t="s">
        <v>5</v>
      </c>
      <c r="G308" s="1">
        <v>3</v>
      </c>
      <c r="H308" s="11" t="str">
        <f t="shared" si="48"/>
        <v>2009_06_011.gif</v>
      </c>
      <c r="I308"/>
      <c r="J308"/>
      <c r="L308" s="1" t="b">
        <v>0</v>
      </c>
      <c r="M308" s="1">
        <v>0</v>
      </c>
      <c r="N308" s="1" t="s">
        <v>601</v>
      </c>
      <c r="O308" s="1">
        <v>730</v>
      </c>
      <c r="P308" s="12" t="s">
        <v>595</v>
      </c>
      <c r="Q308"/>
      <c r="R308" s="1" t="b">
        <f t="shared" si="49"/>
        <v>0</v>
      </c>
      <c r="S308"/>
      <c r="T308" s="1" t="b">
        <f t="shared" si="50"/>
        <v>0</v>
      </c>
      <c r="AS308" t="b">
        <v>1</v>
      </c>
    </row>
    <row r="309" spans="1:54" x14ac:dyDescent="0.2">
      <c r="A309" t="s">
        <v>633</v>
      </c>
      <c r="B309" s="1">
        <v>2009</v>
      </c>
      <c r="C309" s="1">
        <v>6</v>
      </c>
      <c r="D309" s="1">
        <v>12</v>
      </c>
      <c r="E309" t="s">
        <v>5</v>
      </c>
      <c r="G309" s="1">
        <v>4</v>
      </c>
      <c r="H309" s="11" t="str">
        <f t="shared" si="48"/>
        <v>2009_06_012.gif</v>
      </c>
      <c r="I309"/>
      <c r="J309"/>
      <c r="L309" s="1" t="b">
        <v>0</v>
      </c>
      <c r="M309" s="1">
        <v>0</v>
      </c>
      <c r="N309" s="1" t="s">
        <v>601</v>
      </c>
      <c r="O309" s="1">
        <v>731</v>
      </c>
      <c r="P309" s="12" t="s">
        <v>556</v>
      </c>
      <c r="Q309"/>
      <c r="R309" s="1" t="b">
        <f t="shared" si="49"/>
        <v>0</v>
      </c>
      <c r="S309"/>
      <c r="T309" s="1" t="b">
        <f t="shared" si="50"/>
        <v>0</v>
      </c>
      <c r="AT309" t="b">
        <v>1</v>
      </c>
    </row>
    <row r="310" spans="1:54" x14ac:dyDescent="0.2">
      <c r="A310" t="s">
        <v>634</v>
      </c>
      <c r="B310" s="1">
        <v>2009</v>
      </c>
      <c r="C310" s="1">
        <v>6</v>
      </c>
      <c r="D310" s="1">
        <v>13</v>
      </c>
      <c r="E310" t="s">
        <v>7</v>
      </c>
      <c r="G310" s="1">
        <v>2</v>
      </c>
      <c r="H310" s="11" t="str">
        <f t="shared" si="48"/>
        <v>2009_06_013.gif</v>
      </c>
      <c r="I310"/>
      <c r="J310"/>
      <c r="L310" s="1" t="b">
        <v>0</v>
      </c>
      <c r="M310" s="1">
        <v>0</v>
      </c>
      <c r="N310" s="1" t="s">
        <v>601</v>
      </c>
      <c r="O310" s="1">
        <v>732</v>
      </c>
      <c r="P310" s="12" t="s">
        <v>587</v>
      </c>
      <c r="Q310"/>
      <c r="R310" s="1" t="b">
        <f t="shared" si="49"/>
        <v>0</v>
      </c>
      <c r="S310"/>
      <c r="T310" s="1" t="b">
        <f t="shared" si="50"/>
        <v>0</v>
      </c>
      <c r="BB310" t="b">
        <v>1</v>
      </c>
    </row>
    <row r="311" spans="1:54" x14ac:dyDescent="0.2">
      <c r="A311" t="s">
        <v>635</v>
      </c>
      <c r="B311" s="1">
        <v>2009</v>
      </c>
      <c r="C311" s="1">
        <v>6</v>
      </c>
      <c r="D311" s="1">
        <v>14</v>
      </c>
      <c r="E311" t="s">
        <v>7</v>
      </c>
      <c r="G311" s="1">
        <v>3</v>
      </c>
      <c r="H311" s="11" t="str">
        <f t="shared" si="48"/>
        <v>2009_06_014.gif</v>
      </c>
      <c r="I311"/>
      <c r="J311"/>
      <c r="L311" s="1" t="b">
        <v>0</v>
      </c>
      <c r="M311" s="1">
        <v>0</v>
      </c>
      <c r="N311" s="1" t="s">
        <v>601</v>
      </c>
      <c r="O311" s="1">
        <v>733</v>
      </c>
      <c r="P311" s="12" t="s">
        <v>581</v>
      </c>
      <c r="Q311"/>
      <c r="R311" s="1" t="b">
        <f t="shared" si="49"/>
        <v>0</v>
      </c>
      <c r="S311"/>
      <c r="T311" s="1" t="b">
        <f t="shared" si="50"/>
        <v>0</v>
      </c>
      <c r="AY311" t="b">
        <v>1</v>
      </c>
    </row>
    <row r="312" spans="1:54" x14ac:dyDescent="0.2">
      <c r="A312" t="s">
        <v>636</v>
      </c>
      <c r="B312" s="1">
        <v>2009</v>
      </c>
      <c r="C312" s="1">
        <v>6</v>
      </c>
      <c r="D312" s="1">
        <v>15</v>
      </c>
      <c r="E312" t="s">
        <v>7</v>
      </c>
      <c r="G312" s="1">
        <v>3</v>
      </c>
      <c r="H312" s="11" t="str">
        <f t="shared" si="48"/>
        <v>2009_06_015.gif</v>
      </c>
      <c r="I312"/>
      <c r="J312"/>
      <c r="L312" s="1" t="b">
        <v>0</v>
      </c>
      <c r="M312" s="1">
        <v>0</v>
      </c>
      <c r="N312" s="1" t="s">
        <v>601</v>
      </c>
      <c r="O312" s="1">
        <v>734</v>
      </c>
      <c r="P312" s="12" t="s">
        <v>579</v>
      </c>
      <c r="Q312"/>
      <c r="R312" s="1" t="b">
        <f t="shared" si="49"/>
        <v>0</v>
      </c>
      <c r="S312"/>
      <c r="T312" s="1" t="b">
        <f t="shared" si="50"/>
        <v>0</v>
      </c>
      <c r="AX312" t="b">
        <v>1</v>
      </c>
    </row>
    <row r="313" spans="1:54" x14ac:dyDescent="0.2">
      <c r="A313" t="s">
        <v>637</v>
      </c>
      <c r="B313" s="1">
        <v>2009</v>
      </c>
      <c r="C313" s="1">
        <v>6</v>
      </c>
      <c r="D313" s="1">
        <v>16</v>
      </c>
      <c r="E313" t="s">
        <v>7</v>
      </c>
      <c r="G313" s="1">
        <v>1</v>
      </c>
      <c r="H313" s="11" t="str">
        <f t="shared" si="48"/>
        <v>2009_06_016.gif</v>
      </c>
      <c r="I313"/>
      <c r="J313"/>
      <c r="L313" s="1" t="b">
        <v>0</v>
      </c>
      <c r="M313" s="1">
        <v>4</v>
      </c>
      <c r="N313" s="1" t="s">
        <v>601</v>
      </c>
      <c r="O313" s="1">
        <v>735</v>
      </c>
      <c r="P313" s="12" t="s">
        <v>560</v>
      </c>
      <c r="Q313"/>
      <c r="R313" s="1" t="b">
        <f t="shared" si="49"/>
        <v>0</v>
      </c>
      <c r="S313"/>
      <c r="T313" s="1" t="b">
        <f t="shared" si="50"/>
        <v>0</v>
      </c>
      <c r="BA313" t="b">
        <v>1</v>
      </c>
    </row>
    <row r="314" spans="1:54" x14ac:dyDescent="0.2">
      <c r="A314" t="str">
        <f t="shared" ref="A314:A319" si="51">B314 &amp; "_" &amp; TEXT(C314,"00") &amp; "_" &amp; TEXT(D314,"000")</f>
        <v>2009_06_036</v>
      </c>
      <c r="B314" s="1">
        <v>2009</v>
      </c>
      <c r="C314" s="1">
        <v>6</v>
      </c>
      <c r="D314" s="1">
        <v>36</v>
      </c>
      <c r="E314" t="s">
        <v>1</v>
      </c>
      <c r="G314" s="1">
        <v>1</v>
      </c>
      <c r="H314" s="11" t="str">
        <f t="shared" si="48"/>
        <v>2009_06_036.gif</v>
      </c>
      <c r="I314"/>
      <c r="J314"/>
      <c r="L314" s="1" t="b">
        <v>0</v>
      </c>
      <c r="M314" s="1">
        <v>0</v>
      </c>
      <c r="N314" s="1" t="s">
        <v>657</v>
      </c>
      <c r="O314" s="1">
        <v>755</v>
      </c>
      <c r="P314" s="12" t="s">
        <v>547</v>
      </c>
      <c r="Q314"/>
      <c r="R314" s="1" t="b">
        <f t="shared" si="49"/>
        <v>0</v>
      </c>
      <c r="S314"/>
      <c r="T314" s="1" t="b">
        <f t="shared" si="50"/>
        <v>0</v>
      </c>
      <c r="U314" t="b">
        <v>1</v>
      </c>
    </row>
    <row r="315" spans="1:54" x14ac:dyDescent="0.2">
      <c r="A315" t="str">
        <f t="shared" si="51"/>
        <v>2009_06_037</v>
      </c>
      <c r="B315" s="1">
        <v>2009</v>
      </c>
      <c r="C315" s="1">
        <v>6</v>
      </c>
      <c r="D315" s="1">
        <v>37</v>
      </c>
      <c r="E315" t="s">
        <v>2</v>
      </c>
      <c r="G315" s="1">
        <v>1</v>
      </c>
      <c r="H315" s="11" t="str">
        <f t="shared" si="48"/>
        <v>2009_06_037.gif</v>
      </c>
      <c r="I315"/>
      <c r="J315"/>
      <c r="L315" s="1" t="b">
        <v>0</v>
      </c>
      <c r="M315" s="1">
        <v>0</v>
      </c>
      <c r="N315" s="1" t="s">
        <v>657</v>
      </c>
      <c r="O315" s="1">
        <v>756</v>
      </c>
      <c r="P315" s="12" t="s">
        <v>553</v>
      </c>
      <c r="Q315"/>
      <c r="R315" s="1" t="b">
        <f t="shared" si="49"/>
        <v>0</v>
      </c>
      <c r="S315"/>
      <c r="T315" s="1" t="b">
        <f t="shared" si="50"/>
        <v>0</v>
      </c>
      <c r="W315" t="b">
        <v>1</v>
      </c>
    </row>
    <row r="316" spans="1:54" x14ac:dyDescent="0.2">
      <c r="A316" t="str">
        <f t="shared" si="51"/>
        <v>2009_06_038</v>
      </c>
      <c r="B316" s="1">
        <v>2009</v>
      </c>
      <c r="C316" s="1">
        <v>6</v>
      </c>
      <c r="D316" s="1">
        <v>38</v>
      </c>
      <c r="E316" t="s">
        <v>2</v>
      </c>
      <c r="G316" s="1">
        <v>3</v>
      </c>
      <c r="H316" s="11" t="str">
        <f t="shared" si="48"/>
        <v>2009_06_038.gif</v>
      </c>
      <c r="I316"/>
      <c r="J316"/>
      <c r="L316" s="1" t="b">
        <v>0</v>
      </c>
      <c r="M316" s="1">
        <v>0</v>
      </c>
      <c r="N316" s="1" t="s">
        <v>657</v>
      </c>
      <c r="O316" s="1">
        <v>757</v>
      </c>
      <c r="P316" s="12" t="s">
        <v>553</v>
      </c>
      <c r="Q316"/>
      <c r="R316" s="1" t="b">
        <f t="shared" si="49"/>
        <v>0</v>
      </c>
      <c r="S316"/>
      <c r="T316" s="1" t="b">
        <f t="shared" si="50"/>
        <v>0</v>
      </c>
      <c r="W316" t="b">
        <v>1</v>
      </c>
    </row>
    <row r="317" spans="1:54" x14ac:dyDescent="0.2">
      <c r="A317" t="str">
        <f t="shared" si="51"/>
        <v>2009_06_039</v>
      </c>
      <c r="B317" s="1">
        <v>2009</v>
      </c>
      <c r="C317" s="1">
        <v>6</v>
      </c>
      <c r="D317" s="1">
        <v>39</v>
      </c>
      <c r="E317" t="s">
        <v>5</v>
      </c>
      <c r="G317" s="1">
        <v>2</v>
      </c>
      <c r="H317" s="11" t="str">
        <f t="shared" si="48"/>
        <v>2009_06_039.gif</v>
      </c>
      <c r="I317"/>
      <c r="J317"/>
      <c r="L317" s="1" t="b">
        <v>0</v>
      </c>
      <c r="M317" s="1">
        <v>0</v>
      </c>
      <c r="N317" s="1" t="s">
        <v>657</v>
      </c>
      <c r="O317" s="1">
        <v>758</v>
      </c>
      <c r="P317" s="12" t="s">
        <v>556</v>
      </c>
      <c r="Q317"/>
      <c r="R317" s="1" t="b">
        <f t="shared" si="49"/>
        <v>0</v>
      </c>
      <c r="S317"/>
      <c r="T317" s="1" t="b">
        <f t="shared" si="50"/>
        <v>0</v>
      </c>
      <c r="AT317" t="b">
        <v>1</v>
      </c>
    </row>
    <row r="318" spans="1:54" x14ac:dyDescent="0.2">
      <c r="A318" t="str">
        <f t="shared" si="51"/>
        <v>2009_06_040</v>
      </c>
      <c r="B318" s="1">
        <v>2009</v>
      </c>
      <c r="C318" s="1">
        <v>6</v>
      </c>
      <c r="D318" s="1">
        <v>40</v>
      </c>
      <c r="E318" t="s">
        <v>6</v>
      </c>
      <c r="G318" s="1">
        <v>4</v>
      </c>
      <c r="H318" s="11" t="str">
        <f t="shared" si="48"/>
        <v>2009_06_040.gif</v>
      </c>
      <c r="I318"/>
      <c r="J318"/>
      <c r="L318" s="1" t="b">
        <v>0</v>
      </c>
      <c r="M318" s="1">
        <v>0</v>
      </c>
      <c r="N318" s="1" t="s">
        <v>657</v>
      </c>
      <c r="O318" s="1">
        <v>759</v>
      </c>
      <c r="P318" s="12" t="s">
        <v>558</v>
      </c>
      <c r="Q318"/>
      <c r="R318" s="1" t="b">
        <f t="shared" si="49"/>
        <v>0</v>
      </c>
      <c r="S318"/>
      <c r="T318" s="1" t="b">
        <f t="shared" si="50"/>
        <v>0</v>
      </c>
      <c r="AV318" t="b">
        <v>1</v>
      </c>
    </row>
    <row r="319" spans="1:54" x14ac:dyDescent="0.2">
      <c r="A319" t="str">
        <f t="shared" si="51"/>
        <v>2009_06_043</v>
      </c>
      <c r="B319" s="1">
        <v>2009</v>
      </c>
      <c r="C319" s="1">
        <v>6</v>
      </c>
      <c r="D319" s="1">
        <v>43</v>
      </c>
      <c r="E319" t="s">
        <v>1</v>
      </c>
      <c r="G319" s="1">
        <v>1</v>
      </c>
      <c r="H319" s="11" t="str">
        <f t="shared" si="48"/>
        <v>2009_06_043.gif</v>
      </c>
      <c r="I319"/>
      <c r="J319"/>
      <c r="L319" s="1" t="b">
        <v>0</v>
      </c>
      <c r="M319" s="1">
        <v>0</v>
      </c>
      <c r="N319" s="1" t="s">
        <v>657</v>
      </c>
      <c r="O319" s="1">
        <v>762</v>
      </c>
      <c r="P319" s="12" t="s">
        <v>0</v>
      </c>
      <c r="Q319"/>
      <c r="R319" s="1" t="b">
        <f t="shared" si="49"/>
        <v>0</v>
      </c>
      <c r="S319"/>
      <c r="T319" s="1" t="b">
        <f t="shared" si="50"/>
        <v>0</v>
      </c>
      <c r="V319" t="b">
        <v>1</v>
      </c>
    </row>
    <row r="320" spans="1:54" x14ac:dyDescent="0.2">
      <c r="A320" s="19" t="s">
        <v>689</v>
      </c>
      <c r="B320" s="1">
        <v>2010</v>
      </c>
      <c r="C320" s="1">
        <v>6</v>
      </c>
      <c r="D320" s="1">
        <v>1</v>
      </c>
      <c r="E320" t="s">
        <v>2</v>
      </c>
      <c r="G320" s="18">
        <v>2</v>
      </c>
      <c r="H320" s="11" t="str">
        <f t="shared" si="48"/>
        <v>2010_06_001.gif</v>
      </c>
      <c r="I320"/>
      <c r="J320"/>
      <c r="L320" s="1" t="b">
        <v>0</v>
      </c>
      <c r="M320" s="1">
        <v>0</v>
      </c>
      <c r="N320" s="1" t="s">
        <v>601</v>
      </c>
      <c r="O320" s="1">
        <v>767</v>
      </c>
      <c r="Q320"/>
      <c r="R320" s="1" t="b">
        <f t="shared" si="49"/>
        <v>0</v>
      </c>
      <c r="S320"/>
      <c r="T320" s="1" t="b">
        <f t="shared" si="50"/>
        <v>0</v>
      </c>
      <c r="Z320" t="b">
        <v>1</v>
      </c>
    </row>
    <row r="321" spans="1:53" x14ac:dyDescent="0.2">
      <c r="A321" s="19" t="s">
        <v>690</v>
      </c>
      <c r="B321" s="1">
        <v>2010</v>
      </c>
      <c r="C321" s="1">
        <v>6</v>
      </c>
      <c r="D321" s="1">
        <v>2</v>
      </c>
      <c r="E321" t="s">
        <v>2</v>
      </c>
      <c r="G321" s="18">
        <v>3</v>
      </c>
      <c r="H321" s="11" t="str">
        <f t="shared" si="48"/>
        <v>2010_06_002.gif</v>
      </c>
      <c r="I321"/>
      <c r="J321"/>
      <c r="L321" s="1" t="b">
        <v>0</v>
      </c>
      <c r="M321" s="1">
        <v>0</v>
      </c>
      <c r="N321" s="1" t="s">
        <v>601</v>
      </c>
      <c r="O321" s="1">
        <v>768</v>
      </c>
      <c r="Q321"/>
      <c r="R321" s="1" t="b">
        <f t="shared" si="49"/>
        <v>0</v>
      </c>
      <c r="S321"/>
      <c r="T321" s="1" t="b">
        <f t="shared" si="50"/>
        <v>0</v>
      </c>
      <c r="Z321" t="b">
        <v>1</v>
      </c>
    </row>
    <row r="322" spans="1:53" x14ac:dyDescent="0.2">
      <c r="A322" s="19" t="s">
        <v>691</v>
      </c>
      <c r="B322" s="1">
        <v>2010</v>
      </c>
      <c r="C322" s="1">
        <v>6</v>
      </c>
      <c r="D322" s="1">
        <v>3</v>
      </c>
      <c r="E322" t="s">
        <v>2</v>
      </c>
      <c r="G322" s="18">
        <v>3</v>
      </c>
      <c r="H322" s="11" t="str">
        <f t="shared" ref="H322:H343" si="52">HYPERLINK(A322&amp;".gif")</f>
        <v>2010_06_003.gif</v>
      </c>
      <c r="I322"/>
      <c r="J322"/>
      <c r="L322" s="1" t="b">
        <v>0</v>
      </c>
      <c r="M322" s="1">
        <v>0</v>
      </c>
      <c r="N322" s="1" t="s">
        <v>601</v>
      </c>
      <c r="O322" s="1">
        <v>769</v>
      </c>
      <c r="Q322"/>
      <c r="R322" s="1" t="b">
        <f t="shared" ref="R322:R343" si="53">OR(S322:T322)</f>
        <v>0</v>
      </c>
      <c r="S322"/>
      <c r="T322" s="1" t="b">
        <f t="shared" ref="T322:T343" si="54">SUMPRODUCT(BC322:BZ322*1)&gt;0</f>
        <v>0</v>
      </c>
      <c r="AB322" t="b">
        <v>1</v>
      </c>
    </row>
    <row r="323" spans="1:53" x14ac:dyDescent="0.2">
      <c r="A323" s="19" t="s">
        <v>692</v>
      </c>
      <c r="B323" s="1">
        <v>2010</v>
      </c>
      <c r="C323" s="1">
        <v>6</v>
      </c>
      <c r="D323" s="1">
        <v>4</v>
      </c>
      <c r="E323" t="s">
        <v>6</v>
      </c>
      <c r="G323" s="18">
        <v>4</v>
      </c>
      <c r="H323" s="11" t="str">
        <f t="shared" si="52"/>
        <v>2010_06_004.gif</v>
      </c>
      <c r="I323"/>
      <c r="J323"/>
      <c r="L323" s="1" t="b">
        <v>0</v>
      </c>
      <c r="M323" s="1">
        <v>0</v>
      </c>
      <c r="N323" s="1" t="s">
        <v>601</v>
      </c>
      <c r="O323" s="1">
        <v>770</v>
      </c>
      <c r="Q323"/>
      <c r="R323" s="1" t="b">
        <f t="shared" si="53"/>
        <v>0</v>
      </c>
      <c r="S323"/>
      <c r="T323" s="1" t="b">
        <f t="shared" si="54"/>
        <v>0</v>
      </c>
      <c r="AV323" t="b">
        <v>1</v>
      </c>
    </row>
    <row r="324" spans="1:53" x14ac:dyDescent="0.2">
      <c r="A324" s="19" t="s">
        <v>693</v>
      </c>
      <c r="B324" s="1">
        <v>2010</v>
      </c>
      <c r="C324" s="1">
        <v>6</v>
      </c>
      <c r="D324" s="1">
        <v>5</v>
      </c>
      <c r="E324" t="s">
        <v>5</v>
      </c>
      <c r="G324" s="18">
        <v>4</v>
      </c>
      <c r="H324" s="11" t="str">
        <f t="shared" si="52"/>
        <v>2010_06_005.gif</v>
      </c>
      <c r="I324"/>
      <c r="J324"/>
      <c r="L324" s="1" t="b">
        <v>0</v>
      </c>
      <c r="M324" s="1">
        <v>0</v>
      </c>
      <c r="N324" s="1" t="s">
        <v>601</v>
      </c>
      <c r="O324" s="1">
        <v>771</v>
      </c>
      <c r="Q324"/>
      <c r="R324" s="1" t="b">
        <f t="shared" si="53"/>
        <v>0</v>
      </c>
      <c r="S324"/>
      <c r="T324" s="1" t="b">
        <f t="shared" si="54"/>
        <v>0</v>
      </c>
      <c r="AS324" t="b">
        <v>1</v>
      </c>
    </row>
    <row r="325" spans="1:53" x14ac:dyDescent="0.2">
      <c r="A325" s="19" t="s">
        <v>694</v>
      </c>
      <c r="B325" s="1">
        <v>2010</v>
      </c>
      <c r="C325" s="1">
        <v>6</v>
      </c>
      <c r="D325" s="1">
        <v>6</v>
      </c>
      <c r="E325" t="s">
        <v>4</v>
      </c>
      <c r="G325" s="18">
        <v>1</v>
      </c>
      <c r="H325" s="11" t="str">
        <f t="shared" si="52"/>
        <v>2010_06_006.gif</v>
      </c>
      <c r="I325"/>
      <c r="J325"/>
      <c r="L325" s="1" t="b">
        <v>0</v>
      </c>
      <c r="M325" s="1">
        <v>0</v>
      </c>
      <c r="N325" s="1" t="s">
        <v>601</v>
      </c>
      <c r="O325" s="1">
        <v>772</v>
      </c>
      <c r="Q325"/>
      <c r="R325" s="1" t="b">
        <f t="shared" si="53"/>
        <v>0</v>
      </c>
      <c r="S325"/>
      <c r="T325" s="1" t="b">
        <f t="shared" si="54"/>
        <v>0</v>
      </c>
      <c r="AJ325" t="b">
        <v>1</v>
      </c>
    </row>
    <row r="326" spans="1:53" x14ac:dyDescent="0.2">
      <c r="A326" s="19" t="s">
        <v>695</v>
      </c>
      <c r="B326" s="1">
        <v>2010</v>
      </c>
      <c r="C326" s="1">
        <v>6</v>
      </c>
      <c r="D326" s="1">
        <v>7</v>
      </c>
      <c r="E326" t="s">
        <v>5</v>
      </c>
      <c r="G326" s="18">
        <v>2</v>
      </c>
      <c r="H326" s="11" t="str">
        <f t="shared" si="52"/>
        <v>2010_06_007.gif</v>
      </c>
      <c r="I326"/>
      <c r="J326"/>
      <c r="L326" s="1" t="b">
        <v>0</v>
      </c>
      <c r="M326" s="1">
        <v>0</v>
      </c>
      <c r="N326" s="1" t="s">
        <v>601</v>
      </c>
      <c r="O326" s="1">
        <v>773</v>
      </c>
      <c r="Q326"/>
      <c r="R326" s="1" t="b">
        <f t="shared" si="53"/>
        <v>0</v>
      </c>
      <c r="S326"/>
      <c r="T326" s="1" t="b">
        <f t="shared" si="54"/>
        <v>0</v>
      </c>
      <c r="AT326" t="b">
        <v>1</v>
      </c>
    </row>
    <row r="327" spans="1:53" x14ac:dyDescent="0.2">
      <c r="A327" s="19" t="s">
        <v>696</v>
      </c>
      <c r="B327" s="1">
        <v>2010</v>
      </c>
      <c r="C327" s="1">
        <v>6</v>
      </c>
      <c r="D327" s="1">
        <v>8</v>
      </c>
      <c r="E327" t="s">
        <v>6</v>
      </c>
      <c r="G327" s="18">
        <v>1</v>
      </c>
      <c r="H327" s="11" t="str">
        <f t="shared" si="52"/>
        <v>2010_06_008.gif</v>
      </c>
      <c r="I327"/>
      <c r="J327"/>
      <c r="L327" s="1" t="b">
        <v>0</v>
      </c>
      <c r="M327" s="1">
        <v>0</v>
      </c>
      <c r="N327" s="1" t="s">
        <v>601</v>
      </c>
      <c r="O327" s="1">
        <v>774</v>
      </c>
      <c r="Q327"/>
      <c r="R327" s="1" t="b">
        <f t="shared" si="53"/>
        <v>0</v>
      </c>
      <c r="S327"/>
      <c r="T327" s="1" t="b">
        <f t="shared" si="54"/>
        <v>0</v>
      </c>
      <c r="AW327" t="b">
        <v>1</v>
      </c>
    </row>
    <row r="328" spans="1:53" x14ac:dyDescent="0.2">
      <c r="A328" s="19" t="s">
        <v>697</v>
      </c>
      <c r="B328" s="1">
        <v>2010</v>
      </c>
      <c r="C328" s="1">
        <v>6</v>
      </c>
      <c r="D328" s="1">
        <v>9</v>
      </c>
      <c r="E328" t="s">
        <v>5</v>
      </c>
      <c r="G328" s="18">
        <v>4</v>
      </c>
      <c r="H328" s="11" t="str">
        <f t="shared" si="52"/>
        <v>2010_06_009.gif</v>
      </c>
      <c r="I328"/>
      <c r="J328"/>
      <c r="L328" s="1" t="b">
        <v>0</v>
      </c>
      <c r="M328" s="1">
        <v>0</v>
      </c>
      <c r="N328" s="1" t="s">
        <v>601</v>
      </c>
      <c r="O328" s="1">
        <v>775</v>
      </c>
      <c r="Q328"/>
      <c r="R328" s="1" t="b">
        <f t="shared" si="53"/>
        <v>0</v>
      </c>
      <c r="S328"/>
      <c r="T328" s="1" t="b">
        <f t="shared" si="54"/>
        <v>0</v>
      </c>
      <c r="AR328" t="b">
        <v>1</v>
      </c>
    </row>
    <row r="329" spans="1:53" x14ac:dyDescent="0.2">
      <c r="A329" s="19" t="s">
        <v>698</v>
      </c>
      <c r="B329" s="1">
        <v>2010</v>
      </c>
      <c r="C329" s="1">
        <v>6</v>
      </c>
      <c r="D329" s="1">
        <v>10</v>
      </c>
      <c r="E329" t="s">
        <v>5</v>
      </c>
      <c r="G329" s="18">
        <v>4</v>
      </c>
      <c r="H329" s="11" t="str">
        <f t="shared" si="52"/>
        <v>2010_06_010.gif</v>
      </c>
      <c r="I329"/>
      <c r="J329"/>
      <c r="L329" s="1" t="b">
        <v>0</v>
      </c>
      <c r="M329" s="1">
        <v>0</v>
      </c>
      <c r="N329" s="1" t="s">
        <v>601</v>
      </c>
      <c r="O329" s="1">
        <v>776</v>
      </c>
      <c r="Q329"/>
      <c r="R329" s="1" t="b">
        <f t="shared" si="53"/>
        <v>0</v>
      </c>
      <c r="S329"/>
      <c r="T329" s="1" t="b">
        <f t="shared" si="54"/>
        <v>0</v>
      </c>
      <c r="AS329" t="b">
        <v>1</v>
      </c>
    </row>
    <row r="330" spans="1:53" x14ac:dyDescent="0.2">
      <c r="A330" s="19" t="s">
        <v>699</v>
      </c>
      <c r="B330" s="1">
        <v>2010</v>
      </c>
      <c r="C330" s="1">
        <v>6</v>
      </c>
      <c r="D330" s="1">
        <v>11</v>
      </c>
      <c r="E330" t="s">
        <v>2</v>
      </c>
      <c r="G330" s="18">
        <v>3</v>
      </c>
      <c r="H330" s="11" t="str">
        <f t="shared" si="52"/>
        <v>2010_06_011.gif</v>
      </c>
      <c r="I330"/>
      <c r="J330"/>
      <c r="L330" s="1" t="b">
        <v>0</v>
      </c>
      <c r="M330" s="1">
        <v>0</v>
      </c>
      <c r="N330" s="1" t="s">
        <v>601</v>
      </c>
      <c r="O330" s="1">
        <v>777</v>
      </c>
      <c r="Q330"/>
      <c r="R330" s="1" t="b">
        <f t="shared" si="53"/>
        <v>0</v>
      </c>
      <c r="S330"/>
      <c r="T330" s="1" t="b">
        <f t="shared" si="54"/>
        <v>0</v>
      </c>
      <c r="AC330" t="b">
        <v>1</v>
      </c>
    </row>
    <row r="331" spans="1:53" x14ac:dyDescent="0.2">
      <c r="A331" s="19" t="s">
        <v>700</v>
      </c>
      <c r="B331" s="1">
        <v>2010</v>
      </c>
      <c r="C331" s="1">
        <v>6</v>
      </c>
      <c r="D331" s="1">
        <v>12</v>
      </c>
      <c r="E331" t="s">
        <v>4</v>
      </c>
      <c r="G331" s="18">
        <v>3</v>
      </c>
      <c r="H331" s="11" t="str">
        <f t="shared" si="52"/>
        <v>2010_06_012.gif</v>
      </c>
      <c r="I331"/>
      <c r="J331"/>
      <c r="L331" s="1" t="b">
        <v>0</v>
      </c>
      <c r="M331" s="1">
        <v>0</v>
      </c>
      <c r="N331" s="1" t="s">
        <v>601</v>
      </c>
      <c r="O331" s="1">
        <v>778</v>
      </c>
      <c r="Q331"/>
      <c r="R331" s="1" t="b">
        <f t="shared" si="53"/>
        <v>0</v>
      </c>
      <c r="S331"/>
      <c r="T331" s="1" t="b">
        <f t="shared" si="54"/>
        <v>0</v>
      </c>
      <c r="AL331" t="b">
        <v>1</v>
      </c>
    </row>
    <row r="332" spans="1:53" x14ac:dyDescent="0.2">
      <c r="A332" s="19" t="s">
        <v>701</v>
      </c>
      <c r="B332" s="1">
        <v>2010</v>
      </c>
      <c r="C332" s="1">
        <v>6</v>
      </c>
      <c r="D332" s="1">
        <v>13</v>
      </c>
      <c r="E332" t="s">
        <v>6</v>
      </c>
      <c r="G332" s="18">
        <v>2</v>
      </c>
      <c r="H332" s="11" t="str">
        <f t="shared" si="52"/>
        <v>2010_06_013.gif</v>
      </c>
      <c r="I332"/>
      <c r="J332"/>
      <c r="L332" s="1" t="b">
        <v>0</v>
      </c>
      <c r="M332" s="1">
        <v>0</v>
      </c>
      <c r="N332" s="1" t="s">
        <v>601</v>
      </c>
      <c r="O332" s="1">
        <v>779</v>
      </c>
      <c r="Q332"/>
      <c r="R332" s="1" t="b">
        <f t="shared" si="53"/>
        <v>0</v>
      </c>
      <c r="S332"/>
      <c r="T332" s="1" t="b">
        <f t="shared" si="54"/>
        <v>0</v>
      </c>
      <c r="AU332" t="b">
        <v>1</v>
      </c>
    </row>
    <row r="333" spans="1:53" x14ac:dyDescent="0.2">
      <c r="A333" s="19" t="s">
        <v>702</v>
      </c>
      <c r="B333" s="1">
        <v>2010</v>
      </c>
      <c r="C333" s="1">
        <v>6</v>
      </c>
      <c r="D333" s="1">
        <v>14</v>
      </c>
      <c r="E333" t="s">
        <v>4</v>
      </c>
      <c r="G333" s="18">
        <v>4</v>
      </c>
      <c r="H333" s="11" t="str">
        <f t="shared" si="52"/>
        <v>2010_06_014.gif</v>
      </c>
      <c r="I333"/>
      <c r="J333"/>
      <c r="L333" s="1" t="b">
        <v>0</v>
      </c>
      <c r="M333" s="1">
        <v>0</v>
      </c>
      <c r="N333" s="1" t="s">
        <v>601</v>
      </c>
      <c r="O333" s="1">
        <v>780</v>
      </c>
      <c r="Q333"/>
      <c r="R333" s="1" t="b">
        <f t="shared" si="53"/>
        <v>0</v>
      </c>
      <c r="S333"/>
      <c r="T333" s="1" t="b">
        <f t="shared" si="54"/>
        <v>0</v>
      </c>
      <c r="AI333" t="b">
        <v>1</v>
      </c>
    </row>
    <row r="334" spans="1:53" x14ac:dyDescent="0.2">
      <c r="A334" s="19" t="s">
        <v>703</v>
      </c>
      <c r="B334" s="1">
        <v>2010</v>
      </c>
      <c r="C334" s="1">
        <v>6</v>
      </c>
      <c r="D334" s="1">
        <v>15</v>
      </c>
      <c r="E334" t="s">
        <v>7</v>
      </c>
      <c r="G334" s="18">
        <v>3</v>
      </c>
      <c r="H334" s="11" t="str">
        <f t="shared" si="52"/>
        <v>2010_06_015.gif</v>
      </c>
      <c r="I334"/>
      <c r="J334"/>
      <c r="L334" s="1" t="b">
        <v>0</v>
      </c>
      <c r="M334" s="1">
        <v>3</v>
      </c>
      <c r="N334" s="1" t="s">
        <v>601</v>
      </c>
      <c r="O334" s="1">
        <v>781</v>
      </c>
      <c r="Q334"/>
      <c r="R334" s="1" t="b">
        <f t="shared" si="53"/>
        <v>0</v>
      </c>
      <c r="S334"/>
      <c r="T334" s="1" t="b">
        <f t="shared" si="54"/>
        <v>0</v>
      </c>
      <c r="AX334" t="b">
        <v>1</v>
      </c>
    </row>
    <row r="335" spans="1:53" x14ac:dyDescent="0.2">
      <c r="A335" s="19" t="s">
        <v>704</v>
      </c>
      <c r="B335" s="1">
        <v>2010</v>
      </c>
      <c r="C335" s="1">
        <v>6</v>
      </c>
      <c r="D335" s="1">
        <v>16</v>
      </c>
      <c r="E335" t="s">
        <v>7</v>
      </c>
      <c r="G335" s="18">
        <v>3</v>
      </c>
      <c r="H335" s="11" t="str">
        <f t="shared" si="52"/>
        <v>2010_06_016.gif</v>
      </c>
      <c r="I335"/>
      <c r="J335"/>
      <c r="L335" s="1" t="b">
        <v>0</v>
      </c>
      <c r="M335" s="1">
        <v>0</v>
      </c>
      <c r="N335" s="1" t="s">
        <v>601</v>
      </c>
      <c r="O335" s="1">
        <v>782</v>
      </c>
      <c r="Q335"/>
      <c r="R335" s="1" t="b">
        <f t="shared" si="53"/>
        <v>0</v>
      </c>
      <c r="S335"/>
      <c r="T335" s="1" t="b">
        <f t="shared" si="54"/>
        <v>0</v>
      </c>
      <c r="AZ335" t="b">
        <v>1</v>
      </c>
    </row>
    <row r="336" spans="1:53" x14ac:dyDescent="0.2">
      <c r="A336" s="19" t="s">
        <v>705</v>
      </c>
      <c r="B336" s="1">
        <v>2010</v>
      </c>
      <c r="C336" s="1">
        <v>6</v>
      </c>
      <c r="D336" s="1">
        <v>17</v>
      </c>
      <c r="E336" t="s">
        <v>7</v>
      </c>
      <c r="G336" s="18">
        <v>2</v>
      </c>
      <c r="H336" s="11" t="str">
        <f t="shared" si="52"/>
        <v>2010_06_017.gif</v>
      </c>
      <c r="I336"/>
      <c r="J336"/>
      <c r="L336" s="1" t="b">
        <v>0</v>
      </c>
      <c r="M336" s="1">
        <v>0</v>
      </c>
      <c r="N336" s="1" t="s">
        <v>601</v>
      </c>
      <c r="O336" s="1">
        <v>783</v>
      </c>
      <c r="Q336"/>
      <c r="R336" s="1" t="b">
        <f t="shared" si="53"/>
        <v>0</v>
      </c>
      <c r="S336"/>
      <c r="T336" s="1" t="b">
        <f t="shared" si="54"/>
        <v>0</v>
      </c>
      <c r="AY336" t="b">
        <v>1</v>
      </c>
      <c r="BA336" t="b">
        <v>0</v>
      </c>
    </row>
    <row r="337" spans="1:54" x14ac:dyDescent="0.2">
      <c r="A337" s="19" t="s">
        <v>724</v>
      </c>
      <c r="B337" s="1">
        <v>2010</v>
      </c>
      <c r="C337" s="1">
        <v>6</v>
      </c>
      <c r="D337" s="1">
        <v>36</v>
      </c>
      <c r="E337" t="s">
        <v>1</v>
      </c>
      <c r="F337" t="s">
        <v>7</v>
      </c>
      <c r="G337" s="18">
        <v>2</v>
      </c>
      <c r="H337" s="11" t="str">
        <f t="shared" si="52"/>
        <v>2010_06_036.gif</v>
      </c>
      <c r="I337"/>
      <c r="J337"/>
      <c r="L337" s="1" t="b">
        <v>0</v>
      </c>
      <c r="M337" s="1">
        <v>0</v>
      </c>
      <c r="N337" s="1" t="s">
        <v>657</v>
      </c>
      <c r="O337" s="1">
        <v>802</v>
      </c>
      <c r="Q337"/>
      <c r="R337" s="1" t="b">
        <f t="shared" si="53"/>
        <v>0</v>
      </c>
      <c r="S337"/>
      <c r="T337" s="1" t="b">
        <f t="shared" si="54"/>
        <v>0</v>
      </c>
      <c r="U337" t="b">
        <v>1</v>
      </c>
      <c r="AY337" t="b">
        <v>1</v>
      </c>
    </row>
    <row r="338" spans="1:54" x14ac:dyDescent="0.2">
      <c r="A338" s="19" t="s">
        <v>725</v>
      </c>
      <c r="B338" s="1">
        <v>2010</v>
      </c>
      <c r="C338" s="1">
        <v>6</v>
      </c>
      <c r="D338" s="1">
        <v>37</v>
      </c>
      <c r="E338" t="s">
        <v>1</v>
      </c>
      <c r="G338" s="18">
        <v>4</v>
      </c>
      <c r="H338" s="11" t="str">
        <f t="shared" si="52"/>
        <v>2010_06_037.gif</v>
      </c>
      <c r="I338"/>
      <c r="J338"/>
      <c r="L338" s="1" t="b">
        <v>0</v>
      </c>
      <c r="M338" s="1">
        <v>0</v>
      </c>
      <c r="N338" s="1" t="s">
        <v>657</v>
      </c>
      <c r="O338" s="1">
        <v>803</v>
      </c>
      <c r="Q338"/>
      <c r="R338" s="1" t="b">
        <f t="shared" si="53"/>
        <v>0</v>
      </c>
      <c r="S338"/>
      <c r="T338" s="1" t="b">
        <f t="shared" si="54"/>
        <v>0</v>
      </c>
      <c r="V338" t="b">
        <v>1</v>
      </c>
    </row>
    <row r="339" spans="1:54" x14ac:dyDescent="0.2">
      <c r="A339" s="19" t="s">
        <v>726</v>
      </c>
      <c r="B339" s="1">
        <v>2010</v>
      </c>
      <c r="C339" s="1">
        <v>6</v>
      </c>
      <c r="D339" s="1">
        <v>38</v>
      </c>
      <c r="E339" t="s">
        <v>7</v>
      </c>
      <c r="G339" s="18">
        <v>2</v>
      </c>
      <c r="H339" s="11" t="str">
        <f t="shared" si="52"/>
        <v>2010_06_038.gif</v>
      </c>
      <c r="I339"/>
      <c r="J339"/>
      <c r="L339" s="1" t="b">
        <v>0</v>
      </c>
      <c r="M339" s="1">
        <v>0</v>
      </c>
      <c r="N339" s="1" t="s">
        <v>657</v>
      </c>
      <c r="O339" s="1">
        <v>804</v>
      </c>
      <c r="Q339"/>
      <c r="R339" s="1" t="b">
        <f t="shared" si="53"/>
        <v>0</v>
      </c>
      <c r="S339"/>
      <c r="T339" s="1" t="b">
        <f t="shared" si="54"/>
        <v>0</v>
      </c>
      <c r="BB339" t="b">
        <v>1</v>
      </c>
    </row>
    <row r="340" spans="1:54" x14ac:dyDescent="0.2">
      <c r="A340" s="19" t="s">
        <v>728</v>
      </c>
      <c r="B340" s="1">
        <v>2010</v>
      </c>
      <c r="C340" s="1">
        <v>6</v>
      </c>
      <c r="D340" s="1">
        <v>40</v>
      </c>
      <c r="E340" t="s">
        <v>7</v>
      </c>
      <c r="G340" s="18">
        <v>3</v>
      </c>
      <c r="H340" s="11" t="str">
        <f t="shared" si="52"/>
        <v>2010_06_040.gif</v>
      </c>
      <c r="I340"/>
      <c r="J340"/>
      <c r="L340" s="1" t="b">
        <v>0</v>
      </c>
      <c r="M340" s="1">
        <v>0</v>
      </c>
      <c r="N340" s="1" t="s">
        <v>657</v>
      </c>
      <c r="O340" s="1">
        <v>806</v>
      </c>
      <c r="Q340"/>
      <c r="R340" s="1" t="b">
        <f t="shared" si="53"/>
        <v>0</v>
      </c>
      <c r="S340"/>
      <c r="T340" s="1" t="b">
        <f t="shared" si="54"/>
        <v>0</v>
      </c>
      <c r="AX340" t="b">
        <v>1</v>
      </c>
    </row>
    <row r="341" spans="1:54" x14ac:dyDescent="0.2">
      <c r="A341" s="19" t="s">
        <v>730</v>
      </c>
      <c r="B341" s="1">
        <v>2010</v>
      </c>
      <c r="C341" s="1">
        <v>6</v>
      </c>
      <c r="D341" s="1">
        <v>42</v>
      </c>
      <c r="E341" t="s">
        <v>2</v>
      </c>
      <c r="G341" s="18">
        <v>4</v>
      </c>
      <c r="H341" s="11" t="str">
        <f t="shared" si="52"/>
        <v>2010_06_042.gif</v>
      </c>
      <c r="I341"/>
      <c r="J341"/>
      <c r="L341" s="1" t="b">
        <v>0</v>
      </c>
      <c r="M341" s="1">
        <v>0</v>
      </c>
      <c r="N341" s="1" t="s">
        <v>657</v>
      </c>
      <c r="O341" s="1">
        <v>808</v>
      </c>
      <c r="Q341"/>
      <c r="R341" s="1" t="b">
        <f t="shared" si="53"/>
        <v>0</v>
      </c>
      <c r="S341"/>
      <c r="T341" s="1" t="b">
        <f t="shared" si="54"/>
        <v>0</v>
      </c>
      <c r="W341" t="b">
        <v>1</v>
      </c>
    </row>
    <row r="342" spans="1:54" x14ac:dyDescent="0.2">
      <c r="A342" s="19" t="s">
        <v>731</v>
      </c>
      <c r="B342" s="1">
        <v>2010</v>
      </c>
      <c r="C342" s="1">
        <v>6</v>
      </c>
      <c r="D342" s="1">
        <v>43</v>
      </c>
      <c r="E342" t="s">
        <v>2</v>
      </c>
      <c r="G342" s="18">
        <v>3</v>
      </c>
      <c r="H342" s="11" t="str">
        <f t="shared" si="52"/>
        <v>2010_06_043.gif</v>
      </c>
      <c r="I342"/>
      <c r="J342"/>
      <c r="L342" s="1" t="b">
        <v>0</v>
      </c>
      <c r="M342" s="1">
        <v>0</v>
      </c>
      <c r="N342" s="1" t="s">
        <v>657</v>
      </c>
      <c r="O342" s="1">
        <v>809</v>
      </c>
      <c r="Q342"/>
      <c r="R342" s="1" t="b">
        <f t="shared" si="53"/>
        <v>0</v>
      </c>
      <c r="S342"/>
      <c r="T342" s="1" t="b">
        <f t="shared" si="54"/>
        <v>0</v>
      </c>
      <c r="Z342" t="b">
        <v>1</v>
      </c>
    </row>
    <row r="343" spans="1:54" x14ac:dyDescent="0.2">
      <c r="A343" s="19" t="s">
        <v>732</v>
      </c>
      <c r="B343" s="1">
        <v>2010</v>
      </c>
      <c r="C343" s="1">
        <v>6</v>
      </c>
      <c r="D343" s="1">
        <v>44</v>
      </c>
      <c r="E343" t="s">
        <v>7</v>
      </c>
      <c r="G343" s="18">
        <v>3</v>
      </c>
      <c r="H343" s="11" t="str">
        <f t="shared" si="52"/>
        <v>2010_06_044.gif</v>
      </c>
      <c r="I343"/>
      <c r="J343"/>
      <c r="L343" s="1" t="b">
        <v>0</v>
      </c>
      <c r="M343" s="1">
        <v>0</v>
      </c>
      <c r="N343" s="1" t="s">
        <v>657</v>
      </c>
      <c r="O343" s="1">
        <v>810</v>
      </c>
      <c r="Q343"/>
      <c r="R343" s="1" t="b">
        <f t="shared" si="53"/>
        <v>0</v>
      </c>
      <c r="S343"/>
      <c r="T343" s="1" t="b">
        <f t="shared" si="54"/>
        <v>0</v>
      </c>
      <c r="AX343" t="b">
        <v>1</v>
      </c>
      <c r="BB343" t="b">
        <v>1</v>
      </c>
    </row>
  </sheetData>
  <sortState ref="A2:BZ887">
    <sortCondition ref="A2:A887"/>
  </sortState>
  <dataConsolidate/>
  <phoneticPr fontId="0" type="noConversion"/>
  <hyperlinks>
    <hyperlink ref="A1" location="Instructions!A1" display="Instructions!A1"/>
  </hyperlinks>
  <pageMargins left="0.75" right="0.75" top="1" bottom="1" header="0.5" footer="0.5"/>
  <pageSetup orientation="portrait" r:id="rId1"/>
  <headerFooter alignWithMargins="0"/>
  <drawing r:id="rId2"/>
  <legacyDrawing r:id="rId3"/>
  <controls>
    <mc:AlternateContent xmlns:mc="http://schemas.openxmlformats.org/markup-compatibility/2006">
      <mc:Choice Requires="x14">
        <control shapeId="3081" r:id="rId4" name="CommandButton1">
          <controlPr defaultSize="0" autoLine="0" r:id="rId5">
            <anchor moveWithCells="1">
              <from>
                <xdr:col>0</xdr:col>
                <xdr:colOff>66675</xdr:colOff>
                <xdr:row>0</xdr:row>
                <xdr:rowOff>85725</xdr:rowOff>
              </from>
              <to>
                <xdr:col>4</xdr:col>
                <xdr:colOff>123825</xdr:colOff>
                <xdr:row>0</xdr:row>
                <xdr:rowOff>466725</xdr:rowOff>
              </to>
            </anchor>
          </controlPr>
        </control>
      </mc:Choice>
      <mc:Fallback>
        <control shapeId="3081" r:id="rId4" name="CommandButton1"/>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16"/>
  <sheetViews>
    <sheetView workbookViewId="0">
      <selection activeCell="F17" sqref="F17"/>
    </sheetView>
  </sheetViews>
  <sheetFormatPr defaultRowHeight="12.75" x14ac:dyDescent="0.2"/>
  <cols>
    <col min="2" max="3" width="26.140625" customWidth="1"/>
    <col min="5" max="5" width="30.5703125" customWidth="1"/>
    <col min="6" max="7" width="10.85546875" customWidth="1"/>
    <col min="8" max="10" width="7.28515625" customWidth="1"/>
  </cols>
  <sheetData>
    <row r="1" spans="1:9" x14ac:dyDescent="0.2">
      <c r="B1" s="1" t="s">
        <v>615</v>
      </c>
      <c r="C1" s="1" t="s">
        <v>616</v>
      </c>
      <c r="E1" t="s">
        <v>618</v>
      </c>
      <c r="F1" s="1" t="b">
        <v>0</v>
      </c>
    </row>
    <row r="2" spans="1:9" x14ac:dyDescent="0.2">
      <c r="A2" s="1">
        <v>1</v>
      </c>
      <c r="B2" t="s">
        <v>747</v>
      </c>
      <c r="C2" t="s">
        <v>750</v>
      </c>
      <c r="E2" t="s">
        <v>619</v>
      </c>
      <c r="F2" s="1" t="b">
        <v>1</v>
      </c>
    </row>
    <row r="3" spans="1:9" x14ac:dyDescent="0.2">
      <c r="A3" s="1">
        <v>2</v>
      </c>
      <c r="B3" t="s">
        <v>746</v>
      </c>
      <c r="C3" t="s">
        <v>751</v>
      </c>
      <c r="E3" t="s">
        <v>620</v>
      </c>
      <c r="F3" s="1" t="b">
        <v>0</v>
      </c>
    </row>
    <row r="4" spans="1:9" x14ac:dyDescent="0.2">
      <c r="A4" s="1">
        <v>3</v>
      </c>
      <c r="B4" t="s">
        <v>748</v>
      </c>
      <c r="C4" t="s">
        <v>752</v>
      </c>
      <c r="E4" t="s">
        <v>621</v>
      </c>
      <c r="F4" s="1">
        <v>10</v>
      </c>
    </row>
    <row r="5" spans="1:9" x14ac:dyDescent="0.2">
      <c r="A5" s="1">
        <v>4</v>
      </c>
      <c r="B5" t="s">
        <v>606</v>
      </c>
      <c r="C5" t="s">
        <v>753</v>
      </c>
      <c r="E5" t="s">
        <v>658</v>
      </c>
      <c r="F5" s="1" t="b">
        <v>1</v>
      </c>
    </row>
    <row r="6" spans="1:9" x14ac:dyDescent="0.2">
      <c r="A6" s="1">
        <v>5</v>
      </c>
      <c r="B6" t="s">
        <v>749</v>
      </c>
      <c r="C6" t="s">
        <v>754</v>
      </c>
      <c r="E6" t="s">
        <v>659</v>
      </c>
      <c r="F6" s="1" t="b">
        <v>1</v>
      </c>
    </row>
    <row r="7" spans="1:9" x14ac:dyDescent="0.2">
      <c r="A7" s="1">
        <v>6</v>
      </c>
      <c r="E7" t="s">
        <v>660</v>
      </c>
      <c r="F7" s="1" t="b">
        <v>1</v>
      </c>
    </row>
    <row r="8" spans="1:9" x14ac:dyDescent="0.2">
      <c r="A8" s="1">
        <v>7</v>
      </c>
      <c r="E8" t="s">
        <v>661</v>
      </c>
      <c r="F8" s="1">
        <v>10</v>
      </c>
    </row>
    <row r="9" spans="1:9" x14ac:dyDescent="0.2">
      <c r="A9" s="1">
        <v>8</v>
      </c>
      <c r="E9" t="s">
        <v>662</v>
      </c>
      <c r="F9" s="1">
        <v>10</v>
      </c>
    </row>
    <row r="10" spans="1:9" x14ac:dyDescent="0.2">
      <c r="A10" s="1">
        <v>9</v>
      </c>
      <c r="E10" t="s">
        <v>687</v>
      </c>
      <c r="F10" s="17" t="s">
        <v>757</v>
      </c>
      <c r="G10" t="s">
        <v>743</v>
      </c>
    </row>
    <row r="11" spans="1:9" x14ac:dyDescent="0.2">
      <c r="A11" s="1">
        <v>10</v>
      </c>
      <c r="E11" t="s">
        <v>688</v>
      </c>
      <c r="F11" s="19" t="s">
        <v>1246</v>
      </c>
    </row>
    <row r="12" spans="1:9" x14ac:dyDescent="0.2">
      <c r="A12" s="1">
        <v>11</v>
      </c>
      <c r="E12" t="s">
        <v>761</v>
      </c>
      <c r="F12" t="s">
        <v>784</v>
      </c>
      <c r="H12" s="17"/>
      <c r="I12" t="s">
        <v>743</v>
      </c>
    </row>
    <row r="13" spans="1:9" x14ac:dyDescent="0.2">
      <c r="A13" s="1">
        <v>12</v>
      </c>
      <c r="E13" s="19" t="s">
        <v>783</v>
      </c>
      <c r="F13" s="19" t="s">
        <v>1247</v>
      </c>
      <c r="I13" t="s">
        <v>743</v>
      </c>
    </row>
    <row r="14" spans="1:9" x14ac:dyDescent="0.2">
      <c r="A14" s="1">
        <v>13</v>
      </c>
    </row>
    <row r="15" spans="1:9" x14ac:dyDescent="0.2">
      <c r="A15" s="1">
        <v>14</v>
      </c>
    </row>
    <row r="16" spans="1:9" x14ac:dyDescent="0.2">
      <c r="A16" s="1">
        <v>15</v>
      </c>
    </row>
  </sheetData>
  <phoneticPr fontId="0" type="noConversion"/>
  <hyperlinks>
    <hyperlink ref="F10" r:id="rId1"/>
  </hyperlinks>
  <pageMargins left="0.75" right="0.75" top="1" bottom="1" header="0.5" footer="0.5"/>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G567"/>
  <sheetViews>
    <sheetView topLeftCell="A26" workbookViewId="0">
      <selection activeCell="C58" sqref="C58"/>
    </sheetView>
  </sheetViews>
  <sheetFormatPr defaultRowHeight="12.75" x14ac:dyDescent="0.2"/>
  <cols>
    <col min="1" max="1" width="18.42578125" customWidth="1"/>
    <col min="2" max="2" width="42.85546875" customWidth="1"/>
    <col min="3" max="3" width="47.42578125" customWidth="1"/>
    <col min="4" max="4" width="11.85546875" customWidth="1"/>
  </cols>
  <sheetData>
    <row r="1" spans="1:7" x14ac:dyDescent="0.2">
      <c r="A1" t="s">
        <v>0</v>
      </c>
      <c r="B1" t="s">
        <v>543</v>
      </c>
      <c r="C1" t="s">
        <v>591</v>
      </c>
      <c r="D1" s="1" t="s">
        <v>617</v>
      </c>
      <c r="F1" s="1"/>
      <c r="G1" s="1"/>
    </row>
    <row r="2" spans="1:7" x14ac:dyDescent="0.2">
      <c r="A2" t="s">
        <v>1</v>
      </c>
      <c r="B2" s="2" t="s">
        <v>547</v>
      </c>
      <c r="C2" s="3" t="s">
        <v>1</v>
      </c>
      <c r="D2" t="b">
        <v>1</v>
      </c>
    </row>
    <row r="3" spans="1:7" x14ac:dyDescent="0.2">
      <c r="A3" t="s">
        <v>2</v>
      </c>
      <c r="B3" s="6" t="s">
        <v>0</v>
      </c>
      <c r="C3" s="7" t="s">
        <v>1</v>
      </c>
      <c r="D3" t="b">
        <v>0</v>
      </c>
    </row>
    <row r="4" spans="1:7" x14ac:dyDescent="0.2">
      <c r="A4" t="s">
        <v>3</v>
      </c>
      <c r="B4" s="2" t="s">
        <v>594</v>
      </c>
      <c r="C4" s="3" t="s">
        <v>2</v>
      </c>
      <c r="D4" t="b">
        <v>0</v>
      </c>
    </row>
    <row r="5" spans="1:7" x14ac:dyDescent="0.2">
      <c r="A5" t="s">
        <v>4</v>
      </c>
      <c r="B5" s="4" t="s">
        <v>553</v>
      </c>
      <c r="C5" s="5" t="s">
        <v>2</v>
      </c>
      <c r="D5" t="b">
        <v>0</v>
      </c>
    </row>
    <row r="6" spans="1:7" x14ac:dyDescent="0.2">
      <c r="A6" t="s">
        <v>5</v>
      </c>
      <c r="B6" s="4" t="s">
        <v>551</v>
      </c>
      <c r="C6" s="5" t="s">
        <v>2</v>
      </c>
      <c r="D6" t="b">
        <v>0</v>
      </c>
    </row>
    <row r="7" spans="1:7" x14ac:dyDescent="0.2">
      <c r="A7" t="s">
        <v>6</v>
      </c>
      <c r="B7" s="6" t="s">
        <v>552</v>
      </c>
      <c r="C7" s="7" t="s">
        <v>2</v>
      </c>
      <c r="D7" t="b">
        <v>0</v>
      </c>
    </row>
    <row r="8" spans="1:7" x14ac:dyDescent="0.2">
      <c r="A8" t="s">
        <v>7</v>
      </c>
      <c r="B8" s="2" t="s">
        <v>549</v>
      </c>
      <c r="C8" s="3" t="s">
        <v>3</v>
      </c>
      <c r="D8" t="b">
        <v>0</v>
      </c>
    </row>
    <row r="9" spans="1:7" x14ac:dyDescent="0.2">
      <c r="A9" t="s">
        <v>8</v>
      </c>
      <c r="B9" s="4" t="s">
        <v>550</v>
      </c>
      <c r="C9" s="5" t="s">
        <v>3</v>
      </c>
      <c r="D9" t="b">
        <v>0</v>
      </c>
    </row>
    <row r="10" spans="1:7" x14ac:dyDescent="0.2">
      <c r="A10" t="s">
        <v>9</v>
      </c>
      <c r="B10" s="6" t="s">
        <v>546</v>
      </c>
      <c r="C10" s="7" t="s">
        <v>3</v>
      </c>
      <c r="D10" t="b">
        <v>0</v>
      </c>
    </row>
    <row r="11" spans="1:7" x14ac:dyDescent="0.2">
      <c r="A11" t="s">
        <v>10</v>
      </c>
      <c r="B11" s="2" t="s">
        <v>554</v>
      </c>
      <c r="C11" s="3" t="s">
        <v>4</v>
      </c>
      <c r="D11" t="b">
        <v>0</v>
      </c>
    </row>
    <row r="12" spans="1:7" x14ac:dyDescent="0.2">
      <c r="A12" t="s">
        <v>11</v>
      </c>
      <c r="B12" s="4" t="s">
        <v>600</v>
      </c>
      <c r="C12" s="5" t="s">
        <v>4</v>
      </c>
      <c r="D12" t="b">
        <v>0</v>
      </c>
    </row>
    <row r="13" spans="1:7" x14ac:dyDescent="0.2">
      <c r="A13" t="s">
        <v>12</v>
      </c>
      <c r="B13" s="4" t="s">
        <v>575</v>
      </c>
      <c r="C13" s="5" t="s">
        <v>4</v>
      </c>
      <c r="D13" t="b">
        <v>0</v>
      </c>
    </row>
    <row r="14" spans="1:7" x14ac:dyDescent="0.2">
      <c r="A14" t="s">
        <v>13</v>
      </c>
      <c r="B14" s="4" t="s">
        <v>555</v>
      </c>
      <c r="C14" s="5" t="s">
        <v>4</v>
      </c>
      <c r="D14" t="b">
        <v>0</v>
      </c>
    </row>
    <row r="15" spans="1:7" x14ac:dyDescent="0.2">
      <c r="A15" t="s">
        <v>548</v>
      </c>
      <c r="B15" s="4" t="s">
        <v>576</v>
      </c>
      <c r="C15" s="5" t="s">
        <v>4</v>
      </c>
      <c r="D15" t="b">
        <v>0</v>
      </c>
    </row>
    <row r="16" spans="1:7" x14ac:dyDescent="0.2">
      <c r="A16" t="s">
        <v>588</v>
      </c>
      <c r="B16" s="4" t="s">
        <v>592</v>
      </c>
      <c r="C16" s="5" t="s">
        <v>4</v>
      </c>
      <c r="D16" t="b">
        <v>0</v>
      </c>
    </row>
    <row r="17" spans="2:4" x14ac:dyDescent="0.2">
      <c r="B17" s="4" t="s">
        <v>593</v>
      </c>
      <c r="C17" s="5" t="s">
        <v>4</v>
      </c>
      <c r="D17" t="b">
        <v>0</v>
      </c>
    </row>
    <row r="18" spans="2:4" x14ac:dyDescent="0.2">
      <c r="B18" s="2" t="s">
        <v>557</v>
      </c>
      <c r="C18" s="3" t="s">
        <v>5</v>
      </c>
      <c r="D18" t="b">
        <v>0</v>
      </c>
    </row>
    <row r="19" spans="2:4" x14ac:dyDescent="0.2">
      <c r="B19" s="4" t="s">
        <v>598</v>
      </c>
      <c r="C19" s="5" t="s">
        <v>5</v>
      </c>
      <c r="D19" t="b">
        <v>0</v>
      </c>
    </row>
    <row r="20" spans="2:4" x14ac:dyDescent="0.2">
      <c r="B20" s="4" t="s">
        <v>577</v>
      </c>
      <c r="C20" s="5" t="s">
        <v>5</v>
      </c>
      <c r="D20" t="b">
        <v>0</v>
      </c>
    </row>
    <row r="21" spans="2:4" x14ac:dyDescent="0.2">
      <c r="B21" s="4" t="s">
        <v>578</v>
      </c>
      <c r="C21" s="5" t="s">
        <v>5</v>
      </c>
      <c r="D21" t="b">
        <v>0</v>
      </c>
    </row>
    <row r="22" spans="2:4" x14ac:dyDescent="0.2">
      <c r="B22" s="4" t="s">
        <v>596</v>
      </c>
      <c r="C22" s="5" t="s">
        <v>5</v>
      </c>
      <c r="D22" t="b">
        <v>0</v>
      </c>
    </row>
    <row r="23" spans="2:4" x14ac:dyDescent="0.2">
      <c r="B23" s="4" t="s">
        <v>595</v>
      </c>
      <c r="C23" s="5" t="s">
        <v>5</v>
      </c>
      <c r="D23" t="b">
        <v>0</v>
      </c>
    </row>
    <row r="24" spans="2:4" x14ac:dyDescent="0.2">
      <c r="B24" s="6" t="s">
        <v>556</v>
      </c>
      <c r="C24" s="7" t="s">
        <v>5</v>
      </c>
      <c r="D24" t="b">
        <v>0</v>
      </c>
    </row>
    <row r="25" spans="2:4" x14ac:dyDescent="0.2">
      <c r="B25" s="2" t="s">
        <v>580</v>
      </c>
      <c r="C25" s="3" t="s">
        <v>6</v>
      </c>
      <c r="D25" t="b">
        <v>0</v>
      </c>
    </row>
    <row r="26" spans="2:4" x14ac:dyDescent="0.2">
      <c r="B26" s="4" t="s">
        <v>558</v>
      </c>
      <c r="C26" s="5" t="s">
        <v>6</v>
      </c>
      <c r="D26" t="b">
        <v>0</v>
      </c>
    </row>
    <row r="27" spans="2:4" x14ac:dyDescent="0.2">
      <c r="B27" s="6" t="s">
        <v>597</v>
      </c>
      <c r="C27" s="7" t="s">
        <v>6</v>
      </c>
      <c r="D27" t="b">
        <v>0</v>
      </c>
    </row>
    <row r="28" spans="2:4" x14ac:dyDescent="0.2">
      <c r="B28" s="2" t="s">
        <v>579</v>
      </c>
      <c r="C28" s="3" t="s">
        <v>7</v>
      </c>
      <c r="D28" t="b">
        <v>0</v>
      </c>
    </row>
    <row r="29" spans="2:4" x14ac:dyDescent="0.2">
      <c r="B29" s="4" t="s">
        <v>581</v>
      </c>
      <c r="C29" s="5" t="s">
        <v>7</v>
      </c>
      <c r="D29" t="b">
        <v>0</v>
      </c>
    </row>
    <row r="30" spans="2:4" x14ac:dyDescent="0.2">
      <c r="B30" s="4" t="s">
        <v>559</v>
      </c>
      <c r="C30" s="5" t="s">
        <v>7</v>
      </c>
      <c r="D30" t="b">
        <v>0</v>
      </c>
    </row>
    <row r="31" spans="2:4" x14ac:dyDescent="0.2">
      <c r="B31" s="4" t="s">
        <v>560</v>
      </c>
      <c r="C31" s="5" t="s">
        <v>7</v>
      </c>
      <c r="D31" t="b">
        <v>0</v>
      </c>
    </row>
    <row r="32" spans="2:4" x14ac:dyDescent="0.2">
      <c r="B32" s="6" t="s">
        <v>587</v>
      </c>
      <c r="C32" s="7" t="s">
        <v>7</v>
      </c>
      <c r="D32" t="b">
        <v>0</v>
      </c>
    </row>
    <row r="33" spans="2:4" x14ac:dyDescent="0.2">
      <c r="B33" s="2" t="s">
        <v>571</v>
      </c>
      <c r="C33" s="3" t="s">
        <v>8</v>
      </c>
      <c r="D33" t="b">
        <v>0</v>
      </c>
    </row>
    <row r="34" spans="2:4" x14ac:dyDescent="0.2">
      <c r="B34" s="4" t="s">
        <v>574</v>
      </c>
      <c r="C34" s="5" t="s">
        <v>8</v>
      </c>
      <c r="D34" t="b">
        <v>0</v>
      </c>
    </row>
    <row r="35" spans="2:4" x14ac:dyDescent="0.2">
      <c r="B35" s="4" t="s">
        <v>570</v>
      </c>
      <c r="C35" s="5" t="s">
        <v>8</v>
      </c>
      <c r="D35" t="b">
        <v>0</v>
      </c>
    </row>
    <row r="36" spans="2:4" x14ac:dyDescent="0.2">
      <c r="B36" s="6" t="s">
        <v>568</v>
      </c>
      <c r="C36" s="7" t="s">
        <v>8</v>
      </c>
      <c r="D36" t="b">
        <v>0</v>
      </c>
    </row>
    <row r="37" spans="2:4" x14ac:dyDescent="0.2">
      <c r="B37" s="2" t="s">
        <v>572</v>
      </c>
      <c r="C37" s="3" t="s">
        <v>9</v>
      </c>
      <c r="D37" t="b">
        <v>0</v>
      </c>
    </row>
    <row r="38" spans="2:4" x14ac:dyDescent="0.2">
      <c r="B38" s="4" t="s">
        <v>573</v>
      </c>
      <c r="C38" s="5" t="s">
        <v>9</v>
      </c>
      <c r="D38" t="b">
        <v>0</v>
      </c>
    </row>
    <row r="39" spans="2:4" x14ac:dyDescent="0.2">
      <c r="B39" s="4" t="s">
        <v>569</v>
      </c>
      <c r="C39" s="5" t="s">
        <v>9</v>
      </c>
      <c r="D39" t="b">
        <v>0</v>
      </c>
    </row>
    <row r="40" spans="2:4" x14ac:dyDescent="0.2">
      <c r="B40" s="6" t="s">
        <v>583</v>
      </c>
      <c r="C40" s="7" t="s">
        <v>9</v>
      </c>
      <c r="D40" t="b">
        <v>0</v>
      </c>
    </row>
    <row r="41" spans="2:4" x14ac:dyDescent="0.2">
      <c r="B41" s="2" t="s">
        <v>584</v>
      </c>
      <c r="C41" s="3" t="s">
        <v>10</v>
      </c>
      <c r="D41" t="b">
        <v>0</v>
      </c>
    </row>
    <row r="42" spans="2:4" x14ac:dyDescent="0.2">
      <c r="B42" s="4" t="s">
        <v>563</v>
      </c>
      <c r="C42" s="5" t="s">
        <v>10</v>
      </c>
      <c r="D42" t="b">
        <v>0</v>
      </c>
    </row>
    <row r="43" spans="2:4" x14ac:dyDescent="0.2">
      <c r="B43" s="4" t="s">
        <v>561</v>
      </c>
      <c r="C43" s="5" t="s">
        <v>10</v>
      </c>
      <c r="D43" t="b">
        <v>0</v>
      </c>
    </row>
    <row r="44" spans="2:4" x14ac:dyDescent="0.2">
      <c r="B44" s="6" t="s">
        <v>614</v>
      </c>
      <c r="C44" s="7" t="s">
        <v>10</v>
      </c>
      <c r="D44" t="b">
        <v>0</v>
      </c>
    </row>
    <row r="45" spans="2:4" x14ac:dyDescent="0.2">
      <c r="B45" s="2" t="s">
        <v>562</v>
      </c>
      <c r="C45" s="3" t="s">
        <v>11</v>
      </c>
      <c r="D45" t="b">
        <v>0</v>
      </c>
    </row>
    <row r="46" spans="2:4" x14ac:dyDescent="0.2">
      <c r="B46" s="4" t="s">
        <v>586</v>
      </c>
      <c r="C46" s="5" t="s">
        <v>11</v>
      </c>
      <c r="D46" t="b">
        <v>0</v>
      </c>
    </row>
    <row r="47" spans="2:4" x14ac:dyDescent="0.2">
      <c r="B47" s="4" t="s">
        <v>582</v>
      </c>
      <c r="C47" s="5" t="s">
        <v>11</v>
      </c>
      <c r="D47" t="b">
        <v>0</v>
      </c>
    </row>
    <row r="48" spans="2:4" x14ac:dyDescent="0.2">
      <c r="B48" s="4" t="s">
        <v>564</v>
      </c>
      <c r="C48" s="5" t="s">
        <v>11</v>
      </c>
      <c r="D48" t="b">
        <v>0</v>
      </c>
    </row>
    <row r="49" spans="2:4" x14ac:dyDescent="0.2">
      <c r="B49" s="4" t="s">
        <v>565</v>
      </c>
      <c r="C49" s="5" t="s">
        <v>11</v>
      </c>
      <c r="D49" t="b">
        <v>0</v>
      </c>
    </row>
    <row r="50" spans="2:4" x14ac:dyDescent="0.2">
      <c r="B50" s="6" t="s">
        <v>663</v>
      </c>
      <c r="C50" s="7" t="s">
        <v>11</v>
      </c>
      <c r="D50" t="b">
        <v>0</v>
      </c>
    </row>
    <row r="51" spans="2:4" x14ac:dyDescent="0.2">
      <c r="B51" s="2" t="s">
        <v>566</v>
      </c>
      <c r="C51" s="3" t="s">
        <v>13</v>
      </c>
      <c r="D51" t="b">
        <v>0</v>
      </c>
    </row>
    <row r="52" spans="2:4" x14ac:dyDescent="0.2">
      <c r="B52" s="4" t="s">
        <v>567</v>
      </c>
      <c r="C52" s="5" t="s">
        <v>13</v>
      </c>
      <c r="D52" t="b">
        <v>0</v>
      </c>
    </row>
    <row r="53" spans="2:4" x14ac:dyDescent="0.2">
      <c r="B53" s="6" t="s">
        <v>585</v>
      </c>
      <c r="C53" s="7" t="s">
        <v>13</v>
      </c>
      <c r="D53" t="b">
        <v>0</v>
      </c>
    </row>
    <row r="54" spans="2:4" x14ac:dyDescent="0.2">
      <c r="B54" s="2" t="s">
        <v>589</v>
      </c>
      <c r="C54" s="3" t="s">
        <v>548</v>
      </c>
      <c r="D54" t="b">
        <v>1</v>
      </c>
    </row>
    <row r="55" spans="2:4" x14ac:dyDescent="0.2">
      <c r="B55" s="6" t="s">
        <v>590</v>
      </c>
      <c r="C55" s="7" t="s">
        <v>548</v>
      </c>
      <c r="D55" t="b">
        <v>1</v>
      </c>
    </row>
    <row r="56" spans="2:4" x14ac:dyDescent="0.2">
      <c r="B56" s="8" t="s">
        <v>12</v>
      </c>
      <c r="C56" s="9" t="s">
        <v>12</v>
      </c>
      <c r="D56" t="b">
        <v>0</v>
      </c>
    </row>
    <row r="567" spans="4:4" x14ac:dyDescent="0.2">
      <c r="D567" t="b">
        <v>0</v>
      </c>
    </row>
  </sheetData>
  <phoneticPr fontId="0" type="noConversion"/>
  <dataValidations count="1">
    <dataValidation type="list" allowBlank="1" showInputMessage="1" showErrorMessage="1" sqref="C12 C14:C96 B13:C13 C2:C10">
      <formula1>Units</formula1>
    </dataValidation>
  </dataValidations>
  <pageMargins left="0.75" right="0.75" top="1" bottom="1" header="0.5" footer="0.5"/>
  <pageSetup scale="10"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H363"/>
  <sheetViews>
    <sheetView workbookViewId="0">
      <selection activeCell="C50" sqref="C50"/>
    </sheetView>
  </sheetViews>
  <sheetFormatPr defaultRowHeight="12.75" x14ac:dyDescent="0.2"/>
  <cols>
    <col min="2" max="2" width="15.140625" customWidth="1"/>
    <col min="3" max="3" width="22.7109375" customWidth="1"/>
    <col min="4" max="4" width="11.42578125" customWidth="1"/>
    <col min="7" max="7" width="17.85546875" customWidth="1"/>
    <col min="8" max="8" width="20.85546875" customWidth="1"/>
  </cols>
  <sheetData>
    <row r="1" spans="1:8" x14ac:dyDescent="0.2">
      <c r="A1" s="1" t="s">
        <v>17</v>
      </c>
      <c r="B1" s="1" t="s">
        <v>604</v>
      </c>
      <c r="C1" s="1" t="s">
        <v>605</v>
      </c>
      <c r="D1" s="1" t="s">
        <v>607</v>
      </c>
      <c r="E1" s="1" t="s">
        <v>599</v>
      </c>
      <c r="F1" s="1" t="s">
        <v>606</v>
      </c>
      <c r="G1" s="1" t="s">
        <v>608</v>
      </c>
      <c r="H1" s="1" t="s">
        <v>609</v>
      </c>
    </row>
    <row r="2" spans="1:8" x14ac:dyDescent="0.2">
      <c r="A2">
        <v>1</v>
      </c>
      <c r="B2" t="s">
        <v>644</v>
      </c>
      <c r="C2" s="14">
        <v>42513.429305555554</v>
      </c>
      <c r="D2">
        <v>20</v>
      </c>
      <c r="E2">
        <v>2</v>
      </c>
      <c r="F2" t="b">
        <v>1</v>
      </c>
    </row>
    <row r="3" spans="1:8" x14ac:dyDescent="0.2">
      <c r="A3">
        <v>2</v>
      </c>
      <c r="B3" t="s">
        <v>291</v>
      </c>
      <c r="C3" s="14">
        <v>42513.429895833331</v>
      </c>
      <c r="D3">
        <v>20</v>
      </c>
      <c r="E3">
        <v>2</v>
      </c>
      <c r="F3" t="b">
        <v>1</v>
      </c>
    </row>
    <row r="4" spans="1:8" x14ac:dyDescent="0.2">
      <c r="C4" s="14"/>
    </row>
    <row r="5" spans="1:8" x14ac:dyDescent="0.2">
      <c r="C5" s="14"/>
    </row>
    <row r="6" spans="1:8" x14ac:dyDescent="0.2">
      <c r="C6" s="14"/>
    </row>
    <row r="7" spans="1:8" x14ac:dyDescent="0.2">
      <c r="C7" s="14"/>
    </row>
    <row r="8" spans="1:8" x14ac:dyDescent="0.2">
      <c r="C8" s="14"/>
    </row>
    <row r="9" spans="1:8" x14ac:dyDescent="0.2">
      <c r="C9" s="14"/>
    </row>
    <row r="10" spans="1:8" x14ac:dyDescent="0.2">
      <c r="C10" s="14"/>
    </row>
    <row r="11" spans="1:8" x14ac:dyDescent="0.2">
      <c r="C11" s="14"/>
    </row>
    <row r="12" spans="1:8" x14ac:dyDescent="0.2">
      <c r="C12" s="14"/>
    </row>
    <row r="13" spans="1:8" x14ac:dyDescent="0.2">
      <c r="C13" s="14"/>
    </row>
    <row r="14" spans="1:8" x14ac:dyDescent="0.2">
      <c r="C14" s="14"/>
    </row>
    <row r="15" spans="1:8" x14ac:dyDescent="0.2">
      <c r="C15" s="14"/>
    </row>
    <row r="16" spans="1:8" x14ac:dyDescent="0.2">
      <c r="C16" s="14"/>
    </row>
    <row r="17" spans="3:3" x14ac:dyDescent="0.2">
      <c r="C17" s="14"/>
    </row>
    <row r="18" spans="3:3" x14ac:dyDescent="0.2">
      <c r="C18" s="14"/>
    </row>
    <row r="19" spans="3:3" x14ac:dyDescent="0.2">
      <c r="C19" s="14"/>
    </row>
    <row r="20" spans="3:3" x14ac:dyDescent="0.2">
      <c r="C20" s="14"/>
    </row>
    <row r="21" spans="3:3" x14ac:dyDescent="0.2">
      <c r="C21" s="14"/>
    </row>
    <row r="22" spans="3:3" x14ac:dyDescent="0.2">
      <c r="C22" s="14"/>
    </row>
    <row r="23" spans="3:3" x14ac:dyDescent="0.2">
      <c r="C23" s="14"/>
    </row>
    <row r="24" spans="3:3" x14ac:dyDescent="0.2">
      <c r="C24" s="14"/>
    </row>
    <row r="25" spans="3:3" x14ac:dyDescent="0.2">
      <c r="C25" s="14"/>
    </row>
    <row r="26" spans="3:3" x14ac:dyDescent="0.2">
      <c r="C26" s="14"/>
    </row>
    <row r="27" spans="3:3" x14ac:dyDescent="0.2">
      <c r="C27" s="14"/>
    </row>
    <row r="28" spans="3:3" x14ac:dyDescent="0.2">
      <c r="C28" s="14"/>
    </row>
    <row r="29" spans="3:3" x14ac:dyDescent="0.2">
      <c r="C29" s="14"/>
    </row>
    <row r="30" spans="3:3" x14ac:dyDescent="0.2">
      <c r="C30" s="14"/>
    </row>
    <row r="31" spans="3:3" x14ac:dyDescent="0.2">
      <c r="C31" s="14"/>
    </row>
    <row r="32" spans="3:3" x14ac:dyDescent="0.2">
      <c r="C32" s="14"/>
    </row>
    <row r="33" spans="3:3" x14ac:dyDescent="0.2">
      <c r="C33" s="14"/>
    </row>
    <row r="34" spans="3:3" x14ac:dyDescent="0.2">
      <c r="C34" s="14"/>
    </row>
    <row r="35" spans="3:3" x14ac:dyDescent="0.2">
      <c r="C35" s="14"/>
    </row>
    <row r="36" spans="3:3" x14ac:dyDescent="0.2">
      <c r="C36" s="14"/>
    </row>
    <row r="37" spans="3:3" x14ac:dyDescent="0.2">
      <c r="C37" s="14"/>
    </row>
    <row r="38" spans="3:3" x14ac:dyDescent="0.2">
      <c r="C38" s="14"/>
    </row>
    <row r="39" spans="3:3" x14ac:dyDescent="0.2">
      <c r="C39" s="14"/>
    </row>
    <row r="40" spans="3:3" x14ac:dyDescent="0.2">
      <c r="C40" s="14"/>
    </row>
    <row r="41" spans="3:3" x14ac:dyDescent="0.2">
      <c r="C41" s="14"/>
    </row>
    <row r="42" spans="3:3" x14ac:dyDescent="0.2">
      <c r="C42" s="14"/>
    </row>
    <row r="43" spans="3:3" x14ac:dyDescent="0.2">
      <c r="C43" s="14"/>
    </row>
    <row r="44" spans="3:3" x14ac:dyDescent="0.2">
      <c r="C44" s="14"/>
    </row>
    <row r="45" spans="3:3" x14ac:dyDescent="0.2">
      <c r="C45" s="14"/>
    </row>
    <row r="46" spans="3:3" x14ac:dyDescent="0.2">
      <c r="C46" s="14"/>
    </row>
    <row r="47" spans="3:3" x14ac:dyDescent="0.2">
      <c r="C47" s="14"/>
    </row>
    <row r="48" spans="3:3" x14ac:dyDescent="0.2">
      <c r="C48" s="14"/>
    </row>
    <row r="49" spans="3:3" x14ac:dyDescent="0.2">
      <c r="C49" s="14"/>
    </row>
    <row r="50" spans="3:3" x14ac:dyDescent="0.2">
      <c r="C50" s="14"/>
    </row>
    <row r="51" spans="3:3" x14ac:dyDescent="0.2">
      <c r="C51" s="14"/>
    </row>
    <row r="52" spans="3:3" x14ac:dyDescent="0.2">
      <c r="C52" s="14"/>
    </row>
    <row r="53" spans="3:3" x14ac:dyDescent="0.2">
      <c r="C53" s="14"/>
    </row>
    <row r="54" spans="3:3" x14ac:dyDescent="0.2">
      <c r="C54" s="14"/>
    </row>
    <row r="55" spans="3:3" x14ac:dyDescent="0.2">
      <c r="C55" s="14"/>
    </row>
    <row r="56" spans="3:3" x14ac:dyDescent="0.2">
      <c r="C56" s="14"/>
    </row>
    <row r="57" spans="3:3" x14ac:dyDescent="0.2">
      <c r="C57" s="14"/>
    </row>
    <row r="58" spans="3:3" x14ac:dyDescent="0.2">
      <c r="C58" s="14"/>
    </row>
    <row r="59" spans="3:3" x14ac:dyDescent="0.2">
      <c r="C59" s="14"/>
    </row>
    <row r="60" spans="3:3" x14ac:dyDescent="0.2">
      <c r="C60" s="14"/>
    </row>
    <row r="61" spans="3:3" x14ac:dyDescent="0.2">
      <c r="C61" s="14"/>
    </row>
    <row r="62" spans="3:3" x14ac:dyDescent="0.2">
      <c r="C62" s="14"/>
    </row>
    <row r="63" spans="3:3" x14ac:dyDescent="0.2">
      <c r="C63" s="14"/>
    </row>
    <row r="64" spans="3:3" x14ac:dyDescent="0.2">
      <c r="C64" s="14"/>
    </row>
    <row r="65" spans="3:3" x14ac:dyDescent="0.2">
      <c r="C65" s="14"/>
    </row>
    <row r="66" spans="3:3" x14ac:dyDescent="0.2">
      <c r="C66" s="14"/>
    </row>
    <row r="67" spans="3:3" x14ac:dyDescent="0.2">
      <c r="C67" s="14"/>
    </row>
    <row r="68" spans="3:3" x14ac:dyDescent="0.2">
      <c r="C68" s="14"/>
    </row>
    <row r="69" spans="3:3" x14ac:dyDescent="0.2">
      <c r="C69" s="14"/>
    </row>
    <row r="70" spans="3:3" x14ac:dyDescent="0.2">
      <c r="C70" s="14"/>
    </row>
    <row r="71" spans="3:3" x14ac:dyDescent="0.2">
      <c r="C71" s="14"/>
    </row>
    <row r="72" spans="3:3" x14ac:dyDescent="0.2">
      <c r="C72" s="14"/>
    </row>
    <row r="73" spans="3:3" x14ac:dyDescent="0.2">
      <c r="C73" s="14"/>
    </row>
    <row r="74" spans="3:3" x14ac:dyDescent="0.2">
      <c r="C74" s="14"/>
    </row>
    <row r="75" spans="3:3" x14ac:dyDescent="0.2">
      <c r="C75" s="14"/>
    </row>
    <row r="76" spans="3:3" x14ac:dyDescent="0.2">
      <c r="C76" s="14"/>
    </row>
    <row r="77" spans="3:3" x14ac:dyDescent="0.2">
      <c r="C77" s="14"/>
    </row>
    <row r="78" spans="3:3" x14ac:dyDescent="0.2">
      <c r="C78" s="14"/>
    </row>
    <row r="79" spans="3:3" x14ac:dyDescent="0.2">
      <c r="C79" s="14"/>
    </row>
    <row r="80" spans="3:3" x14ac:dyDescent="0.2">
      <c r="C80" s="14"/>
    </row>
    <row r="81" spans="3:3" x14ac:dyDescent="0.2">
      <c r="C81" s="14"/>
    </row>
    <row r="82" spans="3:3" x14ac:dyDescent="0.2">
      <c r="C82" s="14"/>
    </row>
    <row r="83" spans="3:3" x14ac:dyDescent="0.2">
      <c r="C83" s="14"/>
    </row>
    <row r="84" spans="3:3" x14ac:dyDescent="0.2">
      <c r="C84" s="14"/>
    </row>
    <row r="85" spans="3:3" x14ac:dyDescent="0.2">
      <c r="C85" s="14"/>
    </row>
    <row r="86" spans="3:3" x14ac:dyDescent="0.2">
      <c r="C86" s="14"/>
    </row>
    <row r="87" spans="3:3" x14ac:dyDescent="0.2">
      <c r="C87" s="14"/>
    </row>
    <row r="88" spans="3:3" x14ac:dyDescent="0.2">
      <c r="C88" s="14"/>
    </row>
    <row r="89" spans="3:3" x14ac:dyDescent="0.2">
      <c r="C89" s="14"/>
    </row>
    <row r="90" spans="3:3" x14ac:dyDescent="0.2">
      <c r="C90" s="14"/>
    </row>
    <row r="91" spans="3:3" x14ac:dyDescent="0.2">
      <c r="C91" s="14"/>
    </row>
    <row r="92" spans="3:3" x14ac:dyDescent="0.2">
      <c r="C92" s="14"/>
    </row>
    <row r="93" spans="3:3" x14ac:dyDescent="0.2">
      <c r="C93" s="14"/>
    </row>
    <row r="94" spans="3:3" x14ac:dyDescent="0.2">
      <c r="C94" s="14"/>
    </row>
    <row r="95" spans="3:3" x14ac:dyDescent="0.2">
      <c r="C95" s="14"/>
    </row>
    <row r="96" spans="3:3" x14ac:dyDescent="0.2">
      <c r="C96" s="14"/>
    </row>
    <row r="97" spans="3:3" x14ac:dyDescent="0.2">
      <c r="C97" s="14"/>
    </row>
    <row r="98" spans="3:3" x14ac:dyDescent="0.2">
      <c r="C98" s="14"/>
    </row>
    <row r="99" spans="3:3" x14ac:dyDescent="0.2">
      <c r="C99" s="14"/>
    </row>
    <row r="100" spans="3:3" x14ac:dyDescent="0.2">
      <c r="C100" s="14"/>
    </row>
    <row r="101" spans="3:3" x14ac:dyDescent="0.2">
      <c r="C101" s="14"/>
    </row>
    <row r="102" spans="3:3" x14ac:dyDescent="0.2">
      <c r="C102" s="14"/>
    </row>
    <row r="103" spans="3:3" x14ac:dyDescent="0.2">
      <c r="C103" s="14"/>
    </row>
    <row r="104" spans="3:3" x14ac:dyDescent="0.2">
      <c r="C104" s="14"/>
    </row>
    <row r="105" spans="3:3" x14ac:dyDescent="0.2">
      <c r="C105" s="14"/>
    </row>
    <row r="106" spans="3:3" x14ac:dyDescent="0.2">
      <c r="C106" s="14"/>
    </row>
    <row r="107" spans="3:3" x14ac:dyDescent="0.2">
      <c r="C107" s="14"/>
    </row>
    <row r="108" spans="3:3" x14ac:dyDescent="0.2">
      <c r="C108" s="14"/>
    </row>
    <row r="109" spans="3:3" x14ac:dyDescent="0.2">
      <c r="C109" s="14"/>
    </row>
    <row r="110" spans="3:3" x14ac:dyDescent="0.2">
      <c r="C110" s="14"/>
    </row>
    <row r="111" spans="3:3" x14ac:dyDescent="0.2">
      <c r="C111" s="14"/>
    </row>
    <row r="112" spans="3:3" x14ac:dyDescent="0.2">
      <c r="C112" s="14"/>
    </row>
    <row r="113" spans="3:3" x14ac:dyDescent="0.2">
      <c r="C113" s="14"/>
    </row>
    <row r="114" spans="3:3" x14ac:dyDescent="0.2">
      <c r="C114" s="14"/>
    </row>
    <row r="115" spans="3:3" x14ac:dyDescent="0.2">
      <c r="C115" s="14"/>
    </row>
    <row r="116" spans="3:3" x14ac:dyDescent="0.2">
      <c r="C116" s="14"/>
    </row>
    <row r="117" spans="3:3" x14ac:dyDescent="0.2">
      <c r="C117" s="14"/>
    </row>
    <row r="118" spans="3:3" x14ac:dyDescent="0.2">
      <c r="C118" s="14"/>
    </row>
    <row r="119" spans="3:3" x14ac:dyDescent="0.2">
      <c r="C119" s="14"/>
    </row>
    <row r="120" spans="3:3" x14ac:dyDescent="0.2">
      <c r="C120" s="14"/>
    </row>
    <row r="121" spans="3:3" x14ac:dyDescent="0.2">
      <c r="C121" s="14"/>
    </row>
    <row r="122" spans="3:3" x14ac:dyDescent="0.2">
      <c r="C122" s="14"/>
    </row>
    <row r="123" spans="3:3" x14ac:dyDescent="0.2">
      <c r="C123" s="14"/>
    </row>
    <row r="124" spans="3:3" x14ac:dyDescent="0.2">
      <c r="C124" s="14"/>
    </row>
    <row r="125" spans="3:3" x14ac:dyDescent="0.2">
      <c r="C125" s="14"/>
    </row>
    <row r="126" spans="3:3" x14ac:dyDescent="0.2">
      <c r="C126" s="14"/>
    </row>
    <row r="127" spans="3:3" x14ac:dyDescent="0.2">
      <c r="C127" s="14"/>
    </row>
    <row r="128" spans="3:3" x14ac:dyDescent="0.2">
      <c r="C128" s="14"/>
    </row>
    <row r="129" spans="3:3" x14ac:dyDescent="0.2">
      <c r="C129" s="14"/>
    </row>
    <row r="130" spans="3:3" x14ac:dyDescent="0.2">
      <c r="C130" s="14"/>
    </row>
    <row r="131" spans="3:3" x14ac:dyDescent="0.2">
      <c r="C131" s="14"/>
    </row>
    <row r="132" spans="3:3" x14ac:dyDescent="0.2">
      <c r="C132" s="14"/>
    </row>
    <row r="133" spans="3:3" x14ac:dyDescent="0.2">
      <c r="C133" s="14"/>
    </row>
    <row r="134" spans="3:3" x14ac:dyDescent="0.2">
      <c r="C134" s="14"/>
    </row>
    <row r="135" spans="3:3" x14ac:dyDescent="0.2">
      <c r="C135" s="14"/>
    </row>
    <row r="136" spans="3:3" x14ac:dyDescent="0.2">
      <c r="C136" s="14"/>
    </row>
    <row r="137" spans="3:3" x14ac:dyDescent="0.2">
      <c r="C137" s="14"/>
    </row>
    <row r="138" spans="3:3" x14ac:dyDescent="0.2">
      <c r="C138" s="14"/>
    </row>
    <row r="139" spans="3:3" x14ac:dyDescent="0.2">
      <c r="C139" s="14"/>
    </row>
    <row r="140" spans="3:3" x14ac:dyDescent="0.2">
      <c r="C140" s="14"/>
    </row>
    <row r="141" spans="3:3" x14ac:dyDescent="0.2">
      <c r="C141" s="14"/>
    </row>
    <row r="142" spans="3:3" x14ac:dyDescent="0.2">
      <c r="C142" s="14"/>
    </row>
    <row r="143" spans="3:3" x14ac:dyDescent="0.2">
      <c r="C143" s="14"/>
    </row>
    <row r="144" spans="3:3" x14ac:dyDescent="0.2">
      <c r="C144" s="14"/>
    </row>
    <row r="145" spans="3:3" x14ac:dyDescent="0.2">
      <c r="C145" s="14"/>
    </row>
    <row r="146" spans="3:3" x14ac:dyDescent="0.2">
      <c r="C146" s="14"/>
    </row>
    <row r="147" spans="3:3" x14ac:dyDescent="0.2">
      <c r="C147" s="14"/>
    </row>
    <row r="148" spans="3:3" x14ac:dyDescent="0.2">
      <c r="C148" s="14"/>
    </row>
    <row r="149" spans="3:3" x14ac:dyDescent="0.2">
      <c r="C149" s="14"/>
    </row>
    <row r="150" spans="3:3" x14ac:dyDescent="0.2">
      <c r="C150" s="14"/>
    </row>
    <row r="151" spans="3:3" x14ac:dyDescent="0.2">
      <c r="C151" s="14"/>
    </row>
    <row r="152" spans="3:3" x14ac:dyDescent="0.2">
      <c r="C152" s="14"/>
    </row>
    <row r="153" spans="3:3" x14ac:dyDescent="0.2">
      <c r="C153" s="14"/>
    </row>
    <row r="154" spans="3:3" x14ac:dyDescent="0.2">
      <c r="C154" s="14"/>
    </row>
    <row r="155" spans="3:3" x14ac:dyDescent="0.2">
      <c r="C155" s="14"/>
    </row>
    <row r="156" spans="3:3" x14ac:dyDescent="0.2">
      <c r="C156" s="14"/>
    </row>
    <row r="157" spans="3:3" x14ac:dyDescent="0.2">
      <c r="C157" s="14"/>
    </row>
    <row r="158" spans="3:3" x14ac:dyDescent="0.2">
      <c r="C158" s="14"/>
    </row>
    <row r="159" spans="3:3" x14ac:dyDescent="0.2">
      <c r="C159" s="14"/>
    </row>
    <row r="160" spans="3:3" x14ac:dyDescent="0.2">
      <c r="C160" s="14"/>
    </row>
    <row r="161" spans="3:3" x14ac:dyDescent="0.2">
      <c r="C161" s="14"/>
    </row>
    <row r="162" spans="3:3" x14ac:dyDescent="0.2">
      <c r="C162" s="14"/>
    </row>
    <row r="163" spans="3:3" x14ac:dyDescent="0.2">
      <c r="C163" s="14"/>
    </row>
    <row r="164" spans="3:3" x14ac:dyDescent="0.2">
      <c r="C164" s="14"/>
    </row>
    <row r="165" spans="3:3" x14ac:dyDescent="0.2">
      <c r="C165" s="14"/>
    </row>
    <row r="166" spans="3:3" x14ac:dyDescent="0.2">
      <c r="C166" s="14"/>
    </row>
    <row r="167" spans="3:3" x14ac:dyDescent="0.2">
      <c r="C167" s="14"/>
    </row>
    <row r="168" spans="3:3" x14ac:dyDescent="0.2">
      <c r="C168" s="14"/>
    </row>
    <row r="169" spans="3:3" x14ac:dyDescent="0.2">
      <c r="C169" s="14"/>
    </row>
    <row r="170" spans="3:3" x14ac:dyDescent="0.2">
      <c r="C170" s="14"/>
    </row>
    <row r="171" spans="3:3" x14ac:dyDescent="0.2">
      <c r="C171" s="14"/>
    </row>
    <row r="172" spans="3:3" x14ac:dyDescent="0.2">
      <c r="C172" s="14"/>
    </row>
    <row r="173" spans="3:3" x14ac:dyDescent="0.2">
      <c r="C173" s="14"/>
    </row>
    <row r="174" spans="3:3" x14ac:dyDescent="0.2">
      <c r="C174" s="14"/>
    </row>
    <row r="175" spans="3:3" x14ac:dyDescent="0.2">
      <c r="C175" s="14"/>
    </row>
    <row r="176" spans="3:3" x14ac:dyDescent="0.2">
      <c r="C176" s="14"/>
    </row>
    <row r="177" spans="3:3" x14ac:dyDescent="0.2">
      <c r="C177" s="14"/>
    </row>
    <row r="178" spans="3:3" x14ac:dyDescent="0.2">
      <c r="C178" s="14"/>
    </row>
    <row r="179" spans="3:3" x14ac:dyDescent="0.2">
      <c r="C179" s="14"/>
    </row>
    <row r="180" spans="3:3" x14ac:dyDescent="0.2">
      <c r="C180" s="14"/>
    </row>
    <row r="181" spans="3:3" x14ac:dyDescent="0.2">
      <c r="C181" s="14"/>
    </row>
    <row r="182" spans="3:3" x14ac:dyDescent="0.2">
      <c r="C182" s="14"/>
    </row>
    <row r="183" spans="3:3" x14ac:dyDescent="0.2">
      <c r="C183" s="14"/>
    </row>
    <row r="184" spans="3:3" x14ac:dyDescent="0.2">
      <c r="C184" s="14"/>
    </row>
    <row r="185" spans="3:3" x14ac:dyDescent="0.2">
      <c r="C185" s="25"/>
    </row>
    <row r="186" spans="3:3" x14ac:dyDescent="0.2">
      <c r="C186" s="25"/>
    </row>
    <row r="187" spans="3:3" x14ac:dyDescent="0.2">
      <c r="C187" s="25"/>
    </row>
    <row r="188" spans="3:3" x14ac:dyDescent="0.2">
      <c r="C188" s="25"/>
    </row>
    <row r="189" spans="3:3" x14ac:dyDescent="0.2">
      <c r="C189" s="25"/>
    </row>
    <row r="190" spans="3:3" x14ac:dyDescent="0.2">
      <c r="C190" s="25"/>
    </row>
    <row r="191" spans="3:3" x14ac:dyDescent="0.2">
      <c r="C191" s="25"/>
    </row>
    <row r="192" spans="3:3" x14ac:dyDescent="0.2">
      <c r="C192" s="25"/>
    </row>
    <row r="193" spans="3:3" x14ac:dyDescent="0.2">
      <c r="C193" s="25"/>
    </row>
    <row r="194" spans="3:3" x14ac:dyDescent="0.2">
      <c r="C194" s="25"/>
    </row>
    <row r="195" spans="3:3" x14ac:dyDescent="0.2">
      <c r="C195" s="25"/>
    </row>
    <row r="196" spans="3:3" x14ac:dyDescent="0.2">
      <c r="C196" s="25"/>
    </row>
    <row r="197" spans="3:3" x14ac:dyDescent="0.2">
      <c r="C197" s="25"/>
    </row>
    <row r="198" spans="3:3" x14ac:dyDescent="0.2">
      <c r="C198" s="25"/>
    </row>
    <row r="199" spans="3:3" x14ac:dyDescent="0.2">
      <c r="C199" s="25"/>
    </row>
    <row r="200" spans="3:3" x14ac:dyDescent="0.2">
      <c r="C200" s="25"/>
    </row>
    <row r="201" spans="3:3" x14ac:dyDescent="0.2">
      <c r="C201" s="25"/>
    </row>
    <row r="202" spans="3:3" x14ac:dyDescent="0.2">
      <c r="C202" s="25"/>
    </row>
    <row r="203" spans="3:3" x14ac:dyDescent="0.2">
      <c r="C203" s="25"/>
    </row>
    <row r="204" spans="3:3" x14ac:dyDescent="0.2">
      <c r="C204" s="25"/>
    </row>
    <row r="205" spans="3:3" x14ac:dyDescent="0.2">
      <c r="C205" s="25"/>
    </row>
    <row r="206" spans="3:3" x14ac:dyDescent="0.2">
      <c r="C206" s="25"/>
    </row>
    <row r="207" spans="3:3" x14ac:dyDescent="0.2">
      <c r="C207" s="25"/>
    </row>
    <row r="208" spans="3:3" x14ac:dyDescent="0.2">
      <c r="C208" s="25"/>
    </row>
    <row r="209" spans="3:3" x14ac:dyDescent="0.2">
      <c r="C209" s="25"/>
    </row>
    <row r="210" spans="3:3" x14ac:dyDescent="0.2">
      <c r="C210" s="25"/>
    </row>
    <row r="211" spans="3:3" x14ac:dyDescent="0.2">
      <c r="C211" s="25"/>
    </row>
    <row r="212" spans="3:3" x14ac:dyDescent="0.2">
      <c r="C212" s="25"/>
    </row>
    <row r="213" spans="3:3" x14ac:dyDescent="0.2">
      <c r="C213" s="25"/>
    </row>
    <row r="214" spans="3:3" x14ac:dyDescent="0.2">
      <c r="C214" s="25"/>
    </row>
    <row r="215" spans="3:3" x14ac:dyDescent="0.2">
      <c r="C215" s="25"/>
    </row>
    <row r="216" spans="3:3" x14ac:dyDescent="0.2">
      <c r="C216" s="25"/>
    </row>
    <row r="217" spans="3:3" x14ac:dyDescent="0.2">
      <c r="C217" s="25"/>
    </row>
    <row r="218" spans="3:3" x14ac:dyDescent="0.2">
      <c r="C218" s="25"/>
    </row>
    <row r="219" spans="3:3" x14ac:dyDescent="0.2">
      <c r="C219" s="25"/>
    </row>
    <row r="220" spans="3:3" x14ac:dyDescent="0.2">
      <c r="C220" s="25"/>
    </row>
    <row r="221" spans="3:3" x14ac:dyDescent="0.2">
      <c r="C221" s="25"/>
    </row>
    <row r="222" spans="3:3" x14ac:dyDescent="0.2">
      <c r="C222" s="25"/>
    </row>
    <row r="223" spans="3:3" x14ac:dyDescent="0.2">
      <c r="C223" s="25"/>
    </row>
    <row r="224" spans="3:3" x14ac:dyDescent="0.2">
      <c r="C224" s="25"/>
    </row>
    <row r="225" spans="3:3" x14ac:dyDescent="0.2">
      <c r="C225" s="25"/>
    </row>
    <row r="226" spans="3:3" x14ac:dyDescent="0.2">
      <c r="C226" s="25"/>
    </row>
    <row r="227" spans="3:3" x14ac:dyDescent="0.2">
      <c r="C227" s="25"/>
    </row>
    <row r="228" spans="3:3" x14ac:dyDescent="0.2">
      <c r="C228" s="25"/>
    </row>
    <row r="229" spans="3:3" x14ac:dyDescent="0.2">
      <c r="C229" s="25"/>
    </row>
    <row r="230" spans="3:3" x14ac:dyDescent="0.2">
      <c r="C230" s="25"/>
    </row>
    <row r="231" spans="3:3" x14ac:dyDescent="0.2">
      <c r="C231" s="25"/>
    </row>
    <row r="232" spans="3:3" x14ac:dyDescent="0.2">
      <c r="C232" s="25"/>
    </row>
    <row r="233" spans="3:3" x14ac:dyDescent="0.2">
      <c r="C233" s="25"/>
    </row>
    <row r="234" spans="3:3" x14ac:dyDescent="0.2">
      <c r="C234" s="25"/>
    </row>
    <row r="235" spans="3:3" x14ac:dyDescent="0.2">
      <c r="C235" s="25"/>
    </row>
    <row r="236" spans="3:3" x14ac:dyDescent="0.2">
      <c r="C236" s="25"/>
    </row>
    <row r="237" spans="3:3" x14ac:dyDescent="0.2">
      <c r="C237" s="25"/>
    </row>
    <row r="238" spans="3:3" x14ac:dyDescent="0.2">
      <c r="C238" s="25"/>
    </row>
    <row r="239" spans="3:3" x14ac:dyDescent="0.2">
      <c r="C239" s="25"/>
    </row>
    <row r="240" spans="3:3" x14ac:dyDescent="0.2">
      <c r="C240" s="25"/>
    </row>
    <row r="241" spans="3:3" x14ac:dyDescent="0.2">
      <c r="C241" s="25"/>
    </row>
    <row r="242" spans="3:3" x14ac:dyDescent="0.2">
      <c r="C242" s="25"/>
    </row>
    <row r="243" spans="3:3" x14ac:dyDescent="0.2">
      <c r="C243" s="25"/>
    </row>
    <row r="244" spans="3:3" x14ac:dyDescent="0.2">
      <c r="C244" s="25"/>
    </row>
    <row r="245" spans="3:3" x14ac:dyDescent="0.2">
      <c r="C245" s="25"/>
    </row>
    <row r="246" spans="3:3" x14ac:dyDescent="0.2">
      <c r="C246" s="25"/>
    </row>
    <row r="247" spans="3:3" x14ac:dyDescent="0.2">
      <c r="C247" s="25"/>
    </row>
    <row r="248" spans="3:3" x14ac:dyDescent="0.2">
      <c r="C248" s="25"/>
    </row>
    <row r="249" spans="3:3" x14ac:dyDescent="0.2">
      <c r="C249" s="25"/>
    </row>
    <row r="250" spans="3:3" x14ac:dyDescent="0.2">
      <c r="C250" s="25"/>
    </row>
    <row r="251" spans="3:3" x14ac:dyDescent="0.2">
      <c r="C251" s="25"/>
    </row>
    <row r="252" spans="3:3" x14ac:dyDescent="0.2">
      <c r="C252" s="25"/>
    </row>
    <row r="253" spans="3:3" x14ac:dyDescent="0.2">
      <c r="C253" s="25"/>
    </row>
    <row r="254" spans="3:3" x14ac:dyDescent="0.2">
      <c r="C254" s="25"/>
    </row>
    <row r="255" spans="3:3" x14ac:dyDescent="0.2">
      <c r="C255" s="25"/>
    </row>
    <row r="256" spans="3:3" x14ac:dyDescent="0.2">
      <c r="C256" s="25"/>
    </row>
    <row r="257" spans="3:3" x14ac:dyDescent="0.2">
      <c r="C257" s="25"/>
    </row>
    <row r="258" spans="3:3" x14ac:dyDescent="0.2">
      <c r="C258" s="25"/>
    </row>
    <row r="259" spans="3:3" x14ac:dyDescent="0.2">
      <c r="C259" s="25"/>
    </row>
    <row r="260" spans="3:3" x14ac:dyDescent="0.2">
      <c r="C260" s="25"/>
    </row>
    <row r="261" spans="3:3" x14ac:dyDescent="0.2">
      <c r="C261" s="25"/>
    </row>
    <row r="262" spans="3:3" x14ac:dyDescent="0.2">
      <c r="C262" s="25"/>
    </row>
    <row r="263" spans="3:3" x14ac:dyDescent="0.2">
      <c r="C263" s="25"/>
    </row>
    <row r="264" spans="3:3" x14ac:dyDescent="0.2">
      <c r="C264" s="25"/>
    </row>
    <row r="265" spans="3:3" x14ac:dyDescent="0.2">
      <c r="C265" s="25"/>
    </row>
    <row r="266" spans="3:3" x14ac:dyDescent="0.2">
      <c r="C266" s="25"/>
    </row>
    <row r="267" spans="3:3" x14ac:dyDescent="0.2">
      <c r="C267" s="25"/>
    </row>
    <row r="268" spans="3:3" x14ac:dyDescent="0.2">
      <c r="C268" s="25"/>
    </row>
    <row r="269" spans="3:3" x14ac:dyDescent="0.2">
      <c r="C269" s="25"/>
    </row>
    <row r="270" spans="3:3" x14ac:dyDescent="0.2">
      <c r="C270" s="25"/>
    </row>
    <row r="271" spans="3:3" x14ac:dyDescent="0.2">
      <c r="C271" s="25"/>
    </row>
    <row r="272" spans="3:3" x14ac:dyDescent="0.2">
      <c r="C272" s="25"/>
    </row>
    <row r="273" spans="3:3" x14ac:dyDescent="0.2">
      <c r="C273" s="25"/>
    </row>
    <row r="274" spans="3:3" x14ac:dyDescent="0.2">
      <c r="C274" s="25"/>
    </row>
    <row r="275" spans="3:3" x14ac:dyDescent="0.2">
      <c r="C275" s="25"/>
    </row>
    <row r="276" spans="3:3" x14ac:dyDescent="0.2">
      <c r="C276" s="25"/>
    </row>
    <row r="277" spans="3:3" x14ac:dyDescent="0.2">
      <c r="C277" s="25"/>
    </row>
    <row r="278" spans="3:3" x14ac:dyDescent="0.2">
      <c r="C278" s="25"/>
    </row>
    <row r="279" spans="3:3" x14ac:dyDescent="0.2">
      <c r="C279" s="25"/>
    </row>
    <row r="280" spans="3:3" x14ac:dyDescent="0.2">
      <c r="C280" s="25"/>
    </row>
    <row r="281" spans="3:3" x14ac:dyDescent="0.2">
      <c r="C281" s="25"/>
    </row>
    <row r="282" spans="3:3" x14ac:dyDescent="0.2">
      <c r="C282" s="25"/>
    </row>
    <row r="283" spans="3:3" x14ac:dyDescent="0.2">
      <c r="C283" s="25"/>
    </row>
    <row r="284" spans="3:3" x14ac:dyDescent="0.2">
      <c r="C284" s="25"/>
    </row>
    <row r="285" spans="3:3" x14ac:dyDescent="0.2">
      <c r="C285" s="25"/>
    </row>
    <row r="286" spans="3:3" x14ac:dyDescent="0.2">
      <c r="C286" s="25"/>
    </row>
    <row r="287" spans="3:3" x14ac:dyDescent="0.2">
      <c r="C287" s="25"/>
    </row>
    <row r="288" spans="3:3" x14ac:dyDescent="0.2">
      <c r="C288" s="25"/>
    </row>
    <row r="289" spans="3:3" x14ac:dyDescent="0.2">
      <c r="C289" s="25"/>
    </row>
    <row r="290" spans="3:3" x14ac:dyDescent="0.2">
      <c r="C290" s="25"/>
    </row>
    <row r="291" spans="3:3" x14ac:dyDescent="0.2">
      <c r="C291" s="25"/>
    </row>
    <row r="292" spans="3:3" x14ac:dyDescent="0.2">
      <c r="C292" s="25"/>
    </row>
    <row r="293" spans="3:3" x14ac:dyDescent="0.2">
      <c r="C293" s="25"/>
    </row>
    <row r="294" spans="3:3" x14ac:dyDescent="0.2">
      <c r="C294" s="25"/>
    </row>
    <row r="295" spans="3:3" x14ac:dyDescent="0.2">
      <c r="C295" s="25"/>
    </row>
    <row r="296" spans="3:3" x14ac:dyDescent="0.2">
      <c r="C296" s="25"/>
    </row>
    <row r="297" spans="3:3" x14ac:dyDescent="0.2">
      <c r="C297" s="25"/>
    </row>
    <row r="298" spans="3:3" x14ac:dyDescent="0.2">
      <c r="C298" s="25"/>
    </row>
    <row r="299" spans="3:3" x14ac:dyDescent="0.2">
      <c r="C299" s="25"/>
    </row>
    <row r="300" spans="3:3" x14ac:dyDescent="0.2">
      <c r="C300" s="25"/>
    </row>
    <row r="301" spans="3:3" x14ac:dyDescent="0.2">
      <c r="C301" s="25"/>
    </row>
    <row r="302" spans="3:3" x14ac:dyDescent="0.2">
      <c r="C302" s="25"/>
    </row>
    <row r="303" spans="3:3" x14ac:dyDescent="0.2">
      <c r="C303" s="25"/>
    </row>
    <row r="304" spans="3:3" x14ac:dyDescent="0.2">
      <c r="C304" s="25"/>
    </row>
    <row r="305" spans="3:3" x14ac:dyDescent="0.2">
      <c r="C305" s="25"/>
    </row>
    <row r="306" spans="3:3" x14ac:dyDescent="0.2">
      <c r="C306" s="25"/>
    </row>
    <row r="307" spans="3:3" x14ac:dyDescent="0.2">
      <c r="C307" s="25"/>
    </row>
    <row r="308" spans="3:3" x14ac:dyDescent="0.2">
      <c r="C308" s="25"/>
    </row>
    <row r="309" spans="3:3" x14ac:dyDescent="0.2">
      <c r="C309" s="25"/>
    </row>
    <row r="310" spans="3:3" x14ac:dyDescent="0.2">
      <c r="C310" s="25"/>
    </row>
    <row r="311" spans="3:3" x14ac:dyDescent="0.2">
      <c r="C311" s="25"/>
    </row>
    <row r="312" spans="3:3" x14ac:dyDescent="0.2">
      <c r="C312" s="25"/>
    </row>
    <row r="313" spans="3:3" x14ac:dyDescent="0.2">
      <c r="C313" s="25"/>
    </row>
    <row r="314" spans="3:3" x14ac:dyDescent="0.2">
      <c r="C314" s="25"/>
    </row>
    <row r="315" spans="3:3" x14ac:dyDescent="0.2">
      <c r="C315" s="25"/>
    </row>
    <row r="316" spans="3:3" x14ac:dyDescent="0.2">
      <c r="C316" s="25"/>
    </row>
    <row r="317" spans="3:3" x14ac:dyDescent="0.2">
      <c r="C317" s="25"/>
    </row>
    <row r="318" spans="3:3" x14ac:dyDescent="0.2">
      <c r="C318" s="25"/>
    </row>
    <row r="319" spans="3:3" x14ac:dyDescent="0.2">
      <c r="C319" s="25"/>
    </row>
    <row r="320" spans="3:3" x14ac:dyDescent="0.2">
      <c r="C320" s="25"/>
    </row>
    <row r="321" spans="3:3" x14ac:dyDescent="0.2">
      <c r="C321" s="25"/>
    </row>
    <row r="322" spans="3:3" x14ac:dyDescent="0.2">
      <c r="C322" s="25"/>
    </row>
    <row r="323" spans="3:3" x14ac:dyDescent="0.2">
      <c r="C323" s="25"/>
    </row>
    <row r="324" spans="3:3" x14ac:dyDescent="0.2">
      <c r="C324" s="25"/>
    </row>
    <row r="325" spans="3:3" x14ac:dyDescent="0.2">
      <c r="C325" s="25"/>
    </row>
    <row r="326" spans="3:3" x14ac:dyDescent="0.2">
      <c r="C326" s="25"/>
    </row>
    <row r="327" spans="3:3" x14ac:dyDescent="0.2">
      <c r="C327" s="25"/>
    </row>
    <row r="328" spans="3:3" x14ac:dyDescent="0.2">
      <c r="C328" s="25"/>
    </row>
    <row r="329" spans="3:3" x14ac:dyDescent="0.2">
      <c r="C329" s="25"/>
    </row>
    <row r="330" spans="3:3" x14ac:dyDescent="0.2">
      <c r="C330" s="25"/>
    </row>
    <row r="331" spans="3:3" x14ac:dyDescent="0.2">
      <c r="C331" s="25"/>
    </row>
    <row r="332" spans="3:3" x14ac:dyDescent="0.2">
      <c r="C332" s="25"/>
    </row>
    <row r="333" spans="3:3" x14ac:dyDescent="0.2">
      <c r="C333" s="25"/>
    </row>
    <row r="334" spans="3:3" x14ac:dyDescent="0.2">
      <c r="C334" s="25"/>
    </row>
    <row r="335" spans="3:3" x14ac:dyDescent="0.2">
      <c r="C335" s="25"/>
    </row>
    <row r="336" spans="3:3" x14ac:dyDescent="0.2">
      <c r="C336" s="25"/>
    </row>
    <row r="337" spans="3:3" x14ac:dyDescent="0.2">
      <c r="C337" s="25"/>
    </row>
    <row r="338" spans="3:3" x14ac:dyDescent="0.2">
      <c r="C338" s="25"/>
    </row>
    <row r="339" spans="3:3" x14ac:dyDescent="0.2">
      <c r="C339" s="25"/>
    </row>
    <row r="340" spans="3:3" x14ac:dyDescent="0.2">
      <c r="C340" s="25"/>
    </row>
    <row r="341" spans="3:3" x14ac:dyDescent="0.2">
      <c r="C341" s="25"/>
    </row>
    <row r="342" spans="3:3" x14ac:dyDescent="0.2">
      <c r="C342" s="25"/>
    </row>
    <row r="343" spans="3:3" x14ac:dyDescent="0.2">
      <c r="C343" s="25"/>
    </row>
    <row r="344" spans="3:3" x14ac:dyDescent="0.2">
      <c r="C344" s="25"/>
    </row>
    <row r="345" spans="3:3" x14ac:dyDescent="0.2">
      <c r="C345" s="25"/>
    </row>
    <row r="346" spans="3:3" x14ac:dyDescent="0.2">
      <c r="C346" s="25"/>
    </row>
    <row r="347" spans="3:3" x14ac:dyDescent="0.2">
      <c r="C347" s="25"/>
    </row>
    <row r="348" spans="3:3" x14ac:dyDescent="0.2">
      <c r="C348" s="25"/>
    </row>
    <row r="349" spans="3:3" x14ac:dyDescent="0.2">
      <c r="C349" s="25"/>
    </row>
    <row r="350" spans="3:3" x14ac:dyDescent="0.2">
      <c r="C350" s="25"/>
    </row>
    <row r="351" spans="3:3" x14ac:dyDescent="0.2">
      <c r="C351" s="25"/>
    </row>
    <row r="352" spans="3:3" x14ac:dyDescent="0.2">
      <c r="C352" s="25"/>
    </row>
    <row r="353" spans="3:3" x14ac:dyDescent="0.2">
      <c r="C353" s="25"/>
    </row>
    <row r="354" spans="3:3" x14ac:dyDescent="0.2">
      <c r="C354" s="25"/>
    </row>
    <row r="355" spans="3:3" x14ac:dyDescent="0.2">
      <c r="C355" s="25"/>
    </row>
    <row r="356" spans="3:3" x14ac:dyDescent="0.2">
      <c r="C356" s="25"/>
    </row>
    <row r="357" spans="3:3" x14ac:dyDescent="0.2">
      <c r="C357" s="25"/>
    </row>
    <row r="358" spans="3:3" x14ac:dyDescent="0.2">
      <c r="C358" s="25"/>
    </row>
    <row r="359" spans="3:3" x14ac:dyDescent="0.2">
      <c r="C359" s="25"/>
    </row>
    <row r="360" spans="3:3" x14ac:dyDescent="0.2">
      <c r="C360" s="25"/>
    </row>
    <row r="361" spans="3:3" x14ac:dyDescent="0.2">
      <c r="C361" s="25"/>
    </row>
    <row r="362" spans="3:3" x14ac:dyDescent="0.2">
      <c r="C362" s="14"/>
    </row>
    <row r="363" spans="3:3" x14ac:dyDescent="0.2">
      <c r="C363" s="14"/>
    </row>
  </sheetData>
  <phoneticPr fontId="0" type="noConversion"/>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174"/>
  <sheetViews>
    <sheetView workbookViewId="0">
      <selection activeCell="G22" sqref="G22"/>
    </sheetView>
  </sheetViews>
  <sheetFormatPr defaultRowHeight="12.75" x14ac:dyDescent="0.2"/>
  <cols>
    <col min="1" max="1" width="14.28515625" customWidth="1"/>
    <col min="2" max="2" width="21" customWidth="1"/>
  </cols>
  <sheetData>
    <row r="1" spans="1:2" x14ac:dyDescent="0.2">
      <c r="A1" s="1" t="s">
        <v>607</v>
      </c>
      <c r="B1" s="1" t="s">
        <v>605</v>
      </c>
    </row>
    <row r="2" spans="1:2" x14ac:dyDescent="0.2">
      <c r="A2">
        <v>1</v>
      </c>
      <c r="B2" s="14">
        <v>42152.51053240741</v>
      </c>
    </row>
    <row r="3" spans="1:2" x14ac:dyDescent="0.2">
      <c r="A3">
        <v>2</v>
      </c>
      <c r="B3" s="14">
        <v>42152.510995370372</v>
      </c>
    </row>
    <row r="4" spans="1:2" x14ac:dyDescent="0.2">
      <c r="A4">
        <v>3</v>
      </c>
      <c r="B4" s="14">
        <v>42152.513645833336</v>
      </c>
    </row>
    <row r="5" spans="1:2" x14ac:dyDescent="0.2">
      <c r="A5">
        <v>4</v>
      </c>
      <c r="B5" s="14">
        <v>42152.517523148148</v>
      </c>
    </row>
    <row r="6" spans="1:2" x14ac:dyDescent="0.2">
      <c r="A6">
        <v>5</v>
      </c>
      <c r="B6" s="14">
        <v>42152.517905092594</v>
      </c>
    </row>
    <row r="7" spans="1:2" x14ac:dyDescent="0.2">
      <c r="A7">
        <v>6</v>
      </c>
      <c r="B7" s="14">
        <v>42152.553020833337</v>
      </c>
    </row>
    <row r="8" spans="1:2" x14ac:dyDescent="0.2">
      <c r="A8">
        <v>7</v>
      </c>
      <c r="B8" s="14">
        <v>42152.553101851852</v>
      </c>
    </row>
    <row r="9" spans="1:2" x14ac:dyDescent="0.2">
      <c r="A9">
        <v>8</v>
      </c>
      <c r="B9" s="14">
        <v>42152.669039351851</v>
      </c>
    </row>
    <row r="10" spans="1:2" x14ac:dyDescent="0.2">
      <c r="A10">
        <v>9</v>
      </c>
      <c r="B10" s="14">
        <v>42169.412881944445</v>
      </c>
    </row>
    <row r="11" spans="1:2" x14ac:dyDescent="0.2">
      <c r="A11">
        <v>10</v>
      </c>
      <c r="B11" s="14">
        <v>42169.412905092591</v>
      </c>
    </row>
    <row r="12" spans="1:2" x14ac:dyDescent="0.2">
      <c r="A12">
        <v>11</v>
      </c>
      <c r="B12" s="14">
        <v>42510.642754629633</v>
      </c>
    </row>
    <row r="13" spans="1:2" x14ac:dyDescent="0.2">
      <c r="A13">
        <v>12</v>
      </c>
      <c r="B13" s="14">
        <v>42510.643182870372</v>
      </c>
    </row>
    <row r="14" spans="1:2" x14ac:dyDescent="0.2">
      <c r="A14">
        <v>13</v>
      </c>
      <c r="B14" s="14">
        <v>42510.643425925926</v>
      </c>
    </row>
    <row r="15" spans="1:2" x14ac:dyDescent="0.2">
      <c r="A15">
        <v>14</v>
      </c>
      <c r="B15" s="14">
        <v>42510.714155092595</v>
      </c>
    </row>
    <row r="16" spans="1:2" x14ac:dyDescent="0.2">
      <c r="A16">
        <v>15</v>
      </c>
      <c r="B16" s="14">
        <v>42513.322627314818</v>
      </c>
    </row>
    <row r="17" spans="1:2" x14ac:dyDescent="0.2">
      <c r="A17">
        <v>16</v>
      </c>
      <c r="B17" s="14">
        <v>42513.354432870372</v>
      </c>
    </row>
    <row r="18" spans="1:2" x14ac:dyDescent="0.2">
      <c r="A18">
        <v>17</v>
      </c>
      <c r="B18" s="14">
        <v>42513.386840277781</v>
      </c>
    </row>
    <row r="19" spans="1:2" x14ac:dyDescent="0.2">
      <c r="A19">
        <v>18</v>
      </c>
      <c r="B19" s="14">
        <v>42513.387546296297</v>
      </c>
    </row>
    <row r="20" spans="1:2" x14ac:dyDescent="0.2">
      <c r="A20">
        <v>19</v>
      </c>
      <c r="B20" s="14">
        <v>42513.427418981482</v>
      </c>
    </row>
    <row r="21" spans="1:2" x14ac:dyDescent="0.2">
      <c r="A21">
        <v>20</v>
      </c>
      <c r="B21" s="14">
        <v>42513.427951388891</v>
      </c>
    </row>
    <row r="22" spans="1:2" x14ac:dyDescent="0.2">
      <c r="A22">
        <v>21</v>
      </c>
      <c r="B22" s="14">
        <v>42513.43372685185</v>
      </c>
    </row>
    <row r="23" spans="1:2" x14ac:dyDescent="0.2">
      <c r="A23">
        <v>22</v>
      </c>
      <c r="B23" s="14">
        <v>42513.434062499997</v>
      </c>
    </row>
    <row r="24" spans="1:2" x14ac:dyDescent="0.2">
      <c r="A24">
        <v>23</v>
      </c>
      <c r="B24" s="14">
        <v>42513.464861111112</v>
      </c>
    </row>
    <row r="25" spans="1:2" x14ac:dyDescent="0.2">
      <c r="A25">
        <v>24</v>
      </c>
      <c r="B25" s="14">
        <v>42513.465196759258</v>
      </c>
    </row>
    <row r="26" spans="1:2" x14ac:dyDescent="0.2">
      <c r="A26">
        <v>25</v>
      </c>
      <c r="B26" s="14">
        <v>42513.465266203704</v>
      </c>
    </row>
    <row r="27" spans="1:2" x14ac:dyDescent="0.2">
      <c r="B27" s="14"/>
    </row>
    <row r="28" spans="1:2" x14ac:dyDescent="0.2">
      <c r="B28" s="14"/>
    </row>
    <row r="29" spans="1:2" x14ac:dyDescent="0.2">
      <c r="B29" s="14"/>
    </row>
    <row r="30" spans="1:2" x14ac:dyDescent="0.2">
      <c r="B30" s="14"/>
    </row>
    <row r="31" spans="1:2" x14ac:dyDescent="0.2">
      <c r="B31" s="14"/>
    </row>
    <row r="32" spans="1:2" x14ac:dyDescent="0.2">
      <c r="B32" s="14"/>
    </row>
    <row r="33" spans="2:2" x14ac:dyDescent="0.2">
      <c r="B33" s="14"/>
    </row>
    <row r="34" spans="2:2" x14ac:dyDescent="0.2">
      <c r="B34" s="14"/>
    </row>
    <row r="35" spans="2:2" x14ac:dyDescent="0.2">
      <c r="B35" s="14"/>
    </row>
    <row r="36" spans="2:2" x14ac:dyDescent="0.2">
      <c r="B36" s="14"/>
    </row>
    <row r="37" spans="2:2" x14ac:dyDescent="0.2">
      <c r="B37" s="14"/>
    </row>
    <row r="38" spans="2:2" x14ac:dyDescent="0.2">
      <c r="B38" s="14"/>
    </row>
    <row r="39" spans="2:2" x14ac:dyDescent="0.2">
      <c r="B39" s="14"/>
    </row>
    <row r="40" spans="2:2" x14ac:dyDescent="0.2">
      <c r="B40" s="14"/>
    </row>
    <row r="41" spans="2:2" x14ac:dyDescent="0.2">
      <c r="B41" s="14"/>
    </row>
    <row r="42" spans="2:2" x14ac:dyDescent="0.2">
      <c r="B42" s="14"/>
    </row>
    <row r="43" spans="2:2" x14ac:dyDescent="0.2">
      <c r="B43" s="14"/>
    </row>
    <row r="44" spans="2:2" x14ac:dyDescent="0.2">
      <c r="B44" s="14"/>
    </row>
    <row r="45" spans="2:2" x14ac:dyDescent="0.2">
      <c r="B45" s="14"/>
    </row>
    <row r="46" spans="2:2" x14ac:dyDescent="0.2">
      <c r="B46" s="14"/>
    </row>
    <row r="47" spans="2:2" x14ac:dyDescent="0.2">
      <c r="B47" s="14"/>
    </row>
    <row r="48" spans="2:2" x14ac:dyDescent="0.2">
      <c r="B48" s="14"/>
    </row>
    <row r="49" spans="2:2" x14ac:dyDescent="0.2">
      <c r="B49" s="14"/>
    </row>
    <row r="50" spans="2:2" x14ac:dyDescent="0.2">
      <c r="B50" s="14"/>
    </row>
    <row r="51" spans="2:2" x14ac:dyDescent="0.2">
      <c r="B51" s="14"/>
    </row>
    <row r="52" spans="2:2" x14ac:dyDescent="0.2">
      <c r="B52" s="14"/>
    </row>
    <row r="53" spans="2:2" x14ac:dyDescent="0.2">
      <c r="B53" s="14"/>
    </row>
    <row r="54" spans="2:2" x14ac:dyDescent="0.2">
      <c r="B54" s="14"/>
    </row>
    <row r="55" spans="2:2" x14ac:dyDescent="0.2">
      <c r="B55" s="14"/>
    </row>
    <row r="56" spans="2:2" x14ac:dyDescent="0.2">
      <c r="B56" s="14"/>
    </row>
    <row r="57" spans="2:2" x14ac:dyDescent="0.2">
      <c r="B57" s="14"/>
    </row>
    <row r="58" spans="2:2" x14ac:dyDescent="0.2">
      <c r="B58" s="14"/>
    </row>
    <row r="59" spans="2:2" x14ac:dyDescent="0.2">
      <c r="B59" s="14"/>
    </row>
    <row r="60" spans="2:2" x14ac:dyDescent="0.2">
      <c r="B60" s="14"/>
    </row>
    <row r="61" spans="2:2" x14ac:dyDescent="0.2">
      <c r="B61" s="14"/>
    </row>
    <row r="62" spans="2:2" x14ac:dyDescent="0.2">
      <c r="B62" s="14"/>
    </row>
    <row r="63" spans="2:2" x14ac:dyDescent="0.2">
      <c r="B63" s="14"/>
    </row>
    <row r="64" spans="2:2" x14ac:dyDescent="0.2">
      <c r="B64" s="14"/>
    </row>
    <row r="65" spans="2:2" x14ac:dyDescent="0.2">
      <c r="B65" s="14"/>
    </row>
    <row r="66" spans="2:2" x14ac:dyDescent="0.2">
      <c r="B66" s="14"/>
    </row>
    <row r="67" spans="2:2" x14ac:dyDescent="0.2">
      <c r="B67" s="14"/>
    </row>
    <row r="68" spans="2:2" x14ac:dyDescent="0.2">
      <c r="B68" s="14"/>
    </row>
    <row r="69" spans="2:2" x14ac:dyDescent="0.2">
      <c r="B69" s="14"/>
    </row>
    <row r="70" spans="2:2" x14ac:dyDescent="0.2">
      <c r="B70" s="14"/>
    </row>
    <row r="71" spans="2:2" x14ac:dyDescent="0.2">
      <c r="B71" s="14"/>
    </row>
    <row r="72" spans="2:2" x14ac:dyDescent="0.2">
      <c r="B72" s="14"/>
    </row>
    <row r="73" spans="2:2" x14ac:dyDescent="0.2">
      <c r="B73" s="14"/>
    </row>
    <row r="74" spans="2:2" x14ac:dyDescent="0.2">
      <c r="B74" s="14"/>
    </row>
    <row r="75" spans="2:2" x14ac:dyDescent="0.2">
      <c r="B75" s="14"/>
    </row>
    <row r="76" spans="2:2" x14ac:dyDescent="0.2">
      <c r="B76" s="14"/>
    </row>
    <row r="77" spans="2:2" x14ac:dyDescent="0.2">
      <c r="B77" s="14"/>
    </row>
    <row r="78" spans="2:2" x14ac:dyDescent="0.2">
      <c r="B78" s="14"/>
    </row>
    <row r="79" spans="2:2" x14ac:dyDescent="0.2">
      <c r="B79" s="14"/>
    </row>
    <row r="80" spans="2:2" x14ac:dyDescent="0.2">
      <c r="B80" s="14"/>
    </row>
    <row r="81" spans="2:2" x14ac:dyDescent="0.2">
      <c r="B81" s="14"/>
    </row>
    <row r="82" spans="2:2" x14ac:dyDescent="0.2">
      <c r="B82" s="14"/>
    </row>
    <row r="83" spans="2:2" x14ac:dyDescent="0.2">
      <c r="B83" s="14"/>
    </row>
    <row r="84" spans="2:2" x14ac:dyDescent="0.2">
      <c r="B84" s="14"/>
    </row>
    <row r="85" spans="2:2" x14ac:dyDescent="0.2">
      <c r="B85" s="14"/>
    </row>
    <row r="86" spans="2:2" x14ac:dyDescent="0.2">
      <c r="B86" s="14"/>
    </row>
    <row r="87" spans="2:2" x14ac:dyDescent="0.2">
      <c r="B87" s="14"/>
    </row>
    <row r="88" spans="2:2" x14ac:dyDescent="0.2">
      <c r="B88" s="14"/>
    </row>
    <row r="89" spans="2:2" x14ac:dyDescent="0.2">
      <c r="B89" s="14"/>
    </row>
    <row r="90" spans="2:2" x14ac:dyDescent="0.2">
      <c r="B90" s="14"/>
    </row>
    <row r="91" spans="2:2" x14ac:dyDescent="0.2">
      <c r="B91" s="14"/>
    </row>
    <row r="92" spans="2:2" x14ac:dyDescent="0.2">
      <c r="B92" s="14"/>
    </row>
    <row r="93" spans="2:2" x14ac:dyDescent="0.2">
      <c r="B93" s="14"/>
    </row>
    <row r="94" spans="2:2" x14ac:dyDescent="0.2">
      <c r="B94" s="14"/>
    </row>
    <row r="95" spans="2:2" x14ac:dyDescent="0.2">
      <c r="B95" s="14"/>
    </row>
    <row r="96" spans="2:2" x14ac:dyDescent="0.2">
      <c r="B96" s="14"/>
    </row>
    <row r="97" spans="2:2" x14ac:dyDescent="0.2">
      <c r="B97" s="14"/>
    </row>
    <row r="98" spans="2:2" x14ac:dyDescent="0.2">
      <c r="B98" s="14"/>
    </row>
    <row r="99" spans="2:2" x14ac:dyDescent="0.2">
      <c r="B99" s="14"/>
    </row>
    <row r="100" spans="2:2" x14ac:dyDescent="0.2">
      <c r="B100" s="14"/>
    </row>
    <row r="101" spans="2:2" x14ac:dyDescent="0.2">
      <c r="B101" s="14"/>
    </row>
    <row r="102" spans="2:2" x14ac:dyDescent="0.2">
      <c r="B102" s="14"/>
    </row>
    <row r="103" spans="2:2" x14ac:dyDescent="0.2">
      <c r="B103" s="14"/>
    </row>
    <row r="104" spans="2:2" x14ac:dyDescent="0.2">
      <c r="B104" s="14"/>
    </row>
    <row r="105" spans="2:2" x14ac:dyDescent="0.2">
      <c r="B105" s="14"/>
    </row>
    <row r="106" spans="2:2" x14ac:dyDescent="0.2">
      <c r="B106" s="14"/>
    </row>
    <row r="107" spans="2:2" x14ac:dyDescent="0.2">
      <c r="B107" s="14"/>
    </row>
    <row r="108" spans="2:2" x14ac:dyDescent="0.2">
      <c r="B108" s="14"/>
    </row>
    <row r="109" spans="2:2" x14ac:dyDescent="0.2">
      <c r="B109" s="14"/>
    </row>
    <row r="110" spans="2:2" x14ac:dyDescent="0.2">
      <c r="B110" s="14"/>
    </row>
    <row r="111" spans="2:2" x14ac:dyDescent="0.2">
      <c r="B111" s="14"/>
    </row>
    <row r="112" spans="2:2" x14ac:dyDescent="0.2">
      <c r="B112" s="14"/>
    </row>
    <row r="113" spans="2:2" x14ac:dyDescent="0.2">
      <c r="B113" s="14"/>
    </row>
    <row r="114" spans="2:2" x14ac:dyDescent="0.2">
      <c r="B114" s="14"/>
    </row>
    <row r="115" spans="2:2" x14ac:dyDescent="0.2">
      <c r="B115" s="14"/>
    </row>
    <row r="116" spans="2:2" x14ac:dyDescent="0.2">
      <c r="B116" s="14"/>
    </row>
    <row r="117" spans="2:2" x14ac:dyDescent="0.2">
      <c r="B117" s="14"/>
    </row>
    <row r="118" spans="2:2" x14ac:dyDescent="0.2">
      <c r="B118" s="14"/>
    </row>
    <row r="119" spans="2:2" x14ac:dyDescent="0.2">
      <c r="B119" s="14"/>
    </row>
    <row r="120" spans="2:2" x14ac:dyDescent="0.2">
      <c r="B120" s="14"/>
    </row>
    <row r="121" spans="2:2" x14ac:dyDescent="0.2">
      <c r="B121" s="14"/>
    </row>
    <row r="122" spans="2:2" x14ac:dyDescent="0.2">
      <c r="B122" s="14"/>
    </row>
    <row r="123" spans="2:2" x14ac:dyDescent="0.2">
      <c r="B123" s="14"/>
    </row>
    <row r="124" spans="2:2" x14ac:dyDescent="0.2">
      <c r="B124" s="14"/>
    </row>
    <row r="125" spans="2:2" x14ac:dyDescent="0.2">
      <c r="B125" s="14"/>
    </row>
    <row r="126" spans="2:2" x14ac:dyDescent="0.2">
      <c r="B126" s="14"/>
    </row>
    <row r="127" spans="2:2" x14ac:dyDescent="0.2">
      <c r="B127" s="14"/>
    </row>
    <row r="128" spans="2:2" x14ac:dyDescent="0.2">
      <c r="B128" s="14"/>
    </row>
    <row r="129" spans="2:2" x14ac:dyDescent="0.2">
      <c r="B129" s="14"/>
    </row>
    <row r="130" spans="2:2" x14ac:dyDescent="0.2">
      <c r="B130" s="14"/>
    </row>
    <row r="131" spans="2:2" x14ac:dyDescent="0.2">
      <c r="B131" s="14"/>
    </row>
    <row r="132" spans="2:2" x14ac:dyDescent="0.2">
      <c r="B132" s="14"/>
    </row>
    <row r="133" spans="2:2" x14ac:dyDescent="0.2">
      <c r="B133" s="14"/>
    </row>
    <row r="134" spans="2:2" x14ac:dyDescent="0.2">
      <c r="B134" s="14"/>
    </row>
    <row r="135" spans="2:2" x14ac:dyDescent="0.2">
      <c r="B135" s="14"/>
    </row>
    <row r="136" spans="2:2" x14ac:dyDescent="0.2">
      <c r="B136" s="14"/>
    </row>
    <row r="137" spans="2:2" x14ac:dyDescent="0.2">
      <c r="B137" s="14"/>
    </row>
    <row r="138" spans="2:2" x14ac:dyDescent="0.2">
      <c r="B138" s="14"/>
    </row>
    <row r="139" spans="2:2" x14ac:dyDescent="0.2">
      <c r="B139" s="14"/>
    </row>
    <row r="140" spans="2:2" x14ac:dyDescent="0.2">
      <c r="B140" s="14"/>
    </row>
    <row r="141" spans="2:2" x14ac:dyDescent="0.2">
      <c r="B141" s="14"/>
    </row>
    <row r="142" spans="2:2" x14ac:dyDescent="0.2">
      <c r="B142" s="14"/>
    </row>
    <row r="143" spans="2:2" x14ac:dyDescent="0.2">
      <c r="B143" s="14"/>
    </row>
    <row r="144" spans="2:2" x14ac:dyDescent="0.2">
      <c r="B144" s="14"/>
    </row>
    <row r="145" spans="2:2" x14ac:dyDescent="0.2">
      <c r="B145" s="14"/>
    </row>
    <row r="146" spans="2:2" x14ac:dyDescent="0.2">
      <c r="B146" s="14"/>
    </row>
    <row r="147" spans="2:2" x14ac:dyDescent="0.2">
      <c r="B147" s="14"/>
    </row>
    <row r="148" spans="2:2" x14ac:dyDescent="0.2">
      <c r="B148" s="14"/>
    </row>
    <row r="149" spans="2:2" x14ac:dyDescent="0.2">
      <c r="B149" s="14"/>
    </row>
    <row r="150" spans="2:2" x14ac:dyDescent="0.2">
      <c r="B150" s="14"/>
    </row>
    <row r="151" spans="2:2" x14ac:dyDescent="0.2">
      <c r="B151" s="14"/>
    </row>
    <row r="152" spans="2:2" x14ac:dyDescent="0.2">
      <c r="B152" s="14"/>
    </row>
    <row r="153" spans="2:2" x14ac:dyDescent="0.2">
      <c r="B153" s="14"/>
    </row>
    <row r="154" spans="2:2" x14ac:dyDescent="0.2">
      <c r="B154" s="14"/>
    </row>
    <row r="155" spans="2:2" x14ac:dyDescent="0.2">
      <c r="B155" s="14"/>
    </row>
    <row r="156" spans="2:2" x14ac:dyDescent="0.2">
      <c r="B156" s="14"/>
    </row>
    <row r="157" spans="2:2" x14ac:dyDescent="0.2">
      <c r="B157" s="14"/>
    </row>
    <row r="158" spans="2:2" x14ac:dyDescent="0.2">
      <c r="B158" s="14"/>
    </row>
    <row r="159" spans="2:2" x14ac:dyDescent="0.2">
      <c r="B159" s="14"/>
    </row>
    <row r="160" spans="2:2" x14ac:dyDescent="0.2">
      <c r="B160" s="14"/>
    </row>
    <row r="161" spans="2:2" x14ac:dyDescent="0.2">
      <c r="B161" s="14"/>
    </row>
    <row r="162" spans="2:2" x14ac:dyDescent="0.2">
      <c r="B162" s="14"/>
    </row>
    <row r="163" spans="2:2" x14ac:dyDescent="0.2">
      <c r="B163" s="14"/>
    </row>
    <row r="164" spans="2:2" x14ac:dyDescent="0.2">
      <c r="B164" s="14"/>
    </row>
    <row r="165" spans="2:2" x14ac:dyDescent="0.2">
      <c r="B165" s="14"/>
    </row>
    <row r="166" spans="2:2" x14ac:dyDescent="0.2">
      <c r="B166" s="14"/>
    </row>
    <row r="167" spans="2:2" x14ac:dyDescent="0.2">
      <c r="B167" s="14"/>
    </row>
    <row r="168" spans="2:2" x14ac:dyDescent="0.2">
      <c r="B168" s="14"/>
    </row>
    <row r="169" spans="2:2" x14ac:dyDescent="0.2">
      <c r="B169" s="14"/>
    </row>
    <row r="170" spans="2:2" x14ac:dyDescent="0.2">
      <c r="B170" s="14"/>
    </row>
    <row r="171" spans="2:2" x14ac:dyDescent="0.2">
      <c r="B171" s="14"/>
    </row>
    <row r="172" spans="2:2" x14ac:dyDescent="0.2">
      <c r="B172" s="14"/>
    </row>
    <row r="173" spans="2:2" x14ac:dyDescent="0.2">
      <c r="B173" s="14"/>
    </row>
    <row r="174" spans="2:2" x14ac:dyDescent="0.2">
      <c r="B174" s="14"/>
    </row>
  </sheetData>
  <phoneticPr fontId="0"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Instructions</vt:lpstr>
      <vt:lpstr>Pivot Table</vt:lpstr>
      <vt:lpstr>Questions</vt:lpstr>
      <vt:lpstr> Questions Sem 1</vt:lpstr>
      <vt:lpstr>Superlatives</vt:lpstr>
      <vt:lpstr>Tags</vt:lpstr>
      <vt:lpstr>Attempts</vt:lpstr>
      <vt:lpstr>Sessions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dc:creator>
  <cp:lastModifiedBy>Windows User</cp:lastModifiedBy>
  <cp:lastPrinted>2011-05-06T17:31:34Z</cp:lastPrinted>
  <dcterms:created xsi:type="dcterms:W3CDTF">2009-05-22T21:49:58Z</dcterms:created>
  <dcterms:modified xsi:type="dcterms:W3CDTF">2016-05-23T15:18:21Z</dcterms:modified>
</cp:coreProperties>
</file>